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BuÇalışmaKitabı"/>
  <mc:AlternateContent xmlns:mc="http://schemas.openxmlformats.org/markup-compatibility/2006">
    <mc:Choice Requires="x15">
      <x15ac:absPath xmlns:x15ac="http://schemas.microsoft.com/office/spreadsheetml/2010/11/ac" url="D:\GitHub\kurtulus_tek\Tarihsel_Analiz_Test\"/>
    </mc:Choice>
  </mc:AlternateContent>
  <bookViews>
    <workbookView xWindow="0" yWindow="0" windowWidth="14376" windowHeight="8808"/>
  </bookViews>
  <sheets>
    <sheet name="27-06" sheetId="127" r:id="rId1"/>
    <sheet name="DENEME" sheetId="101" state="hidden" r:id="rId2"/>
  </sheets>
  <definedNames>
    <definedName name="_xlnm._FilterDatabase" localSheetId="0" hidden="1">'27-06'!$A$1:$M$1168</definedName>
    <definedName name="_xlnm._FilterDatabase" localSheetId="1" hidden="1">DENEME!$A$1:$DY$1114</definedName>
    <definedName name="GURUP" localSheetId="0">#REF!</definedName>
    <definedName name="GURUP" localSheetId="1">#REF!</definedName>
    <definedName name="GURUP">#REF!</definedName>
    <definedName name="GURUPLAR" localSheetId="0">#REF!</definedName>
    <definedName name="GURUPLAR" localSheetId="1">#REF!</definedName>
    <definedName name="GURUPLAR">#REF!</definedName>
    <definedName name="SADFASDFASD" localSheetId="0">#REF!</definedName>
    <definedName name="SADFASDFASD" localSheetId="1">#REF!</definedName>
    <definedName name="SADFASDFASD">#REF!</definedName>
    <definedName name="SADSAF" localSheetId="0">#REF!</definedName>
    <definedName name="SADSAF" localSheetId="1">#REF!</definedName>
    <definedName name="SADSAF">#REF!</definedName>
    <definedName name="SAYISAL" localSheetId="0">#REF!</definedName>
    <definedName name="SAYISAL" localSheetId="1">#REF!</definedName>
    <definedName name="SAYISAL">#REF!</definedName>
    <definedName name="TAHMINN" localSheetId="0">#REF!</definedName>
    <definedName name="TAHMINN" localSheetId="1">#REF!</definedName>
    <definedName name="TAHMINN">#REF!</definedName>
    <definedName name="TAHMİN" localSheetId="0">#REF!</definedName>
    <definedName name="TAHMİN" localSheetId="1">#REF!</definedName>
    <definedName name="TAHMİN">#REF!</definedName>
    <definedName name="TARİH" localSheetId="0">#REF!</definedName>
    <definedName name="TARİH" localSheetId="1">#REF!</definedName>
    <definedName name="TARİH">#REF!</definedName>
    <definedName name="TARİHİ" localSheetId="0">#REF!</definedName>
    <definedName name="TARİHİ" localSheetId="1">#REF!</definedName>
    <definedName name="TARİHİ">#REF!</definedName>
  </definedNames>
  <calcPr calcId="162913"/>
</workbook>
</file>

<file path=xl/calcChain.xml><?xml version="1.0" encoding="utf-8"?>
<calcChain xmlns="http://schemas.openxmlformats.org/spreadsheetml/2006/main">
  <c r="J2" i="127" l="1"/>
  <c r="H2" i="127"/>
  <c r="H50" i="127"/>
  <c r="G2" i="127"/>
  <c r="F2" i="127"/>
  <c r="E2" i="127"/>
  <c r="D2" i="127"/>
  <c r="C2" i="127"/>
  <c r="F394" i="127" l="1"/>
  <c r="C394" i="127"/>
  <c r="F392" i="127"/>
  <c r="C392" i="127"/>
  <c r="H388" i="127"/>
  <c r="F388" i="127"/>
  <c r="F346" i="127" s="1"/>
  <c r="C343" i="127" s="1"/>
  <c r="D277" i="127" s="1"/>
  <c r="J244" i="127" s="1"/>
  <c r="J232" i="127" s="1"/>
  <c r="D220" i="127" s="1"/>
  <c r="D205" i="127" s="1"/>
  <c r="D145" i="127" s="1"/>
  <c r="C136" i="127" s="1"/>
  <c r="E118" i="127" s="1"/>
  <c r="D388" i="127"/>
  <c r="C382" i="127" s="1"/>
  <c r="C370" i="127" s="1"/>
  <c r="D322" i="127" s="1"/>
  <c r="C307" i="127" s="1"/>
  <c r="C274" i="127" s="1"/>
  <c r="C256" i="127" s="1"/>
  <c r="D163" i="127" s="1"/>
  <c r="C145" i="127" s="1"/>
  <c r="E121" i="127" s="1"/>
  <c r="C73" i="127" s="1"/>
  <c r="C43" i="127" s="1"/>
  <c r="C13" i="127" s="1"/>
  <c r="J386" i="127"/>
  <c r="H386" i="127"/>
  <c r="F386" i="127"/>
  <c r="D386" i="127"/>
  <c r="C386" i="127"/>
  <c r="H382" i="127"/>
  <c r="G322" i="127" s="1"/>
  <c r="C310" i="127" s="1"/>
  <c r="C292" i="127" s="1"/>
  <c r="D271" i="127" s="1"/>
  <c r="J208" i="127" s="1"/>
  <c r="F172" i="127" s="1"/>
  <c r="F160" i="127" s="1"/>
  <c r="E115" i="127" s="1"/>
  <c r="D91" i="127" s="1"/>
  <c r="E382" i="127"/>
  <c r="J379" i="127" s="1"/>
  <c r="J355" i="127" s="1"/>
  <c r="H380" i="127"/>
  <c r="E380" i="127"/>
  <c r="C380" i="127"/>
  <c r="G379" i="127"/>
  <c r="C379" i="127"/>
  <c r="C331" i="127" s="1"/>
  <c r="J377" i="127"/>
  <c r="G377" i="127"/>
  <c r="C377" i="127"/>
  <c r="E376" i="127"/>
  <c r="J352" i="127" s="1"/>
  <c r="D334" i="127" s="1"/>
  <c r="J331" i="127" s="1"/>
  <c r="G313" i="127" s="1"/>
  <c r="C235" i="127" s="1"/>
  <c r="J220" i="127" s="1"/>
  <c r="D64" i="127" s="1"/>
  <c r="J31" i="127" s="1"/>
  <c r="D376" i="127"/>
  <c r="D355" i="127" s="1"/>
  <c r="E298" i="127" s="1"/>
  <c r="F289" i="127" s="1"/>
  <c r="D283" i="127" s="1"/>
  <c r="E274" i="127" s="1"/>
  <c r="G232" i="127" s="1"/>
  <c r="D148" i="127" s="1"/>
  <c r="D139" i="127" s="1"/>
  <c r="F374" i="127"/>
  <c r="E374" i="127"/>
  <c r="D374" i="127"/>
  <c r="C374" i="127"/>
  <c r="F373" i="127"/>
  <c r="E349" i="127" s="1"/>
  <c r="F241" i="127" s="1"/>
  <c r="E373" i="127"/>
  <c r="E370" i="127" s="1"/>
  <c r="D373" i="127"/>
  <c r="C373" i="127"/>
  <c r="C250" i="127" s="1"/>
  <c r="C220" i="127" s="1"/>
  <c r="D214" i="127" s="1"/>
  <c r="D172" i="127" s="1"/>
  <c r="C100" i="127" s="1"/>
  <c r="C94" i="127" s="1"/>
  <c r="C76" i="127" s="1"/>
  <c r="F371" i="127"/>
  <c r="E371" i="127"/>
  <c r="D371" i="127"/>
  <c r="C371" i="127"/>
  <c r="E368" i="127"/>
  <c r="D368" i="127"/>
  <c r="C368" i="127"/>
  <c r="H367" i="127"/>
  <c r="G286" i="127" s="1"/>
  <c r="E367" i="127"/>
  <c r="C367" i="127"/>
  <c r="C286" i="127" s="1"/>
  <c r="C247" i="127" s="1"/>
  <c r="H365" i="127"/>
  <c r="E365" i="127"/>
  <c r="C365" i="127"/>
  <c r="H364" i="127"/>
  <c r="H352" i="127" s="1"/>
  <c r="H295" i="127" s="1"/>
  <c r="H247" i="127" s="1"/>
  <c r="H196" i="127" s="1"/>
  <c r="H136" i="127" s="1"/>
  <c r="G91" i="127" s="1"/>
  <c r="G364" i="127"/>
  <c r="F358" i="127" s="1"/>
  <c r="F286" i="127" s="1"/>
  <c r="G280" i="127" s="1"/>
  <c r="E271" i="127" s="1"/>
  <c r="F136" i="127" s="1"/>
  <c r="E364" i="127"/>
  <c r="D364" i="127"/>
  <c r="C334" i="127" s="1"/>
  <c r="C280" i="127" s="1"/>
  <c r="E277" i="127" s="1"/>
  <c r="C364" i="127"/>
  <c r="C352" i="127" s="1"/>
  <c r="D307" i="127" s="1"/>
  <c r="C304" i="127" s="1"/>
  <c r="H362" i="127"/>
  <c r="G362" i="127"/>
  <c r="E362" i="127"/>
  <c r="D362" i="127"/>
  <c r="C362" i="127"/>
  <c r="H361" i="127"/>
  <c r="F361" i="127"/>
  <c r="H334" i="127" s="1"/>
  <c r="F304" i="127" s="1"/>
  <c r="G253" i="127" s="1"/>
  <c r="F229" i="127" s="1"/>
  <c r="H217" i="127" s="1"/>
  <c r="G214" i="127" s="1"/>
  <c r="F166" i="127" s="1"/>
  <c r="E361" i="127"/>
  <c r="H316" i="127" s="1"/>
  <c r="H359" i="127"/>
  <c r="F359" i="127"/>
  <c r="E359" i="127"/>
  <c r="C359" i="127"/>
  <c r="H358" i="127"/>
  <c r="G358" i="127"/>
  <c r="F247" i="127" s="1"/>
  <c r="G226" i="127" s="1"/>
  <c r="J187" i="127" s="1"/>
  <c r="J172" i="127" s="1"/>
  <c r="G142" i="127" s="1"/>
  <c r="G115" i="127" s="1"/>
  <c r="G97" i="127" s="1"/>
  <c r="E358" i="127"/>
  <c r="E331" i="127" s="1"/>
  <c r="H356" i="127"/>
  <c r="G356" i="127"/>
  <c r="F356" i="127"/>
  <c r="E356" i="127"/>
  <c r="H355" i="127"/>
  <c r="G355" i="127"/>
  <c r="G331" i="127" s="1"/>
  <c r="F181" i="127" s="1"/>
  <c r="H139" i="127" s="1"/>
  <c r="F355" i="127"/>
  <c r="E304" i="127" s="1"/>
  <c r="G277" i="127" s="1"/>
  <c r="C355" i="127"/>
  <c r="C337" i="127" s="1"/>
  <c r="D316" i="127" s="1"/>
  <c r="D313" i="127" s="1"/>
  <c r="D268" i="127" s="1"/>
  <c r="D250" i="127" s="1"/>
  <c r="J353" i="127"/>
  <c r="H353" i="127"/>
  <c r="G353" i="127"/>
  <c r="F353" i="127"/>
  <c r="D353" i="127"/>
  <c r="C353" i="127"/>
  <c r="G352" i="127"/>
  <c r="F352" i="127"/>
  <c r="E352" i="127"/>
  <c r="G349" i="127" s="1"/>
  <c r="G319" i="127" s="1"/>
  <c r="G316" i="127" s="1"/>
  <c r="D256" i="127" s="1"/>
  <c r="D235" i="127" s="1"/>
  <c r="F211" i="127" s="1"/>
  <c r="J199" i="127" s="1"/>
  <c r="G190" i="127" s="1"/>
  <c r="E148" i="127" s="1"/>
  <c r="G145" i="127" s="1"/>
  <c r="F142" i="127" s="1"/>
  <c r="E31" i="127" s="1"/>
  <c r="D352" i="127"/>
  <c r="J292" i="127" s="1"/>
  <c r="E283" i="127" s="1"/>
  <c r="J193" i="127" s="1"/>
  <c r="D166" i="127" s="1"/>
  <c r="E133" i="127" s="1"/>
  <c r="D97" i="127" s="1"/>
  <c r="G82" i="127" s="1"/>
  <c r="J350" i="127"/>
  <c r="H350" i="127"/>
  <c r="G350" i="127"/>
  <c r="F350" i="127"/>
  <c r="E350" i="127"/>
  <c r="D350" i="127"/>
  <c r="C350" i="127"/>
  <c r="H349" i="127"/>
  <c r="G334" i="127" s="1"/>
  <c r="H289" i="127" s="1"/>
  <c r="G211" i="127" s="1"/>
  <c r="E184" i="127" s="1"/>
  <c r="G154" i="127" s="1"/>
  <c r="C349" i="127"/>
  <c r="C340" i="127" s="1"/>
  <c r="C316" i="127" s="1"/>
  <c r="C301" i="127" s="1"/>
  <c r="J256" i="127" s="1"/>
  <c r="C226" i="127" s="1"/>
  <c r="J205" i="127" s="1"/>
  <c r="C160" i="127" s="1"/>
  <c r="C121" i="127" s="1"/>
  <c r="C118" i="127" s="1"/>
  <c r="C97" i="127" s="1"/>
  <c r="H347" i="127"/>
  <c r="G347" i="127"/>
  <c r="E347" i="127"/>
  <c r="C347" i="127"/>
  <c r="H346" i="127"/>
  <c r="G274" i="127" s="1"/>
  <c r="J268" i="127" s="1"/>
  <c r="G346" i="127"/>
  <c r="D280" i="127" s="1"/>
  <c r="J211" i="127" s="1"/>
  <c r="C178" i="127" s="1"/>
  <c r="D346" i="127"/>
  <c r="D337" i="127" s="1"/>
  <c r="E313" i="127" s="1"/>
  <c r="D226" i="127" s="1"/>
  <c r="C148" i="127" s="1"/>
  <c r="D133" i="127" s="1"/>
  <c r="J115" i="127" s="1"/>
  <c r="C88" i="127" s="1"/>
  <c r="D73" i="127" s="1"/>
  <c r="J40" i="127" s="1"/>
  <c r="H344" i="127"/>
  <c r="G344" i="127"/>
  <c r="F344" i="127"/>
  <c r="D344" i="127"/>
  <c r="G343" i="127"/>
  <c r="E229" i="127" s="1"/>
  <c r="F343" i="127"/>
  <c r="E343" i="127"/>
  <c r="G341" i="127"/>
  <c r="F341" i="127"/>
  <c r="E341" i="127"/>
  <c r="C341" i="127"/>
  <c r="H340" i="127"/>
  <c r="F331" i="127" s="1"/>
  <c r="F265" i="127" s="1"/>
  <c r="F262" i="127" s="1"/>
  <c r="G247" i="127" s="1"/>
  <c r="F178" i="127" s="1"/>
  <c r="J79" i="127" s="1"/>
  <c r="F58" i="127" s="1"/>
  <c r="G340" i="127"/>
  <c r="F253" i="127" s="1"/>
  <c r="F340" i="127"/>
  <c r="E340" i="127"/>
  <c r="J229" i="127" s="1"/>
  <c r="E226" i="127" s="1"/>
  <c r="J181" i="127" s="1"/>
  <c r="D340" i="127"/>
  <c r="H338" i="127"/>
  <c r="G338" i="127"/>
  <c r="F338" i="127"/>
  <c r="E338" i="127"/>
  <c r="D338" i="127"/>
  <c r="C338" i="127"/>
  <c r="G337" i="127"/>
  <c r="E337" i="127"/>
  <c r="G335" i="127"/>
  <c r="E335" i="127"/>
  <c r="D335" i="127"/>
  <c r="C335" i="127"/>
  <c r="E334" i="127"/>
  <c r="F310" i="127" s="1"/>
  <c r="H332" i="127"/>
  <c r="G332" i="127"/>
  <c r="E332" i="127"/>
  <c r="D332" i="127"/>
  <c r="C332" i="127"/>
  <c r="H331" i="127"/>
  <c r="H301" i="127" s="1"/>
  <c r="H292" i="127" s="1"/>
  <c r="H214" i="127" s="1"/>
  <c r="J169" i="127" s="1"/>
  <c r="H145" i="127" s="1"/>
  <c r="D331" i="127"/>
  <c r="C328" i="127" s="1"/>
  <c r="E322" i="127" s="1"/>
  <c r="C211" i="127" s="1"/>
  <c r="E163" i="127" s="1"/>
  <c r="C133" i="127" s="1"/>
  <c r="J329" i="127"/>
  <c r="H329" i="127"/>
  <c r="G329" i="127"/>
  <c r="F329" i="127"/>
  <c r="E329" i="127"/>
  <c r="D329" i="127"/>
  <c r="C329" i="127"/>
  <c r="H328" i="127"/>
  <c r="G328" i="127"/>
  <c r="E328" i="127"/>
  <c r="F313" i="127" s="1"/>
  <c r="D301" i="127" s="1"/>
  <c r="C283" i="127" s="1"/>
  <c r="G326" i="127"/>
  <c r="F326" i="127"/>
  <c r="E326" i="127"/>
  <c r="C326" i="127"/>
  <c r="H325" i="127"/>
  <c r="G325" i="127"/>
  <c r="F298" i="127" s="1"/>
  <c r="H241" i="127" s="1"/>
  <c r="F325" i="127"/>
  <c r="E325" i="127"/>
  <c r="D292" i="127" s="1"/>
  <c r="G289" i="127" s="1"/>
  <c r="E259" i="127" s="1"/>
  <c r="F139" i="127" s="1"/>
  <c r="H323" i="127"/>
  <c r="G323" i="127"/>
  <c r="F323" i="127"/>
  <c r="E323" i="127"/>
  <c r="D323" i="127"/>
  <c r="F322" i="127"/>
  <c r="D286" i="127" s="1"/>
  <c r="C175" i="127" s="1"/>
  <c r="C46" i="127" s="1"/>
  <c r="C16" i="127" s="1"/>
  <c r="C322" i="127"/>
  <c r="C295" i="127" s="1"/>
  <c r="H320" i="127"/>
  <c r="G320" i="127"/>
  <c r="F320" i="127"/>
  <c r="E320" i="127"/>
  <c r="D320" i="127"/>
  <c r="C320" i="127"/>
  <c r="H319" i="127"/>
  <c r="G304" i="127" s="1"/>
  <c r="F223" i="127" s="1"/>
  <c r="H178" i="127" s="1"/>
  <c r="H67" i="127" s="1"/>
  <c r="E319" i="127"/>
  <c r="C319" i="127"/>
  <c r="E307" i="127" s="1"/>
  <c r="J317" i="127"/>
  <c r="H317" i="127"/>
  <c r="G317" i="127"/>
  <c r="F317" i="127"/>
  <c r="E317" i="127"/>
  <c r="D317" i="127"/>
  <c r="C317" i="127"/>
  <c r="F316" i="127"/>
  <c r="D310" i="127" s="1"/>
  <c r="D304" i="127" s="1"/>
  <c r="H232" i="127" s="1"/>
  <c r="C181" i="127" s="1"/>
  <c r="D178" i="127" s="1"/>
  <c r="F127" i="127" s="1"/>
  <c r="E16" i="127" s="1"/>
  <c r="E316" i="127"/>
  <c r="E295" i="127" s="1"/>
  <c r="F232" i="127" s="1"/>
  <c r="H314" i="127"/>
  <c r="G314" i="127"/>
  <c r="F314" i="127"/>
  <c r="E314" i="127"/>
  <c r="D314" i="127"/>
  <c r="C314" i="127"/>
  <c r="C313" i="127"/>
  <c r="C298" i="127" s="1"/>
  <c r="C268" i="127" s="1"/>
  <c r="C253" i="127" s="1"/>
  <c r="C214" i="127" s="1"/>
  <c r="C208" i="127" s="1"/>
  <c r="J196" i="127" s="1"/>
  <c r="C157" i="127" s="1"/>
  <c r="C103" i="127" s="1"/>
  <c r="C58" i="127" s="1"/>
  <c r="H311" i="127"/>
  <c r="G311" i="127"/>
  <c r="F311" i="127"/>
  <c r="E311" i="127"/>
  <c r="D311" i="127"/>
  <c r="C311" i="127"/>
  <c r="H310" i="127"/>
  <c r="G310" i="127"/>
  <c r="E310" i="127"/>
  <c r="F268" i="127" s="1"/>
  <c r="H308" i="127"/>
  <c r="G308" i="127"/>
  <c r="F308" i="127"/>
  <c r="E308" i="127"/>
  <c r="D308" i="127"/>
  <c r="C308" i="127"/>
  <c r="H307" i="127"/>
  <c r="H268" i="127" s="1"/>
  <c r="G259" i="127" s="1"/>
  <c r="F208" i="127" s="1"/>
  <c r="G169" i="127" s="1"/>
  <c r="J109" i="127" s="1"/>
  <c r="G106" i="127" s="1"/>
  <c r="E76" i="127" s="1"/>
  <c r="G307" i="127"/>
  <c r="D289" i="127" s="1"/>
  <c r="F277" i="127" s="1"/>
  <c r="D247" i="127" s="1"/>
  <c r="E208" i="127" s="1"/>
  <c r="E199" i="127" s="1"/>
  <c r="E160" i="127" s="1"/>
  <c r="J112" i="127" s="1"/>
  <c r="C85" i="127" s="1"/>
  <c r="F307" i="127"/>
  <c r="D274" i="127" s="1"/>
  <c r="C127" i="127" s="1"/>
  <c r="D49" i="127" s="1"/>
  <c r="J16" i="127" s="1"/>
  <c r="H305" i="127"/>
  <c r="G305" i="127"/>
  <c r="F305" i="127"/>
  <c r="E305" i="127"/>
  <c r="D305" i="127"/>
  <c r="C305" i="127"/>
  <c r="H302" i="127"/>
  <c r="G302" i="127"/>
  <c r="F302" i="127"/>
  <c r="E302" i="127"/>
  <c r="D302" i="127"/>
  <c r="C302" i="127"/>
  <c r="G301" i="127"/>
  <c r="F301" i="127"/>
  <c r="H283" i="127" s="1"/>
  <c r="H265" i="127" s="1"/>
  <c r="G181" i="127" s="1"/>
  <c r="G151" i="127" s="1"/>
  <c r="J145" i="127" s="1"/>
  <c r="J106" i="127" s="1"/>
  <c r="H76" i="127" s="1"/>
  <c r="H299" i="127"/>
  <c r="G299" i="127"/>
  <c r="F299" i="127"/>
  <c r="E299" i="127"/>
  <c r="D299" i="127"/>
  <c r="C299" i="127"/>
  <c r="H298" i="127"/>
  <c r="H286" i="127" s="1"/>
  <c r="H256" i="127" s="1"/>
  <c r="G298" i="127"/>
  <c r="G262" i="127" s="1"/>
  <c r="H175" i="127" s="1"/>
  <c r="H118" i="127" s="1"/>
  <c r="G100" i="127" s="1"/>
  <c r="H97" i="127" s="1"/>
  <c r="D37" i="127" s="1"/>
  <c r="J4" i="127" s="1"/>
  <c r="H296" i="127"/>
  <c r="G296" i="127"/>
  <c r="F296" i="127"/>
  <c r="E296" i="127"/>
  <c r="D296" i="127"/>
  <c r="C296" i="127"/>
  <c r="G295" i="127"/>
  <c r="H280" i="127" s="1"/>
  <c r="F256" i="127" s="1"/>
  <c r="G229" i="127" s="1"/>
  <c r="H199" i="127" s="1"/>
  <c r="J163" i="127" s="1"/>
  <c r="D295" i="127"/>
  <c r="C262" i="127" s="1"/>
  <c r="E250" i="127" s="1"/>
  <c r="E214" i="127" s="1"/>
  <c r="C187" i="127" s="1"/>
  <c r="C184" i="127" s="1"/>
  <c r="E172" i="127" s="1"/>
  <c r="D58" i="127" s="1"/>
  <c r="J25" i="127" s="1"/>
  <c r="H293" i="127"/>
  <c r="G293" i="127"/>
  <c r="F293" i="127"/>
  <c r="E293" i="127"/>
  <c r="D293" i="127"/>
  <c r="C293" i="127"/>
  <c r="G292" i="127"/>
  <c r="F283" i="127" s="1"/>
  <c r="H274" i="127" s="1"/>
  <c r="G271" i="127" s="1"/>
  <c r="G184" i="127" s="1"/>
  <c r="H121" i="127" s="1"/>
  <c r="G112" i="127" s="1"/>
  <c r="G70" i="127" s="1"/>
  <c r="E292" i="127"/>
  <c r="J290" i="127"/>
  <c r="H290" i="127"/>
  <c r="G290" i="127"/>
  <c r="F290" i="127"/>
  <c r="E290" i="127"/>
  <c r="D290" i="127"/>
  <c r="C290" i="127"/>
  <c r="E289" i="127"/>
  <c r="H287" i="127"/>
  <c r="G287" i="127"/>
  <c r="F287" i="127"/>
  <c r="E287" i="127"/>
  <c r="D287" i="127"/>
  <c r="C287" i="127"/>
  <c r="E286" i="127"/>
  <c r="E280" i="127" s="1"/>
  <c r="E235" i="127" s="1"/>
  <c r="F220" i="127" s="1"/>
  <c r="G193" i="127" s="1"/>
  <c r="F112" i="127" s="1"/>
  <c r="F61" i="127" s="1"/>
  <c r="H284" i="127"/>
  <c r="G284" i="127"/>
  <c r="F284" i="127"/>
  <c r="E284" i="127"/>
  <c r="D284" i="127"/>
  <c r="C284" i="127"/>
  <c r="J283" i="127"/>
  <c r="H277" i="127" s="1"/>
  <c r="H235" i="127" s="1"/>
  <c r="G55" i="127" s="1"/>
  <c r="H19" i="127" s="1"/>
  <c r="G283" i="127"/>
  <c r="G235" i="127" s="1"/>
  <c r="G223" i="127" s="1"/>
  <c r="H184" i="127" s="1"/>
  <c r="H154" i="127" s="1"/>
  <c r="G148" i="127" s="1"/>
  <c r="H106" i="127" s="1"/>
  <c r="J281" i="127"/>
  <c r="H281" i="127"/>
  <c r="G281" i="127"/>
  <c r="F281" i="127"/>
  <c r="E281" i="127"/>
  <c r="D281" i="127"/>
  <c r="C281" i="127"/>
  <c r="F280" i="127"/>
  <c r="J271" i="127" s="1"/>
  <c r="G241" i="127" s="1"/>
  <c r="J278" i="127"/>
  <c r="H278" i="127"/>
  <c r="G278" i="127"/>
  <c r="F278" i="127"/>
  <c r="E278" i="127"/>
  <c r="D278" i="127"/>
  <c r="C278" i="127"/>
  <c r="C277" i="127"/>
  <c r="C265" i="127" s="1"/>
  <c r="D232" i="127" s="1"/>
  <c r="C199" i="127" s="1"/>
  <c r="D160" i="127" s="1"/>
  <c r="J275" i="127"/>
  <c r="H275" i="127"/>
  <c r="G275" i="127"/>
  <c r="F275" i="127"/>
  <c r="E275" i="127"/>
  <c r="D275" i="127"/>
  <c r="C275" i="127"/>
  <c r="J274" i="127"/>
  <c r="J247" i="127" s="1"/>
  <c r="F244" i="127" s="1"/>
  <c r="E223" i="127" s="1"/>
  <c r="F157" i="127" s="1"/>
  <c r="C151" i="127" s="1"/>
  <c r="F274" i="127"/>
  <c r="J272" i="127"/>
  <c r="H272" i="127"/>
  <c r="G272" i="127"/>
  <c r="F272" i="127"/>
  <c r="E272" i="127"/>
  <c r="D272" i="127"/>
  <c r="C272" i="127"/>
  <c r="F271" i="127"/>
  <c r="G202" i="127" s="1"/>
  <c r="G121" i="127" s="1"/>
  <c r="F118" i="127" s="1"/>
  <c r="J269" i="127"/>
  <c r="H269" i="127"/>
  <c r="G269" i="127"/>
  <c r="F269" i="127"/>
  <c r="E269" i="127"/>
  <c r="D269" i="127"/>
  <c r="C269" i="127"/>
  <c r="E268" i="127"/>
  <c r="J266" i="127"/>
  <c r="H266" i="127"/>
  <c r="G266" i="127"/>
  <c r="F266" i="127"/>
  <c r="E266" i="127"/>
  <c r="D266" i="127"/>
  <c r="C266" i="127"/>
  <c r="G265" i="127"/>
  <c r="J259" i="127" s="1"/>
  <c r="E265" i="127"/>
  <c r="G244" i="127" s="1"/>
  <c r="F115" i="127" s="1"/>
  <c r="D265" i="127"/>
  <c r="E262" i="127" s="1"/>
  <c r="J263" i="127"/>
  <c r="H263" i="127"/>
  <c r="G263" i="127"/>
  <c r="F263" i="127"/>
  <c r="E263" i="127"/>
  <c r="D263" i="127"/>
  <c r="C263" i="127"/>
  <c r="J262" i="127"/>
  <c r="H262" i="127"/>
  <c r="J217" i="127" s="1"/>
  <c r="H151" i="127" s="1"/>
  <c r="H91" i="127" s="1"/>
  <c r="J260" i="127"/>
  <c r="H260" i="127"/>
  <c r="G260" i="127"/>
  <c r="F260" i="127"/>
  <c r="E260" i="127"/>
  <c r="D260" i="127"/>
  <c r="C260" i="127"/>
  <c r="H259" i="127"/>
  <c r="H244" i="127" s="1"/>
  <c r="G205" i="127" s="1"/>
  <c r="H172" i="127" s="1"/>
  <c r="G166" i="127" s="1"/>
  <c r="H142" i="127" s="1"/>
  <c r="H130" i="127" s="1"/>
  <c r="E55" i="127" s="1"/>
  <c r="F259" i="127"/>
  <c r="D259" i="127"/>
  <c r="E217" i="127" s="1"/>
  <c r="E145" i="127" s="1"/>
  <c r="D136" i="127" s="1"/>
  <c r="C259" i="127"/>
  <c r="J257" i="127"/>
  <c r="H257" i="127"/>
  <c r="G257" i="127"/>
  <c r="F257" i="127"/>
  <c r="E257" i="127"/>
  <c r="D257" i="127"/>
  <c r="C257" i="127"/>
  <c r="G256" i="127"/>
  <c r="G238" i="127" s="1"/>
  <c r="G208" i="127" s="1"/>
  <c r="F196" i="127" s="1"/>
  <c r="H193" i="127" s="1"/>
  <c r="H190" i="127" s="1"/>
  <c r="E181" i="127" s="1"/>
  <c r="G178" i="127" s="1"/>
  <c r="G175" i="127" s="1"/>
  <c r="H115" i="127" s="1"/>
  <c r="J100" i="127" s="1"/>
  <c r="J64" i="127" s="1"/>
  <c r="F52" i="127" s="1"/>
  <c r="J254" i="127"/>
  <c r="H254" i="127"/>
  <c r="G254" i="127"/>
  <c r="F254" i="127"/>
  <c r="E254" i="127"/>
  <c r="D254" i="127"/>
  <c r="C254" i="127"/>
  <c r="H253" i="127"/>
  <c r="H250" i="127" s="1"/>
  <c r="H220" i="127" s="1"/>
  <c r="H211" i="127" s="1"/>
  <c r="H169" i="127" s="1"/>
  <c r="E253" i="127"/>
  <c r="J250" i="127" s="1"/>
  <c r="J139" i="127" s="1"/>
  <c r="F121" i="127" s="1"/>
  <c r="J251" i="127"/>
  <c r="H251" i="127"/>
  <c r="G251" i="127"/>
  <c r="F251" i="127"/>
  <c r="E251" i="127"/>
  <c r="D251" i="127"/>
  <c r="C251" i="127"/>
  <c r="G250" i="127"/>
  <c r="E220" i="127" s="1"/>
  <c r="F169" i="127" s="1"/>
  <c r="H163" i="127" s="1"/>
  <c r="F145" i="127" s="1"/>
  <c r="F250" i="127"/>
  <c r="J248" i="127"/>
  <c r="H248" i="127"/>
  <c r="G248" i="127"/>
  <c r="F248" i="127"/>
  <c r="E248" i="127"/>
  <c r="D248" i="127"/>
  <c r="C248" i="127"/>
  <c r="J245" i="127"/>
  <c r="H245" i="127"/>
  <c r="G245" i="127"/>
  <c r="F245" i="127"/>
  <c r="E245" i="127"/>
  <c r="D245" i="127"/>
  <c r="C245" i="127"/>
  <c r="E244" i="127"/>
  <c r="F238" i="127" s="1"/>
  <c r="J226" i="127" s="1"/>
  <c r="F214" i="127" s="1"/>
  <c r="F193" i="127" s="1"/>
  <c r="E175" i="127" s="1"/>
  <c r="G160" i="127" s="1"/>
  <c r="F124" i="127" s="1"/>
  <c r="D244" i="127"/>
  <c r="D241" i="127" s="1"/>
  <c r="D223" i="127" s="1"/>
  <c r="C244" i="127"/>
  <c r="E232" i="127" s="1"/>
  <c r="D169" i="127" s="1"/>
  <c r="D124" i="127" s="1"/>
  <c r="C112" i="127" s="1"/>
  <c r="D82" i="127" s="1"/>
  <c r="C49" i="127" s="1"/>
  <c r="C19" i="127" s="1"/>
  <c r="J242" i="127"/>
  <c r="H242" i="127"/>
  <c r="G242" i="127"/>
  <c r="F242" i="127"/>
  <c r="E242" i="127"/>
  <c r="D242" i="127"/>
  <c r="C242" i="127"/>
  <c r="J241" i="127"/>
  <c r="D229" i="127" s="1"/>
  <c r="E136" i="127" s="1"/>
  <c r="F130" i="127" s="1"/>
  <c r="E19" i="127" s="1"/>
  <c r="E241" i="127"/>
  <c r="C229" i="127" s="1"/>
  <c r="E202" i="127" s="1"/>
  <c r="D184" i="127" s="1"/>
  <c r="E103" i="127" s="1"/>
  <c r="D70" i="127" s="1"/>
  <c r="C241" i="127"/>
  <c r="D238" i="127" s="1"/>
  <c r="C232" i="127" s="1"/>
  <c r="J239" i="127"/>
  <c r="H239" i="127"/>
  <c r="G239" i="127"/>
  <c r="F239" i="127"/>
  <c r="E239" i="127"/>
  <c r="D239" i="127"/>
  <c r="C239" i="127"/>
  <c r="J236" i="127"/>
  <c r="H236" i="127"/>
  <c r="G236" i="127"/>
  <c r="F236" i="127"/>
  <c r="E236" i="127"/>
  <c r="D236" i="127"/>
  <c r="C236" i="127"/>
  <c r="F235" i="127"/>
  <c r="J233" i="127"/>
  <c r="H233" i="127"/>
  <c r="G233" i="127"/>
  <c r="F233" i="127"/>
  <c r="E233" i="127"/>
  <c r="D233" i="127"/>
  <c r="C233" i="127"/>
  <c r="J230" i="127"/>
  <c r="H230" i="127"/>
  <c r="G230" i="127"/>
  <c r="F230" i="127"/>
  <c r="E230" i="127"/>
  <c r="D230" i="127"/>
  <c r="C230" i="127"/>
  <c r="J227" i="127"/>
  <c r="H227" i="127"/>
  <c r="G227" i="127"/>
  <c r="F227" i="127"/>
  <c r="E227" i="127"/>
  <c r="D227" i="127"/>
  <c r="C227" i="127"/>
  <c r="F226" i="127"/>
  <c r="F205" i="127" s="1"/>
  <c r="E187" i="127" s="1"/>
  <c r="F175" i="127" s="1"/>
  <c r="E169" i="127" s="1"/>
  <c r="E109" i="127" s="1"/>
  <c r="G103" i="127" s="1"/>
  <c r="E70" i="127" s="1"/>
  <c r="J224" i="127"/>
  <c r="H224" i="127"/>
  <c r="G224" i="127"/>
  <c r="F224" i="127"/>
  <c r="E224" i="127"/>
  <c r="D224" i="127"/>
  <c r="C224" i="127"/>
  <c r="H223" i="127"/>
  <c r="J221" i="127"/>
  <c r="H221" i="127"/>
  <c r="G221" i="127"/>
  <c r="F221" i="127"/>
  <c r="E221" i="127"/>
  <c r="D221" i="127"/>
  <c r="C221" i="127"/>
  <c r="J218" i="127"/>
  <c r="H218" i="127"/>
  <c r="G218" i="127"/>
  <c r="F218" i="127"/>
  <c r="E218" i="127"/>
  <c r="D218" i="127"/>
  <c r="C218" i="127"/>
  <c r="G217" i="127"/>
  <c r="E178" i="127" s="1"/>
  <c r="E166" i="127" s="1"/>
  <c r="G118" i="127" s="1"/>
  <c r="G94" i="127" s="1"/>
  <c r="G85" i="127" s="1"/>
  <c r="F217" i="127"/>
  <c r="G199" i="127" s="1"/>
  <c r="E190" i="127" s="1"/>
  <c r="D217" i="127"/>
  <c r="E193" i="127" s="1"/>
  <c r="C217" i="127"/>
  <c r="C205" i="127" s="1"/>
  <c r="J215" i="127"/>
  <c r="H215" i="127"/>
  <c r="G215" i="127"/>
  <c r="F215" i="127"/>
  <c r="E215" i="127"/>
  <c r="D215" i="127"/>
  <c r="C215" i="127"/>
  <c r="J214" i="127"/>
  <c r="D121" i="127" s="1"/>
  <c r="C106" i="127" s="1"/>
  <c r="J212" i="127"/>
  <c r="H212" i="127"/>
  <c r="G212" i="127"/>
  <c r="F212" i="127"/>
  <c r="E212" i="127"/>
  <c r="D212" i="127"/>
  <c r="C212" i="127"/>
  <c r="E211" i="127"/>
  <c r="D211" i="127"/>
  <c r="J184" i="127" s="1"/>
  <c r="J209" i="127"/>
  <c r="H209" i="127"/>
  <c r="G209" i="127"/>
  <c r="F209" i="127"/>
  <c r="E209" i="127"/>
  <c r="D209" i="127"/>
  <c r="C209" i="127"/>
  <c r="H208" i="127"/>
  <c r="H157" i="127" s="1"/>
  <c r="J136" i="127" s="1"/>
  <c r="H100" i="127" s="1"/>
  <c r="J206" i="127"/>
  <c r="H206" i="127"/>
  <c r="G206" i="127"/>
  <c r="F206" i="127"/>
  <c r="E206" i="127"/>
  <c r="D206" i="127"/>
  <c r="C206" i="127"/>
  <c r="H205" i="127"/>
  <c r="H181" i="127" s="1"/>
  <c r="J133" i="127" s="1"/>
  <c r="J130" i="127" s="1"/>
  <c r="J94" i="127" s="1"/>
  <c r="H61" i="127" s="1"/>
  <c r="F10" i="127" s="1"/>
  <c r="J203" i="127"/>
  <c r="H203" i="127"/>
  <c r="G203" i="127"/>
  <c r="F203" i="127"/>
  <c r="E203" i="127"/>
  <c r="D203" i="127"/>
  <c r="C203" i="127"/>
  <c r="J202" i="127"/>
  <c r="C115" i="127" s="1"/>
  <c r="D103" i="127" s="1"/>
  <c r="H202" i="127"/>
  <c r="G196" i="127" s="1"/>
  <c r="G136" i="127" s="1"/>
  <c r="H124" i="127" s="1"/>
  <c r="D202" i="127"/>
  <c r="C142" i="127" s="1"/>
  <c r="C139" i="127" s="1"/>
  <c r="J127" i="127" s="1"/>
  <c r="E100" i="127" s="1"/>
  <c r="D52" i="127" s="1"/>
  <c r="J19" i="127" s="1"/>
  <c r="C202" i="127"/>
  <c r="C196" i="127" s="1"/>
  <c r="C163" i="127" s="1"/>
  <c r="C130" i="127" s="1"/>
  <c r="D94" i="127" s="1"/>
  <c r="C61" i="127" s="1"/>
  <c r="C31" i="127" s="1"/>
  <c r="J200" i="127"/>
  <c r="H200" i="127"/>
  <c r="G200" i="127"/>
  <c r="F200" i="127"/>
  <c r="E200" i="127"/>
  <c r="D200" i="127"/>
  <c r="C200" i="127"/>
  <c r="D199" i="127"/>
  <c r="J197" i="127"/>
  <c r="H197" i="127"/>
  <c r="G197" i="127"/>
  <c r="F197" i="127"/>
  <c r="E197" i="127"/>
  <c r="D197" i="127"/>
  <c r="C197" i="127"/>
  <c r="E196" i="127"/>
  <c r="G187" i="127" s="1"/>
  <c r="F184" i="127" s="1"/>
  <c r="D181" i="127" s="1"/>
  <c r="F151" i="127" s="1"/>
  <c r="J194" i="127"/>
  <c r="H194" i="127"/>
  <c r="G194" i="127"/>
  <c r="F194" i="127"/>
  <c r="E194" i="127"/>
  <c r="D194" i="127"/>
  <c r="C194" i="127"/>
  <c r="D193" i="127"/>
  <c r="D127" i="127" s="1"/>
  <c r="C91" i="127" s="1"/>
  <c r="E67" i="127" s="1"/>
  <c r="E49" i="127" s="1"/>
  <c r="J191" i="127"/>
  <c r="H191" i="127"/>
  <c r="G191" i="127"/>
  <c r="F191" i="127"/>
  <c r="E191" i="127"/>
  <c r="D191" i="127"/>
  <c r="C191" i="127"/>
  <c r="J190" i="127"/>
  <c r="H187" i="127" s="1"/>
  <c r="G109" i="127" s="1"/>
  <c r="H94" i="127" s="1"/>
  <c r="D190" i="127"/>
  <c r="C190" i="127"/>
  <c r="D157" i="127" s="1"/>
  <c r="J154" i="127" s="1"/>
  <c r="J151" i="127" s="1"/>
  <c r="J188" i="127"/>
  <c r="H188" i="127"/>
  <c r="G188" i="127"/>
  <c r="F188" i="127"/>
  <c r="E188" i="127"/>
  <c r="D188" i="127"/>
  <c r="C188" i="127"/>
  <c r="F187" i="127"/>
  <c r="E142" i="127" s="1"/>
  <c r="H103" i="127" s="1"/>
  <c r="D43" i="127" s="1"/>
  <c r="J10" i="127" s="1"/>
  <c r="D187" i="127"/>
  <c r="D151" i="127" s="1"/>
  <c r="G139" i="127" s="1"/>
  <c r="J124" i="127" s="1"/>
  <c r="J97" i="127" s="1"/>
  <c r="J185" i="127"/>
  <c r="H185" i="127"/>
  <c r="G185" i="127"/>
  <c r="F185" i="127"/>
  <c r="E185" i="127"/>
  <c r="D185" i="127"/>
  <c r="C185" i="127"/>
  <c r="J182" i="127"/>
  <c r="H182" i="127"/>
  <c r="G182" i="127"/>
  <c r="F182" i="127"/>
  <c r="E182" i="127"/>
  <c r="D182" i="127"/>
  <c r="C182" i="127"/>
  <c r="J179" i="127"/>
  <c r="H179" i="127"/>
  <c r="G179" i="127"/>
  <c r="F179" i="127"/>
  <c r="E179" i="127"/>
  <c r="D179" i="127"/>
  <c r="C179" i="127"/>
  <c r="J176" i="127"/>
  <c r="H176" i="127"/>
  <c r="G176" i="127"/>
  <c r="F176" i="127"/>
  <c r="E176" i="127"/>
  <c r="D176" i="127"/>
  <c r="C176" i="127"/>
  <c r="J175" i="127"/>
  <c r="C172" i="127" s="1"/>
  <c r="D175" i="127"/>
  <c r="D154" i="127" s="1"/>
  <c r="E130" i="127" s="1"/>
  <c r="E106" i="127" s="1"/>
  <c r="J173" i="127"/>
  <c r="H173" i="127"/>
  <c r="G173" i="127"/>
  <c r="F173" i="127"/>
  <c r="E173" i="127"/>
  <c r="D173" i="127"/>
  <c r="C173" i="127"/>
  <c r="G172" i="127"/>
  <c r="J170" i="127"/>
  <c r="H170" i="127"/>
  <c r="G170" i="127"/>
  <c r="F170" i="127"/>
  <c r="E170" i="127"/>
  <c r="D170" i="127"/>
  <c r="C170" i="127"/>
  <c r="J167" i="127"/>
  <c r="H167" i="127"/>
  <c r="G167" i="127"/>
  <c r="F167" i="127"/>
  <c r="E167" i="127"/>
  <c r="D167" i="127"/>
  <c r="C167" i="127"/>
  <c r="J164" i="127"/>
  <c r="H164" i="127"/>
  <c r="G164" i="127"/>
  <c r="F164" i="127"/>
  <c r="E164" i="127"/>
  <c r="D164" i="127"/>
  <c r="C164" i="127"/>
  <c r="J161" i="127"/>
  <c r="H161" i="127"/>
  <c r="G161" i="127"/>
  <c r="F161" i="127"/>
  <c r="E161" i="127"/>
  <c r="D161" i="127"/>
  <c r="C161" i="127"/>
  <c r="H160" i="127"/>
  <c r="J158" i="127"/>
  <c r="H158" i="127"/>
  <c r="G158" i="127"/>
  <c r="F158" i="127"/>
  <c r="E158" i="127"/>
  <c r="D158" i="127"/>
  <c r="C158" i="127"/>
  <c r="J157" i="127"/>
  <c r="E112" i="127" s="1"/>
  <c r="F106" i="127" s="1"/>
  <c r="F46" i="127" s="1"/>
  <c r="G157" i="127"/>
  <c r="J118" i="127" s="1"/>
  <c r="E157" i="127"/>
  <c r="J155" i="127"/>
  <c r="H155" i="127"/>
  <c r="G155" i="127"/>
  <c r="F155" i="127"/>
  <c r="E155" i="127"/>
  <c r="D155" i="127"/>
  <c r="C155" i="127"/>
  <c r="J152" i="127"/>
  <c r="H152" i="127"/>
  <c r="G152" i="127"/>
  <c r="F152" i="127"/>
  <c r="E152" i="127"/>
  <c r="D152" i="127"/>
  <c r="C152" i="127"/>
  <c r="J149" i="127"/>
  <c r="H149" i="127"/>
  <c r="G149" i="127"/>
  <c r="F149" i="127"/>
  <c r="E149" i="127"/>
  <c r="D149" i="127"/>
  <c r="C149" i="127"/>
  <c r="J148" i="127"/>
  <c r="C55" i="127" s="1"/>
  <c r="C25" i="127" s="1"/>
  <c r="J146" i="127"/>
  <c r="H146" i="127"/>
  <c r="G146" i="127"/>
  <c r="F146" i="127"/>
  <c r="E146" i="127"/>
  <c r="D146" i="127"/>
  <c r="C146" i="127"/>
  <c r="J143" i="127"/>
  <c r="H143" i="127"/>
  <c r="G143" i="127"/>
  <c r="F143" i="127"/>
  <c r="E143" i="127"/>
  <c r="D143" i="127"/>
  <c r="C143" i="127"/>
  <c r="J140" i="127"/>
  <c r="H140" i="127"/>
  <c r="G140" i="127"/>
  <c r="F140" i="127"/>
  <c r="E140" i="127"/>
  <c r="D140" i="127"/>
  <c r="C140" i="127"/>
  <c r="J137" i="127"/>
  <c r="H137" i="127"/>
  <c r="G137" i="127"/>
  <c r="F137" i="127"/>
  <c r="E137" i="127"/>
  <c r="D137" i="127"/>
  <c r="C137" i="127"/>
  <c r="J134" i="127"/>
  <c r="H134" i="127"/>
  <c r="G134" i="127"/>
  <c r="F134" i="127"/>
  <c r="E134" i="127"/>
  <c r="D134" i="127"/>
  <c r="C134" i="127"/>
  <c r="H133" i="127"/>
  <c r="J121" i="127" s="1"/>
  <c r="J131" i="127"/>
  <c r="H131" i="127"/>
  <c r="G131" i="127"/>
  <c r="F131" i="127"/>
  <c r="E131" i="127"/>
  <c r="D131" i="127"/>
  <c r="C131" i="127"/>
  <c r="J128" i="127"/>
  <c r="H128" i="127"/>
  <c r="G128" i="127"/>
  <c r="F128" i="127"/>
  <c r="E128" i="127"/>
  <c r="D128" i="127"/>
  <c r="C128" i="127"/>
  <c r="J125" i="127"/>
  <c r="H125" i="127"/>
  <c r="G125" i="127"/>
  <c r="F125" i="127"/>
  <c r="E125" i="127"/>
  <c r="D125" i="127"/>
  <c r="C125" i="127"/>
  <c r="C124" i="127"/>
  <c r="J122" i="127"/>
  <c r="H122" i="127"/>
  <c r="G122" i="127"/>
  <c r="F122" i="127"/>
  <c r="E122" i="127"/>
  <c r="D122" i="127"/>
  <c r="C122" i="127"/>
  <c r="J119" i="127"/>
  <c r="H119" i="127"/>
  <c r="G119" i="127"/>
  <c r="F119" i="127"/>
  <c r="E119" i="127"/>
  <c r="D119" i="127"/>
  <c r="C119" i="127"/>
  <c r="J116" i="127"/>
  <c r="H116" i="127"/>
  <c r="G116" i="127"/>
  <c r="F116" i="127"/>
  <c r="E116" i="127"/>
  <c r="D116" i="127"/>
  <c r="C116" i="127"/>
  <c r="J113" i="127"/>
  <c r="H113" i="127"/>
  <c r="G113" i="127"/>
  <c r="F113" i="127"/>
  <c r="E113" i="127"/>
  <c r="D113" i="127"/>
  <c r="C113" i="127"/>
  <c r="J110" i="127"/>
  <c r="H110" i="127"/>
  <c r="G110" i="127"/>
  <c r="F110" i="127"/>
  <c r="E110" i="127"/>
  <c r="D110" i="127"/>
  <c r="C110" i="127"/>
  <c r="J107" i="127"/>
  <c r="H107" i="127"/>
  <c r="G107" i="127"/>
  <c r="F107" i="127"/>
  <c r="E107" i="127"/>
  <c r="D107" i="127"/>
  <c r="C107" i="127"/>
  <c r="J104" i="127"/>
  <c r="H104" i="127"/>
  <c r="G104" i="127"/>
  <c r="F104" i="127"/>
  <c r="E104" i="127"/>
  <c r="D104" i="127"/>
  <c r="C104" i="127"/>
  <c r="J101" i="127"/>
  <c r="H101" i="127"/>
  <c r="G101" i="127"/>
  <c r="F101" i="127"/>
  <c r="E101" i="127"/>
  <c r="D101" i="127"/>
  <c r="C101" i="127"/>
  <c r="F100" i="127"/>
  <c r="E97" i="127" s="1"/>
  <c r="J98" i="127"/>
  <c r="H98" i="127"/>
  <c r="G98" i="127"/>
  <c r="F98" i="127"/>
  <c r="E98" i="127"/>
  <c r="D98" i="127"/>
  <c r="C98" i="127"/>
  <c r="J95" i="127"/>
  <c r="H95" i="127"/>
  <c r="G95" i="127"/>
  <c r="F95" i="127"/>
  <c r="E95" i="127"/>
  <c r="D95" i="127"/>
  <c r="C95" i="127"/>
  <c r="F94" i="127"/>
  <c r="F88" i="127" s="1"/>
  <c r="F64" i="127" s="1"/>
  <c r="J92" i="127"/>
  <c r="H92" i="127"/>
  <c r="G92" i="127"/>
  <c r="F92" i="127"/>
  <c r="E92" i="127"/>
  <c r="D92" i="127"/>
  <c r="C92" i="127"/>
  <c r="J89" i="127"/>
  <c r="H89" i="127"/>
  <c r="G89" i="127"/>
  <c r="F89" i="127"/>
  <c r="E89" i="127"/>
  <c r="D89" i="127"/>
  <c r="C89" i="127"/>
  <c r="J88" i="127"/>
  <c r="G79" i="127" s="1"/>
  <c r="H43" i="127" s="1"/>
  <c r="G88" i="127"/>
  <c r="J86" i="127"/>
  <c r="H86" i="127"/>
  <c r="G86" i="127"/>
  <c r="F86" i="127"/>
  <c r="E86" i="127"/>
  <c r="D86" i="127"/>
  <c r="C86" i="127"/>
  <c r="J83" i="127"/>
  <c r="H83" i="127"/>
  <c r="G83" i="127"/>
  <c r="F83" i="127"/>
  <c r="E83" i="127"/>
  <c r="D83" i="127"/>
  <c r="C83" i="127"/>
  <c r="F82" i="127"/>
  <c r="C82" i="127"/>
  <c r="J80" i="127"/>
  <c r="H80" i="127"/>
  <c r="G80" i="127"/>
  <c r="F80" i="127"/>
  <c r="E80" i="127"/>
  <c r="D80" i="127"/>
  <c r="C80" i="127"/>
  <c r="J77" i="127"/>
  <c r="H77" i="127"/>
  <c r="G77" i="127"/>
  <c r="F77" i="127"/>
  <c r="E77" i="127"/>
  <c r="D77" i="127"/>
  <c r="C77" i="127"/>
  <c r="G76" i="127"/>
  <c r="G61" i="127" s="1"/>
  <c r="H25" i="127" s="1"/>
  <c r="D76" i="127"/>
  <c r="J74" i="127"/>
  <c r="H74" i="127"/>
  <c r="G74" i="127"/>
  <c r="F74" i="127"/>
  <c r="E74" i="127"/>
  <c r="D74" i="127"/>
  <c r="C74" i="127"/>
  <c r="G73" i="127"/>
  <c r="E73" i="127"/>
  <c r="D55" i="127" s="1"/>
  <c r="J22" i="127" s="1"/>
  <c r="J71" i="127"/>
  <c r="H71" i="127"/>
  <c r="G71" i="127"/>
  <c r="F71" i="127"/>
  <c r="E71" i="127"/>
  <c r="D71" i="127"/>
  <c r="C71" i="127"/>
  <c r="J68" i="127"/>
  <c r="H68" i="127"/>
  <c r="G68" i="127"/>
  <c r="F68" i="127"/>
  <c r="E68" i="127"/>
  <c r="D68" i="127"/>
  <c r="C68" i="127"/>
  <c r="D67" i="127"/>
  <c r="J65" i="127"/>
  <c r="H65" i="127"/>
  <c r="G65" i="127"/>
  <c r="F65" i="127"/>
  <c r="E65" i="127"/>
  <c r="D65" i="127"/>
  <c r="C65" i="127"/>
  <c r="J62" i="127"/>
  <c r="H62" i="127"/>
  <c r="G62" i="127"/>
  <c r="F62" i="127"/>
  <c r="E62" i="127"/>
  <c r="D62" i="127"/>
  <c r="C62" i="127"/>
  <c r="J59" i="127"/>
  <c r="H59" i="127"/>
  <c r="G59" i="127"/>
  <c r="F59" i="127"/>
  <c r="E59" i="127"/>
  <c r="D59" i="127"/>
  <c r="C59" i="127"/>
  <c r="J56" i="127"/>
  <c r="H56" i="127"/>
  <c r="G56" i="127"/>
  <c r="F56" i="127"/>
  <c r="E56" i="127"/>
  <c r="D56" i="127"/>
  <c r="C56" i="127"/>
  <c r="F55" i="127"/>
  <c r="J53" i="127"/>
  <c r="H53" i="127"/>
  <c r="G53" i="127"/>
  <c r="F53" i="127"/>
  <c r="E53" i="127"/>
  <c r="D53" i="127"/>
  <c r="C53" i="127"/>
  <c r="J50" i="127"/>
  <c r="G50" i="127"/>
  <c r="F50" i="127"/>
  <c r="E50" i="127"/>
  <c r="D50" i="127"/>
  <c r="C50" i="127"/>
  <c r="H49" i="127"/>
  <c r="J47" i="127"/>
  <c r="H47" i="127"/>
  <c r="G47" i="127"/>
  <c r="F47" i="127"/>
  <c r="E47" i="127"/>
  <c r="D47" i="127"/>
  <c r="C47" i="127"/>
  <c r="D46" i="127"/>
  <c r="J13" i="127" s="1"/>
  <c r="J44" i="127"/>
  <c r="H44" i="127"/>
  <c r="G44" i="127"/>
  <c r="F44" i="127"/>
  <c r="E44" i="127"/>
  <c r="D44" i="127"/>
  <c r="C44" i="127"/>
  <c r="J43" i="127"/>
  <c r="E43" i="127"/>
  <c r="J41" i="127"/>
  <c r="H41" i="127"/>
  <c r="G41" i="127"/>
  <c r="F41" i="127"/>
  <c r="E41" i="127"/>
  <c r="D41" i="127"/>
  <c r="C41" i="127"/>
  <c r="J38" i="127"/>
  <c r="H38" i="127"/>
  <c r="G38" i="127"/>
  <c r="F38" i="127"/>
  <c r="E38" i="127"/>
  <c r="D38" i="127"/>
  <c r="C38" i="127"/>
  <c r="H37" i="127"/>
  <c r="J35" i="127"/>
  <c r="H35" i="127"/>
  <c r="G35" i="127"/>
  <c r="F35" i="127"/>
  <c r="E35" i="127"/>
  <c r="D35" i="127"/>
  <c r="C35" i="127"/>
  <c r="J32" i="127"/>
  <c r="H32" i="127"/>
  <c r="G32" i="127"/>
  <c r="F32" i="127"/>
  <c r="E32" i="127"/>
  <c r="D32" i="127"/>
  <c r="C32" i="127"/>
  <c r="J29" i="127"/>
  <c r="H29" i="127"/>
  <c r="G29" i="127"/>
  <c r="F29" i="127"/>
  <c r="E29" i="127"/>
  <c r="D29" i="127"/>
  <c r="C29" i="127"/>
  <c r="J26" i="127"/>
  <c r="H26" i="127"/>
  <c r="G26" i="127"/>
  <c r="F26" i="127"/>
  <c r="E26" i="127"/>
  <c r="D26" i="127"/>
  <c r="C26" i="127"/>
  <c r="J23" i="127"/>
  <c r="H23" i="127"/>
  <c r="G23" i="127"/>
  <c r="F23" i="127"/>
  <c r="E23" i="127"/>
  <c r="D23" i="127"/>
  <c r="C23" i="127"/>
  <c r="J20" i="127"/>
  <c r="H20" i="127"/>
  <c r="G20" i="127"/>
  <c r="F20" i="127"/>
  <c r="E20" i="127"/>
  <c r="D20" i="127"/>
  <c r="C20" i="127"/>
  <c r="J17" i="127"/>
  <c r="H17" i="127"/>
  <c r="G17" i="127"/>
  <c r="F17" i="127"/>
  <c r="E17" i="127"/>
  <c r="D17" i="127"/>
  <c r="C17" i="127"/>
  <c r="J14" i="127"/>
  <c r="H14" i="127"/>
  <c r="G14" i="127"/>
  <c r="F14" i="127"/>
  <c r="E14" i="127"/>
  <c r="D14" i="127"/>
  <c r="C14" i="127"/>
  <c r="J8" i="127"/>
  <c r="H8" i="127"/>
  <c r="G8" i="127"/>
  <c r="F8" i="127"/>
  <c r="E8" i="127"/>
  <c r="D8" i="127"/>
  <c r="C8" i="127"/>
  <c r="J5" i="127"/>
  <c r="H5" i="127"/>
  <c r="G5" i="127"/>
  <c r="F5" i="127"/>
  <c r="E5" i="127"/>
  <c r="D5" i="127"/>
  <c r="C5" i="127"/>
  <c r="E61" i="127" l="1"/>
  <c r="E13" i="127"/>
  <c r="J37" i="127"/>
  <c r="J55" i="127"/>
  <c r="H238" i="127"/>
  <c r="F97" i="127"/>
  <c r="E94" i="127" s="1"/>
  <c r="E88" i="127" s="1"/>
  <c r="C79" i="127" s="1"/>
  <c r="E64" i="127" s="1"/>
  <c r="E4" i="127"/>
  <c r="D370" i="127"/>
  <c r="D253" i="127"/>
  <c r="H166" i="127"/>
  <c r="H148" i="127"/>
  <c r="H112" i="127" s="1"/>
  <c r="H73" i="127" s="1"/>
  <c r="F25" i="127"/>
  <c r="D16" i="127"/>
  <c r="E7" i="127"/>
  <c r="D85" i="127"/>
  <c r="E82" i="127" s="1"/>
  <c r="G124" i="127"/>
  <c r="D109" i="127" s="1"/>
  <c r="E28" i="127"/>
  <c r="G46" i="127"/>
  <c r="H34" i="127"/>
  <c r="G67" i="127"/>
  <c r="H31" i="127" s="1"/>
  <c r="F148" i="127"/>
  <c r="E40" i="127"/>
  <c r="G58" i="127"/>
  <c r="H22" i="127" s="1"/>
  <c r="F16" i="127"/>
  <c r="D7" i="127"/>
  <c r="C154" i="127"/>
  <c r="C70" i="127" s="1"/>
  <c r="J235" i="127"/>
  <c r="J85" i="127"/>
  <c r="J67" i="127" s="1"/>
  <c r="E25" i="127"/>
  <c r="C361" i="127"/>
  <c r="F328" i="127" s="1"/>
  <c r="E301" i="127" s="1"/>
  <c r="J238" i="127" s="1"/>
  <c r="J223" i="127" s="1"/>
  <c r="G163" i="127" s="1"/>
  <c r="D61" i="127" s="1"/>
  <c r="J28" i="127" s="1"/>
  <c r="F202" i="127"/>
  <c r="F199" i="127" s="1"/>
  <c r="E139" i="127" s="1"/>
  <c r="E124" i="127" s="1"/>
  <c r="C109" i="127" s="1"/>
  <c r="E205" i="127"/>
  <c r="J34" i="127"/>
  <c r="J46" i="127"/>
  <c r="J76" i="127"/>
  <c r="H127" i="127"/>
  <c r="H88" i="127" s="1"/>
  <c r="J160" i="127"/>
  <c r="H55" i="127"/>
  <c r="H313" i="127"/>
  <c r="J319" i="127"/>
  <c r="J280" i="127" s="1"/>
  <c r="G268" i="127" s="1"/>
  <c r="F190" i="127" s="1"/>
  <c r="J142" i="127" s="1"/>
  <c r="F133" i="127" s="1"/>
  <c r="D88" i="127"/>
  <c r="C67" i="127" s="1"/>
  <c r="C37" i="127" s="1"/>
  <c r="C7" i="127" s="1"/>
  <c r="E10" i="127"/>
  <c r="E127" i="127"/>
  <c r="C166" i="127"/>
  <c r="F40" i="127"/>
  <c r="D31" i="127"/>
  <c r="H79" i="127"/>
  <c r="H82" i="127"/>
  <c r="D40" i="127"/>
  <c r="J7" i="127" s="1"/>
  <c r="F43" i="127"/>
  <c r="D34" i="127"/>
  <c r="H40" i="127"/>
  <c r="E52" i="127"/>
  <c r="C223" i="127"/>
  <c r="C169" i="127" s="1"/>
  <c r="D130" i="127" s="1"/>
  <c r="D106" i="127" s="1"/>
  <c r="D100" i="127" s="1"/>
  <c r="C52" i="127"/>
  <c r="C22" i="127" s="1"/>
  <c r="C28" i="127"/>
  <c r="J166" i="127"/>
  <c r="J73" i="127" s="1"/>
  <c r="F91" i="127"/>
  <c r="H85" i="127"/>
  <c r="G133" i="127"/>
  <c r="F109" i="127" s="1"/>
  <c r="F70" i="127" s="1"/>
  <c r="E58" i="127" s="1"/>
  <c r="E34" i="127"/>
  <c r="D298" i="127"/>
  <c r="C271" i="127" s="1"/>
  <c r="C193" i="127" s="1"/>
  <c r="D118" i="127" s="1"/>
  <c r="J91" i="127"/>
  <c r="J61" i="127" s="1"/>
  <c r="D325" i="127"/>
  <c r="J265" i="127" s="1"/>
  <c r="D262" i="127" s="1"/>
  <c r="J253" i="127" s="1"/>
  <c r="E238" i="127" s="1"/>
  <c r="J178" i="127" s="1"/>
  <c r="E154" i="127" s="1"/>
  <c r="D142" i="127" s="1"/>
  <c r="D115" i="127" s="1"/>
  <c r="D112" i="127" s="1"/>
  <c r="J82" i="127" s="1"/>
  <c r="H52" i="127" l="1"/>
  <c r="F4" i="127"/>
  <c r="G130" i="127"/>
  <c r="G127" i="127" s="1"/>
  <c r="E37" i="127"/>
  <c r="H64" i="127"/>
  <c r="D4" i="127" s="1"/>
  <c r="F31" i="127"/>
  <c r="D22" i="127"/>
  <c r="H58" i="127"/>
  <c r="F7" i="127" s="1"/>
  <c r="F28" i="127"/>
  <c r="D19" i="127"/>
  <c r="E79" i="127"/>
  <c r="G49" i="127" s="1"/>
  <c r="D28" i="127"/>
  <c r="F37" i="127"/>
  <c r="E91" i="127"/>
  <c r="E22" i="127"/>
  <c r="J70" i="127"/>
  <c r="E46" i="127"/>
  <c r="F34" i="127"/>
  <c r="D25" i="127"/>
  <c r="J58" i="127"/>
  <c r="J49" i="127" s="1"/>
  <c r="F73" i="127"/>
  <c r="H70" i="127"/>
  <c r="F22" i="127"/>
  <c r="D13" i="127"/>
  <c r="F79" i="127"/>
  <c r="F85" i="127"/>
  <c r="D79" i="127" s="1"/>
  <c r="F76" i="127" s="1"/>
  <c r="C64" i="127"/>
  <c r="C34" i="127" s="1"/>
  <c r="C4" i="127" s="1"/>
  <c r="C40" i="127"/>
  <c r="C10" i="127" s="1"/>
  <c r="H10" i="127"/>
  <c r="G37" i="127"/>
  <c r="G28" i="127" s="1"/>
  <c r="G19" i="127" s="1"/>
  <c r="G10" i="127" s="1"/>
  <c r="G52" i="127" l="1"/>
  <c r="F19" i="127"/>
  <c r="D10" i="127"/>
  <c r="F67" i="127"/>
  <c r="E85" i="127"/>
  <c r="H46" i="127"/>
  <c r="F13" i="127"/>
  <c r="G40" i="127"/>
  <c r="H13" i="127"/>
  <c r="F103" i="127"/>
  <c r="J52" i="127"/>
  <c r="G31" i="127" l="1"/>
  <c r="G22" i="127" s="1"/>
  <c r="G13" i="127" s="1"/>
  <c r="G4" i="127" s="1"/>
  <c r="H4" i="127"/>
  <c r="F49" i="127"/>
  <c r="G64" i="127"/>
  <c r="H28" i="127" s="1"/>
  <c r="G43" i="127"/>
  <c r="H16" i="127"/>
  <c r="G34" i="127" l="1"/>
  <c r="G25" i="127" s="1"/>
  <c r="G16" i="127" s="1"/>
  <c r="G7" i="127" s="1"/>
  <c r="H7" i="127"/>
  <c r="J2" i="101" l="1"/>
  <c r="H2" i="101"/>
  <c r="G2" i="101"/>
  <c r="F2" i="101"/>
  <c r="E2" i="101"/>
  <c r="D2" i="101"/>
  <c r="C2" i="101"/>
  <c r="F340" i="101" l="1"/>
  <c r="J220" i="101" s="1"/>
  <c r="J193" i="101" s="1"/>
  <c r="F190" i="101" s="1"/>
  <c r="E169" i="101" s="1"/>
  <c r="F103" i="101" s="1"/>
  <c r="C97" i="101" s="1"/>
  <c r="C340" i="101"/>
  <c r="F338" i="101"/>
  <c r="C338" i="101"/>
  <c r="H334" i="101"/>
  <c r="H328" i="101" s="1"/>
  <c r="G268" i="101" s="1"/>
  <c r="C256" i="101" s="1"/>
  <c r="C238" i="101" s="1"/>
  <c r="D217" i="101" s="1"/>
  <c r="J154" i="101" s="1"/>
  <c r="F118" i="101" s="1"/>
  <c r="F106" i="101" s="1"/>
  <c r="E61" i="101" s="1"/>
  <c r="D37" i="101" s="1"/>
  <c r="F334" i="101"/>
  <c r="F292" i="101" s="1"/>
  <c r="C289" i="101" s="1"/>
  <c r="D223" i="101" s="1"/>
  <c r="J190" i="101" s="1"/>
  <c r="J178" i="101" s="1"/>
  <c r="D166" i="101" s="1"/>
  <c r="D151" i="101" s="1"/>
  <c r="D91" i="101" s="1"/>
  <c r="C82" i="101" s="1"/>
  <c r="E64" i="101" s="1"/>
  <c r="D334" i="101"/>
  <c r="C328" i="101" s="1"/>
  <c r="C316" i="101" s="1"/>
  <c r="D268" i="101" s="1"/>
  <c r="C253" i="101" s="1"/>
  <c r="C220" i="101" s="1"/>
  <c r="C202" i="101" s="1"/>
  <c r="D109" i="101" s="1"/>
  <c r="C91" i="101" s="1"/>
  <c r="E67" i="101" s="1"/>
  <c r="C19" i="101" s="1"/>
  <c r="J332" i="101"/>
  <c r="H332" i="101"/>
  <c r="F332" i="101"/>
  <c r="D332" i="101"/>
  <c r="C332" i="101"/>
  <c r="E328" i="101"/>
  <c r="J325" i="101" s="1"/>
  <c r="J301" i="101" s="1"/>
  <c r="H326" i="101"/>
  <c r="E326" i="101"/>
  <c r="C326" i="101"/>
  <c r="G325" i="101"/>
  <c r="E319" i="101" s="1"/>
  <c r="E316" i="101" s="1"/>
  <c r="C325" i="101"/>
  <c r="C277" i="101" s="1"/>
  <c r="C259" i="101" s="1"/>
  <c r="C244" i="101" s="1"/>
  <c r="C214" i="101" s="1"/>
  <c r="C199" i="101" s="1"/>
  <c r="C160" i="101" s="1"/>
  <c r="C154" i="101" s="1"/>
  <c r="J142" i="101" s="1"/>
  <c r="C103" i="101" s="1"/>
  <c r="C49" i="101" s="1"/>
  <c r="J323" i="101"/>
  <c r="G323" i="101"/>
  <c r="C323" i="101"/>
  <c r="E322" i="101"/>
  <c r="J298" i="101" s="1"/>
  <c r="D280" i="101" s="1"/>
  <c r="J277" i="101" s="1"/>
  <c r="G259" i="101" s="1"/>
  <c r="C181" i="101" s="1"/>
  <c r="J166" i="101" s="1"/>
  <c r="D10" i="101" s="1"/>
  <c r="D322" i="101"/>
  <c r="D301" i="101" s="1"/>
  <c r="E244" i="101" s="1"/>
  <c r="F235" i="101" s="1"/>
  <c r="D229" i="101" s="1"/>
  <c r="E220" i="101" s="1"/>
  <c r="G178" i="101" s="1"/>
  <c r="D94" i="101" s="1"/>
  <c r="D85" i="101" s="1"/>
  <c r="F320" i="101"/>
  <c r="E320" i="101"/>
  <c r="D320" i="101"/>
  <c r="C320" i="101"/>
  <c r="F319" i="101"/>
  <c r="E295" i="101" s="1"/>
  <c r="F187" i="101" s="1"/>
  <c r="D319" i="101"/>
  <c r="D298" i="101" s="1"/>
  <c r="J238" i="101" s="1"/>
  <c r="E229" i="101" s="1"/>
  <c r="J139" i="101" s="1"/>
  <c r="D112" i="101" s="1"/>
  <c r="C319" i="101"/>
  <c r="C196" i="101" s="1"/>
  <c r="C166" i="101" s="1"/>
  <c r="D160" i="101" s="1"/>
  <c r="D118" i="101" s="1"/>
  <c r="C46" i="101" s="1"/>
  <c r="C40" i="101" s="1"/>
  <c r="C22" i="101" s="1"/>
  <c r="F317" i="101"/>
  <c r="E317" i="101"/>
  <c r="D317" i="101"/>
  <c r="C317" i="101"/>
  <c r="E314" i="101"/>
  <c r="D314" i="101"/>
  <c r="C314" i="101"/>
  <c r="H313" i="101"/>
  <c r="G232" i="101" s="1"/>
  <c r="H199" i="101" s="1"/>
  <c r="H196" i="101" s="1"/>
  <c r="H166" i="101" s="1"/>
  <c r="H157" i="101" s="1"/>
  <c r="H115" i="101" s="1"/>
  <c r="H94" i="101" s="1"/>
  <c r="H58" i="101" s="1"/>
  <c r="H19" i="101" s="1"/>
  <c r="H16" i="101" s="1"/>
  <c r="E313" i="101"/>
  <c r="C313" i="101"/>
  <c r="C232" i="101" s="1"/>
  <c r="C193" i="101" s="1"/>
  <c r="J160" i="101" s="1"/>
  <c r="D67" i="101" s="1"/>
  <c r="C52" i="101" s="1"/>
  <c r="H311" i="101"/>
  <c r="E311" i="101"/>
  <c r="C311" i="101"/>
  <c r="H310" i="101"/>
  <c r="H298" i="101" s="1"/>
  <c r="H241" i="101" s="1"/>
  <c r="H193" i="101" s="1"/>
  <c r="H142" i="101" s="1"/>
  <c r="H82" i="101" s="1"/>
  <c r="G37" i="101" s="1"/>
  <c r="G310" i="101"/>
  <c r="F304" i="101" s="1"/>
  <c r="F232" i="101" s="1"/>
  <c r="G226" i="101" s="1"/>
  <c r="E217" i="101" s="1"/>
  <c r="F82" i="101" s="1"/>
  <c r="J31" i="101" s="1"/>
  <c r="J13" i="101" s="1"/>
  <c r="E310" i="101"/>
  <c r="F301" i="101" s="1"/>
  <c r="E250" i="101" s="1"/>
  <c r="G223" i="101" s="1"/>
  <c r="G118" i="101" s="1"/>
  <c r="D310" i="101"/>
  <c r="C280" i="101" s="1"/>
  <c r="C226" i="101" s="1"/>
  <c r="E223" i="101" s="1"/>
  <c r="D190" i="101" s="1"/>
  <c r="D187" i="101" s="1"/>
  <c r="D169" i="101" s="1"/>
  <c r="D148" i="101" s="1"/>
  <c r="C88" i="101" s="1"/>
  <c r="C85" i="101" s="1"/>
  <c r="J73" i="101" s="1"/>
  <c r="E46" i="101" s="1"/>
  <c r="C310" i="101"/>
  <c r="C298" i="101" s="1"/>
  <c r="D253" i="101" s="1"/>
  <c r="C250" i="101" s="1"/>
  <c r="C223" i="101" s="1"/>
  <c r="C211" i="101" s="1"/>
  <c r="D178" i="101" s="1"/>
  <c r="C145" i="101" s="1"/>
  <c r="D106" i="101" s="1"/>
  <c r="C70" i="101" s="1"/>
  <c r="H308" i="101"/>
  <c r="G308" i="101"/>
  <c r="E308" i="101"/>
  <c r="D308" i="101"/>
  <c r="C308" i="101"/>
  <c r="H307" i="101"/>
  <c r="G301" i="101" s="1"/>
  <c r="G277" i="101" s="1"/>
  <c r="F127" i="101" s="1"/>
  <c r="H85" i="101" s="1"/>
  <c r="F307" i="101"/>
  <c r="H280" i="101" s="1"/>
  <c r="F250" i="101" s="1"/>
  <c r="G199" i="101" s="1"/>
  <c r="F175" i="101" s="1"/>
  <c r="H163" i="101" s="1"/>
  <c r="G160" i="101" s="1"/>
  <c r="F112" i="101" s="1"/>
  <c r="E307" i="101"/>
  <c r="H253" i="101" s="1"/>
  <c r="H214" i="101" s="1"/>
  <c r="G205" i="101" s="1"/>
  <c r="F154" i="101" s="1"/>
  <c r="G115" i="101" s="1"/>
  <c r="J55" i="101" s="1"/>
  <c r="G52" i="101" s="1"/>
  <c r="E22" i="101" s="1"/>
  <c r="H305" i="101"/>
  <c r="F305" i="101"/>
  <c r="E305" i="101"/>
  <c r="C305" i="101"/>
  <c r="H304" i="101"/>
  <c r="H295" i="101" s="1"/>
  <c r="G280" i="101" s="1"/>
  <c r="H235" i="101" s="1"/>
  <c r="G157" i="101" s="1"/>
  <c r="E130" i="101" s="1"/>
  <c r="G100" i="101" s="1"/>
  <c r="G304" i="101"/>
  <c r="F193" i="101" s="1"/>
  <c r="G172" i="101" s="1"/>
  <c r="J133" i="101" s="1"/>
  <c r="J118" i="101" s="1"/>
  <c r="G88" i="101" s="1"/>
  <c r="G61" i="101" s="1"/>
  <c r="G43" i="101" s="1"/>
  <c r="G34" i="101" s="1"/>
  <c r="E304" i="101"/>
  <c r="E277" i="101" s="1"/>
  <c r="F271" i="101" s="1"/>
  <c r="H302" i="101"/>
  <c r="G302" i="101"/>
  <c r="F302" i="101"/>
  <c r="E302" i="101"/>
  <c r="H301" i="101"/>
  <c r="F247" i="101" s="1"/>
  <c r="H229" i="101" s="1"/>
  <c r="H211" i="101" s="1"/>
  <c r="G127" i="101" s="1"/>
  <c r="G97" i="101" s="1"/>
  <c r="J91" i="101" s="1"/>
  <c r="J52" i="101" s="1"/>
  <c r="H22" i="101" s="1"/>
  <c r="C301" i="101"/>
  <c r="C283" i="101" s="1"/>
  <c r="D262" i="101" s="1"/>
  <c r="D259" i="101" s="1"/>
  <c r="D214" i="101" s="1"/>
  <c r="D196" i="101" s="1"/>
  <c r="C163" i="101" s="1"/>
  <c r="C151" i="101" s="1"/>
  <c r="C148" i="101" s="1"/>
  <c r="C142" i="101" s="1"/>
  <c r="C109" i="101" s="1"/>
  <c r="C76" i="101" s="1"/>
  <c r="D40" i="101" s="1"/>
  <c r="C7" i="101" s="1"/>
  <c r="J299" i="101"/>
  <c r="H299" i="101"/>
  <c r="G299" i="101"/>
  <c r="F299" i="101"/>
  <c r="D299" i="101"/>
  <c r="C299" i="101"/>
  <c r="G298" i="101"/>
  <c r="H256" i="101" s="1"/>
  <c r="G244" i="101" s="1"/>
  <c r="G208" i="101" s="1"/>
  <c r="H121" i="101" s="1"/>
  <c r="H64" i="101" s="1"/>
  <c r="G46" i="101" s="1"/>
  <c r="H43" i="101" s="1"/>
  <c r="F298" i="101"/>
  <c r="G241" i="101" s="1"/>
  <c r="H226" i="101" s="1"/>
  <c r="F202" i="101" s="1"/>
  <c r="G175" i="101" s="1"/>
  <c r="H145" i="101" s="1"/>
  <c r="J109" i="101" s="1"/>
  <c r="G22" i="101" s="1"/>
  <c r="G7" i="101" s="1"/>
  <c r="E298" i="101"/>
  <c r="G295" i="101" s="1"/>
  <c r="G265" i="101" s="1"/>
  <c r="G262" i="101" s="1"/>
  <c r="D202" i="101" s="1"/>
  <c r="D181" i="101" s="1"/>
  <c r="F157" i="101" s="1"/>
  <c r="J145" i="101" s="1"/>
  <c r="G136" i="101" s="1"/>
  <c r="E94" i="101" s="1"/>
  <c r="G91" i="101" s="1"/>
  <c r="F88" i="101" s="1"/>
  <c r="J296" i="101"/>
  <c r="H296" i="101"/>
  <c r="G296" i="101"/>
  <c r="F296" i="101"/>
  <c r="E296" i="101"/>
  <c r="D296" i="101"/>
  <c r="C296" i="101"/>
  <c r="C295" i="101"/>
  <c r="C286" i="101" s="1"/>
  <c r="C262" i="101" s="1"/>
  <c r="C247" i="101" s="1"/>
  <c r="J202" i="101" s="1"/>
  <c r="C172" i="101" s="1"/>
  <c r="J151" i="101" s="1"/>
  <c r="C106" i="101" s="1"/>
  <c r="C67" i="101" s="1"/>
  <c r="C64" i="101" s="1"/>
  <c r="C43" i="101" s="1"/>
  <c r="H293" i="101"/>
  <c r="G293" i="101"/>
  <c r="E293" i="101"/>
  <c r="C293" i="101"/>
  <c r="H292" i="101"/>
  <c r="G220" i="101" s="1"/>
  <c r="J214" i="101" s="1"/>
  <c r="E211" i="101" s="1"/>
  <c r="G190" i="101" s="1"/>
  <c r="F61" i="101" s="1"/>
  <c r="F43" i="101" s="1"/>
  <c r="E40" i="101" s="1"/>
  <c r="E34" i="101" s="1"/>
  <c r="C25" i="101" s="1"/>
  <c r="E10" i="101" s="1"/>
  <c r="G292" i="101"/>
  <c r="D226" i="101" s="1"/>
  <c r="J157" i="101" s="1"/>
  <c r="C124" i="101" s="1"/>
  <c r="D292" i="101"/>
  <c r="D283" i="101" s="1"/>
  <c r="E259" i="101" s="1"/>
  <c r="D172" i="101" s="1"/>
  <c r="C94" i="101" s="1"/>
  <c r="D79" i="101" s="1"/>
  <c r="J61" i="101" s="1"/>
  <c r="C34" i="101" s="1"/>
  <c r="D19" i="101" s="1"/>
  <c r="H290" i="101"/>
  <c r="G290" i="101"/>
  <c r="F290" i="101"/>
  <c r="D290" i="101"/>
  <c r="G289" i="101"/>
  <c r="E175" i="101" s="1"/>
  <c r="F289" i="101"/>
  <c r="G286" i="101" s="1"/>
  <c r="F199" i="101" s="1"/>
  <c r="G103" i="101" s="1"/>
  <c r="J64" i="101" s="1"/>
  <c r="F46" i="101" s="1"/>
  <c r="E43" i="101" s="1"/>
  <c r="F40" i="101" s="1"/>
  <c r="F34" i="101" s="1"/>
  <c r="F10" i="101" s="1"/>
  <c r="E289" i="101"/>
  <c r="F286" i="101" s="1"/>
  <c r="F220" i="101" s="1"/>
  <c r="E190" i="101" s="1"/>
  <c r="F184" i="101" s="1"/>
  <c r="J172" i="101" s="1"/>
  <c r="F160" i="101" s="1"/>
  <c r="F139" i="101" s="1"/>
  <c r="E121" i="101" s="1"/>
  <c r="G106" i="101" s="1"/>
  <c r="F70" i="101" s="1"/>
  <c r="E7" i="101" s="1"/>
  <c r="G287" i="101"/>
  <c r="F287" i="101"/>
  <c r="E287" i="101"/>
  <c r="C287" i="101"/>
  <c r="H286" i="101"/>
  <c r="F277" i="101" s="1"/>
  <c r="F211" i="101" s="1"/>
  <c r="F208" i="101" s="1"/>
  <c r="G193" i="101" s="1"/>
  <c r="F124" i="101" s="1"/>
  <c r="J25" i="101" s="1"/>
  <c r="E286" i="101"/>
  <c r="J175" i="101" s="1"/>
  <c r="E172" i="101" s="1"/>
  <c r="J127" i="101" s="1"/>
  <c r="D286" i="101"/>
  <c r="E265" i="101" s="1"/>
  <c r="G253" i="101" s="1"/>
  <c r="D235" i="101" s="1"/>
  <c r="F223" i="101" s="1"/>
  <c r="D193" i="101" s="1"/>
  <c r="E154" i="101" s="1"/>
  <c r="E145" i="101" s="1"/>
  <c r="E106" i="101" s="1"/>
  <c r="J58" i="101" s="1"/>
  <c r="C31" i="101" s="1"/>
  <c r="H284" i="101"/>
  <c r="G284" i="101"/>
  <c r="F284" i="101"/>
  <c r="E284" i="101"/>
  <c r="D284" i="101"/>
  <c r="C284" i="101"/>
  <c r="G283" i="101"/>
  <c r="E214" i="101" s="1"/>
  <c r="C190" i="101" s="1"/>
  <c r="E178" i="101" s="1"/>
  <c r="D115" i="101" s="1"/>
  <c r="D70" i="101" s="1"/>
  <c r="C58" i="101" s="1"/>
  <c r="D28" i="101" s="1"/>
  <c r="E283" i="101"/>
  <c r="F268" i="101" s="1"/>
  <c r="D232" i="101" s="1"/>
  <c r="C121" i="101" s="1"/>
  <c r="J112" i="101" s="1"/>
  <c r="J19" i="101" s="1"/>
  <c r="G281" i="101"/>
  <c r="E281" i="101"/>
  <c r="D281" i="101"/>
  <c r="C281" i="101"/>
  <c r="E280" i="101"/>
  <c r="F256" i="101" s="1"/>
  <c r="F172" i="101" s="1"/>
  <c r="F151" i="101" s="1"/>
  <c r="E133" i="101" s="1"/>
  <c r="F121" i="101" s="1"/>
  <c r="E115" i="101" s="1"/>
  <c r="E55" i="101" s="1"/>
  <c r="G49" i="101" s="1"/>
  <c r="E16" i="101" s="1"/>
  <c r="H278" i="101"/>
  <c r="G278" i="101"/>
  <c r="E278" i="101"/>
  <c r="D278" i="101"/>
  <c r="C278" i="101"/>
  <c r="H277" i="101"/>
  <c r="H247" i="101" s="1"/>
  <c r="H238" i="101" s="1"/>
  <c r="H160" i="101" s="1"/>
  <c r="J115" i="101" s="1"/>
  <c r="H91" i="101" s="1"/>
  <c r="D277" i="101"/>
  <c r="C274" i="101" s="1"/>
  <c r="E268" i="101" s="1"/>
  <c r="C157" i="101" s="1"/>
  <c r="E109" i="101" s="1"/>
  <c r="C79" i="101" s="1"/>
  <c r="J275" i="101"/>
  <c r="H275" i="101"/>
  <c r="G275" i="101"/>
  <c r="F275" i="101"/>
  <c r="E275" i="101"/>
  <c r="D275" i="101"/>
  <c r="C275" i="101"/>
  <c r="H274" i="101"/>
  <c r="J229" i="101" s="1"/>
  <c r="H223" i="101" s="1"/>
  <c r="G274" i="101"/>
  <c r="F217" i="101" s="1"/>
  <c r="G148" i="101" s="1"/>
  <c r="G67" i="101" s="1"/>
  <c r="F64" i="101" s="1"/>
  <c r="D31" i="101" s="1"/>
  <c r="E28" i="101" s="1"/>
  <c r="E274" i="101"/>
  <c r="F259" i="101" s="1"/>
  <c r="D247" i="101" s="1"/>
  <c r="C229" i="101" s="1"/>
  <c r="G272" i="101"/>
  <c r="F272" i="101"/>
  <c r="E272" i="101"/>
  <c r="C272" i="101"/>
  <c r="H271" i="101"/>
  <c r="G247" i="101" s="1"/>
  <c r="G271" i="101"/>
  <c r="F244" i="101" s="1"/>
  <c r="H187" i="101" s="1"/>
  <c r="E271" i="101"/>
  <c r="D238" i="101" s="1"/>
  <c r="G235" i="101" s="1"/>
  <c r="E205" i="101" s="1"/>
  <c r="F85" i="101" s="1"/>
  <c r="G70" i="101" s="1"/>
  <c r="D55" i="101" s="1"/>
  <c r="H269" i="101"/>
  <c r="G269" i="101"/>
  <c r="F269" i="101"/>
  <c r="E269" i="101"/>
  <c r="D269" i="101"/>
  <c r="C268" i="101"/>
  <c r="C241" i="101" s="1"/>
  <c r="J121" i="101" s="1"/>
  <c r="C118" i="101" s="1"/>
  <c r="H266" i="101"/>
  <c r="G266" i="101"/>
  <c r="F266" i="101"/>
  <c r="E266" i="101"/>
  <c r="D266" i="101"/>
  <c r="C266" i="101"/>
  <c r="H265" i="101"/>
  <c r="G250" i="101" s="1"/>
  <c r="F169" i="101" s="1"/>
  <c r="H124" i="101" s="1"/>
  <c r="H13" i="101" s="1"/>
  <c r="C265" i="101"/>
  <c r="E253" i="101" s="1"/>
  <c r="J263" i="101"/>
  <c r="H263" i="101"/>
  <c r="G263" i="101"/>
  <c r="F263" i="101"/>
  <c r="E263" i="101"/>
  <c r="D263" i="101"/>
  <c r="C263" i="101"/>
  <c r="F262" i="101"/>
  <c r="D256" i="101" s="1"/>
  <c r="D250" i="101" s="1"/>
  <c r="H178" i="101" s="1"/>
  <c r="C127" i="101" s="1"/>
  <c r="D124" i="101" s="1"/>
  <c r="F73" i="101" s="1"/>
  <c r="E262" i="101"/>
  <c r="E241" i="101" s="1"/>
  <c r="F178" i="101" s="1"/>
  <c r="D13" i="101" s="1"/>
  <c r="H260" i="101"/>
  <c r="G260" i="101"/>
  <c r="F260" i="101"/>
  <c r="E260" i="101"/>
  <c r="D260" i="101"/>
  <c r="C260" i="101"/>
  <c r="H257" i="101"/>
  <c r="G257" i="101"/>
  <c r="F257" i="101"/>
  <c r="E257" i="101"/>
  <c r="D257" i="101"/>
  <c r="C257" i="101"/>
  <c r="G256" i="101"/>
  <c r="G238" i="101" s="1"/>
  <c r="F229" i="101" s="1"/>
  <c r="H220" i="101" s="1"/>
  <c r="G217" i="101" s="1"/>
  <c r="G130" i="101" s="1"/>
  <c r="H67" i="101" s="1"/>
  <c r="G58" i="101" s="1"/>
  <c r="G16" i="101" s="1"/>
  <c r="G13" i="101" s="1"/>
  <c r="E256" i="101"/>
  <c r="F214" i="101" s="1"/>
  <c r="J187" i="101" s="1"/>
  <c r="D175" i="101" s="1"/>
  <c r="E82" i="101" s="1"/>
  <c r="F76" i="101" s="1"/>
  <c r="J22" i="101" s="1"/>
  <c r="F19" i="101" s="1"/>
  <c r="H254" i="101"/>
  <c r="G254" i="101"/>
  <c r="F254" i="101"/>
  <c r="E254" i="101"/>
  <c r="D254" i="101"/>
  <c r="C254" i="101"/>
  <c r="F253" i="101"/>
  <c r="D220" i="101" s="1"/>
  <c r="C73" i="101" s="1"/>
  <c r="H251" i="101"/>
  <c r="G251" i="101"/>
  <c r="F251" i="101"/>
  <c r="E251" i="101"/>
  <c r="D251" i="101"/>
  <c r="C251" i="101"/>
  <c r="H248" i="101"/>
  <c r="G248" i="101"/>
  <c r="F248" i="101"/>
  <c r="E248" i="101"/>
  <c r="D248" i="101"/>
  <c r="C248" i="101"/>
  <c r="H245" i="101"/>
  <c r="G245" i="101"/>
  <c r="F245" i="101"/>
  <c r="E245" i="101"/>
  <c r="D245" i="101"/>
  <c r="C245" i="101"/>
  <c r="H242" i="101"/>
  <c r="G242" i="101"/>
  <c r="F242" i="101"/>
  <c r="E242" i="101"/>
  <c r="D242" i="101"/>
  <c r="C242" i="101"/>
  <c r="D241" i="101"/>
  <c r="C208" i="101" s="1"/>
  <c r="E196" i="101" s="1"/>
  <c r="E160" i="101" s="1"/>
  <c r="C133" i="101" s="1"/>
  <c r="C130" i="101" s="1"/>
  <c r="E118" i="101" s="1"/>
  <c r="H239" i="101"/>
  <c r="G239" i="101"/>
  <c r="F239" i="101"/>
  <c r="E239" i="101"/>
  <c r="D239" i="101"/>
  <c r="C239" i="101"/>
  <c r="E238" i="101"/>
  <c r="D133" i="101" s="1"/>
  <c r="D97" i="101" s="1"/>
  <c r="G85" i="101" s="1"/>
  <c r="J70" i="101" s="1"/>
  <c r="J43" i="101" s="1"/>
  <c r="J236" i="101"/>
  <c r="H236" i="101"/>
  <c r="G236" i="101"/>
  <c r="F236" i="101"/>
  <c r="E236" i="101"/>
  <c r="D236" i="101"/>
  <c r="C236" i="101"/>
  <c r="E235" i="101"/>
  <c r="D163" i="101" s="1"/>
  <c r="E139" i="101" s="1"/>
  <c r="H233" i="101"/>
  <c r="G233" i="101"/>
  <c r="F233" i="101"/>
  <c r="E233" i="101"/>
  <c r="D233" i="101"/>
  <c r="C233" i="101"/>
  <c r="E232" i="101"/>
  <c r="E226" i="101" s="1"/>
  <c r="E181" i="101" s="1"/>
  <c r="F166" i="101" s="1"/>
  <c r="G139" i="101" s="1"/>
  <c r="F58" i="101" s="1"/>
  <c r="F7" i="101" s="1"/>
  <c r="H230" i="101"/>
  <c r="G230" i="101"/>
  <c r="F230" i="101"/>
  <c r="E230" i="101"/>
  <c r="D230" i="101"/>
  <c r="C230" i="101"/>
  <c r="G229" i="101"/>
  <c r="G181" i="101" s="1"/>
  <c r="G169" i="101" s="1"/>
  <c r="H130" i="101" s="1"/>
  <c r="H100" i="101" s="1"/>
  <c r="G94" i="101" s="1"/>
  <c r="H52" i="101" s="1"/>
  <c r="J227" i="101"/>
  <c r="H227" i="101"/>
  <c r="G227" i="101"/>
  <c r="F227" i="101"/>
  <c r="E227" i="101"/>
  <c r="D227" i="101"/>
  <c r="C227" i="101"/>
  <c r="F226" i="101"/>
  <c r="J217" i="101" s="1"/>
  <c r="G187" i="101" s="1"/>
  <c r="J224" i="101"/>
  <c r="H224" i="101"/>
  <c r="G224" i="101"/>
  <c r="F224" i="101"/>
  <c r="E224" i="101"/>
  <c r="D224" i="101"/>
  <c r="C224" i="101"/>
  <c r="J221" i="101"/>
  <c r="H221" i="101"/>
  <c r="G221" i="101"/>
  <c r="F221" i="101"/>
  <c r="E221" i="101"/>
  <c r="D221" i="101"/>
  <c r="C221" i="101"/>
  <c r="J218" i="101"/>
  <c r="H218" i="101"/>
  <c r="G218" i="101"/>
  <c r="F218" i="101"/>
  <c r="E218" i="101"/>
  <c r="D218" i="101"/>
  <c r="C218" i="101"/>
  <c r="J215" i="101"/>
  <c r="H215" i="101"/>
  <c r="G215" i="101"/>
  <c r="F215" i="101"/>
  <c r="E215" i="101"/>
  <c r="D215" i="101"/>
  <c r="C215" i="101"/>
  <c r="J212" i="101"/>
  <c r="H212" i="101"/>
  <c r="G212" i="101"/>
  <c r="F212" i="101"/>
  <c r="E212" i="101"/>
  <c r="D212" i="101"/>
  <c r="C212" i="101"/>
  <c r="G211" i="101"/>
  <c r="G202" i="101" s="1"/>
  <c r="G184" i="101" s="1"/>
  <c r="G154" i="101" s="1"/>
  <c r="F142" i="101" s="1"/>
  <c r="H139" i="101" s="1"/>
  <c r="H136" i="101" s="1"/>
  <c r="E127" i="101" s="1"/>
  <c r="G124" i="101" s="1"/>
  <c r="G121" i="101" s="1"/>
  <c r="H61" i="101" s="1"/>
  <c r="J46" i="101" s="1"/>
  <c r="J10" i="101" s="1"/>
  <c r="D211" i="101"/>
  <c r="E208" i="101" s="1"/>
  <c r="D205" i="101" s="1"/>
  <c r="E163" i="101" s="1"/>
  <c r="E91" i="101" s="1"/>
  <c r="D82" i="101" s="1"/>
  <c r="J209" i="101"/>
  <c r="H209" i="101"/>
  <c r="G209" i="101"/>
  <c r="F209" i="101"/>
  <c r="E209" i="101"/>
  <c r="D209" i="101"/>
  <c r="C209" i="101"/>
  <c r="J208" i="101"/>
  <c r="C187" i="101" s="1"/>
  <c r="D184" i="101" s="1"/>
  <c r="J206" i="101"/>
  <c r="H206" i="101"/>
  <c r="G206" i="101"/>
  <c r="F206" i="101"/>
  <c r="E206" i="101"/>
  <c r="D206" i="101"/>
  <c r="C206" i="101"/>
  <c r="H205" i="101"/>
  <c r="H190" i="101" s="1"/>
  <c r="G151" i="101" s="1"/>
  <c r="H118" i="101" s="1"/>
  <c r="G112" i="101" s="1"/>
  <c r="H88" i="101" s="1"/>
  <c r="H76" i="101" s="1"/>
  <c r="F205" i="101"/>
  <c r="C205" i="101"/>
  <c r="E187" i="101" s="1"/>
  <c r="C175" i="101" s="1"/>
  <c r="E148" i="101" s="1"/>
  <c r="D130" i="101" s="1"/>
  <c r="E49" i="101" s="1"/>
  <c r="D16" i="101" s="1"/>
  <c r="J203" i="101"/>
  <c r="H203" i="101"/>
  <c r="G203" i="101"/>
  <c r="F203" i="101"/>
  <c r="E203" i="101"/>
  <c r="D203" i="101"/>
  <c r="C203" i="101"/>
  <c r="J200" i="101"/>
  <c r="H200" i="101"/>
  <c r="G200" i="101"/>
  <c r="F200" i="101"/>
  <c r="E200" i="101"/>
  <c r="D200" i="101"/>
  <c r="C200" i="101"/>
  <c r="E199" i="101"/>
  <c r="J196" i="101" s="1"/>
  <c r="J85" i="101" s="1"/>
  <c r="F67" i="101" s="1"/>
  <c r="D34" i="101" s="1"/>
  <c r="C13" i="101" s="1"/>
  <c r="J197" i="101"/>
  <c r="H197" i="101"/>
  <c r="G197" i="101"/>
  <c r="F197" i="101"/>
  <c r="E197" i="101"/>
  <c r="D197" i="101"/>
  <c r="C197" i="101"/>
  <c r="G196" i="101"/>
  <c r="E166" i="101" s="1"/>
  <c r="F115" i="101" s="1"/>
  <c r="H109" i="101" s="1"/>
  <c r="F91" i="101" s="1"/>
  <c r="G79" i="101" s="1"/>
  <c r="F55" i="101" s="1"/>
  <c r="F16" i="101" s="1"/>
  <c r="F196" i="101"/>
  <c r="E157" i="101" s="1"/>
  <c r="D139" i="101" s="1"/>
  <c r="D73" i="101" s="1"/>
  <c r="C37" i="101" s="1"/>
  <c r="E13" i="101" s="1"/>
  <c r="J194" i="101"/>
  <c r="H194" i="101"/>
  <c r="G194" i="101"/>
  <c r="F194" i="101"/>
  <c r="E194" i="101"/>
  <c r="D194" i="101"/>
  <c r="C194" i="101"/>
  <c r="J191" i="101"/>
  <c r="H191" i="101"/>
  <c r="G191" i="101"/>
  <c r="F191" i="101"/>
  <c r="E191" i="101"/>
  <c r="D191" i="101"/>
  <c r="C191" i="101"/>
  <c r="J188" i="101"/>
  <c r="H188" i="101"/>
  <c r="G188" i="101"/>
  <c r="F188" i="101"/>
  <c r="E188" i="101"/>
  <c r="D188" i="101"/>
  <c r="C188" i="101"/>
  <c r="J185" i="101"/>
  <c r="H185" i="101"/>
  <c r="G185" i="101"/>
  <c r="F185" i="101"/>
  <c r="E185" i="101"/>
  <c r="D185" i="101"/>
  <c r="C185" i="101"/>
  <c r="J182" i="101"/>
  <c r="H182" i="101"/>
  <c r="G182" i="101"/>
  <c r="F182" i="101"/>
  <c r="E182" i="101"/>
  <c r="D182" i="101"/>
  <c r="C182" i="101"/>
  <c r="F181" i="101"/>
  <c r="E142" i="101" s="1"/>
  <c r="G133" i="101" s="1"/>
  <c r="F130" i="101" s="1"/>
  <c r="D127" i="101" s="1"/>
  <c r="F97" i="101" s="1"/>
  <c r="F94" i="101" s="1"/>
  <c r="G76" i="101" s="1"/>
  <c r="G73" i="101" s="1"/>
  <c r="F49" i="101" s="1"/>
  <c r="J179" i="101"/>
  <c r="H179" i="101"/>
  <c r="G179" i="101"/>
  <c r="F179" i="101"/>
  <c r="E179" i="101"/>
  <c r="D179" i="101"/>
  <c r="C179" i="101"/>
  <c r="J176" i="101"/>
  <c r="H176" i="101"/>
  <c r="G176" i="101"/>
  <c r="F176" i="101"/>
  <c r="E176" i="101"/>
  <c r="D176" i="101"/>
  <c r="C176" i="101"/>
  <c r="J173" i="101"/>
  <c r="H173" i="101"/>
  <c r="G173" i="101"/>
  <c r="F173" i="101"/>
  <c r="E173" i="101"/>
  <c r="D173" i="101"/>
  <c r="C173" i="101"/>
  <c r="J170" i="101"/>
  <c r="H170" i="101"/>
  <c r="G170" i="101"/>
  <c r="F170" i="101"/>
  <c r="E170" i="101"/>
  <c r="D170" i="101"/>
  <c r="C170" i="101"/>
  <c r="H169" i="101"/>
  <c r="H151" i="101" s="1"/>
  <c r="H127" i="101" s="1"/>
  <c r="J79" i="101" s="1"/>
  <c r="J76" i="101" s="1"/>
  <c r="J40" i="101" s="1"/>
  <c r="H7" i="101" s="1"/>
  <c r="J167" i="101"/>
  <c r="H167" i="101"/>
  <c r="G167" i="101"/>
  <c r="F167" i="101"/>
  <c r="E167" i="101"/>
  <c r="D167" i="101"/>
  <c r="C167" i="101"/>
  <c r="J164" i="101"/>
  <c r="H164" i="101"/>
  <c r="G164" i="101"/>
  <c r="F164" i="101"/>
  <c r="E164" i="101"/>
  <c r="D164" i="101"/>
  <c r="C164" i="101"/>
  <c r="G163" i="101"/>
  <c r="E124" i="101" s="1"/>
  <c r="E112" i="101" s="1"/>
  <c r="G64" i="101" s="1"/>
  <c r="G40" i="101" s="1"/>
  <c r="G31" i="101" s="1"/>
  <c r="F163" i="101"/>
  <c r="G145" i="101" s="1"/>
  <c r="E136" i="101" s="1"/>
  <c r="J161" i="101"/>
  <c r="H161" i="101"/>
  <c r="G161" i="101"/>
  <c r="F161" i="101"/>
  <c r="E161" i="101"/>
  <c r="D161" i="101"/>
  <c r="C161" i="101"/>
  <c r="J158" i="101"/>
  <c r="H158" i="101"/>
  <c r="G158" i="101"/>
  <c r="F158" i="101"/>
  <c r="E158" i="101"/>
  <c r="D158" i="101"/>
  <c r="C158" i="101"/>
  <c r="D157" i="101"/>
  <c r="J130" i="101" s="1"/>
  <c r="D121" i="101" s="1"/>
  <c r="D100" i="101" s="1"/>
  <c r="E76" i="101" s="1"/>
  <c r="E52" i="101" s="1"/>
  <c r="J155" i="101"/>
  <c r="H155" i="101"/>
  <c r="G155" i="101"/>
  <c r="F155" i="101"/>
  <c r="E155" i="101"/>
  <c r="D155" i="101"/>
  <c r="C155" i="101"/>
  <c r="H154" i="101"/>
  <c r="H103" i="101" s="1"/>
  <c r="J82" i="101" s="1"/>
  <c r="H46" i="101" s="1"/>
  <c r="H28" i="101" s="1"/>
  <c r="H10" i="101" s="1"/>
  <c r="J152" i="101"/>
  <c r="H152" i="101"/>
  <c r="G152" i="101"/>
  <c r="F152" i="101"/>
  <c r="E152" i="101"/>
  <c r="D152" i="101"/>
  <c r="C152" i="101"/>
  <c r="J149" i="101"/>
  <c r="H149" i="101"/>
  <c r="G149" i="101"/>
  <c r="F149" i="101"/>
  <c r="E149" i="101"/>
  <c r="D149" i="101"/>
  <c r="C149" i="101"/>
  <c r="J148" i="101"/>
  <c r="C61" i="101" s="1"/>
  <c r="D49" i="101" s="1"/>
  <c r="H148" i="101"/>
  <c r="G142" i="101" s="1"/>
  <c r="G82" i="101" s="1"/>
  <c r="H70" i="101" s="1"/>
  <c r="J146" i="101"/>
  <c r="H146" i="101"/>
  <c r="G146" i="101"/>
  <c r="F146" i="101"/>
  <c r="E146" i="101"/>
  <c r="D146" i="101"/>
  <c r="C146" i="101"/>
  <c r="D145" i="101"/>
  <c r="E103" i="101" s="1"/>
  <c r="J94" i="101" s="1"/>
  <c r="J143" i="101"/>
  <c r="H143" i="101"/>
  <c r="G143" i="101"/>
  <c r="F143" i="101"/>
  <c r="E143" i="101"/>
  <c r="D143" i="101"/>
  <c r="C143" i="101"/>
  <c r="J140" i="101"/>
  <c r="H140" i="101"/>
  <c r="G140" i="101"/>
  <c r="F140" i="101"/>
  <c r="E140" i="101"/>
  <c r="D140" i="101"/>
  <c r="C140" i="101"/>
  <c r="J137" i="101"/>
  <c r="H137" i="101"/>
  <c r="G137" i="101"/>
  <c r="F137" i="101"/>
  <c r="E137" i="101"/>
  <c r="D137" i="101"/>
  <c r="C137" i="101"/>
  <c r="J136" i="101"/>
  <c r="H133" i="101" s="1"/>
  <c r="G55" i="101" s="1"/>
  <c r="H40" i="101" s="1"/>
  <c r="D136" i="101"/>
  <c r="J103" i="101" s="1"/>
  <c r="E58" i="101" s="1"/>
  <c r="F52" i="101" s="1"/>
  <c r="C136" i="101"/>
  <c r="D103" i="101" s="1"/>
  <c r="J100" i="101" s="1"/>
  <c r="J134" i="101"/>
  <c r="H134" i="101"/>
  <c r="G134" i="101"/>
  <c r="F134" i="101"/>
  <c r="E134" i="101"/>
  <c r="D134" i="101"/>
  <c r="C134" i="101"/>
  <c r="F133" i="101"/>
  <c r="E88" i="101" s="1"/>
  <c r="H49" i="101" s="1"/>
  <c r="J131" i="101"/>
  <c r="H131" i="101"/>
  <c r="G131" i="101"/>
  <c r="F131" i="101"/>
  <c r="E131" i="101"/>
  <c r="D131" i="101"/>
  <c r="C131" i="101"/>
  <c r="J128" i="101"/>
  <c r="H128" i="101"/>
  <c r="G128" i="101"/>
  <c r="F128" i="101"/>
  <c r="E128" i="101"/>
  <c r="D128" i="101"/>
  <c r="C128" i="101"/>
  <c r="J125" i="101"/>
  <c r="H125" i="101"/>
  <c r="G125" i="101"/>
  <c r="F125" i="101"/>
  <c r="E125" i="101"/>
  <c r="D125" i="101"/>
  <c r="C125" i="101"/>
  <c r="J122" i="101"/>
  <c r="H122" i="101"/>
  <c r="G122" i="101"/>
  <c r="F122" i="101"/>
  <c r="E122" i="101"/>
  <c r="D122" i="101"/>
  <c r="C122" i="101"/>
  <c r="J119" i="101"/>
  <c r="H119" i="101"/>
  <c r="G119" i="101"/>
  <c r="F119" i="101"/>
  <c r="E119" i="101"/>
  <c r="D119" i="101"/>
  <c r="C119" i="101"/>
  <c r="J116" i="101"/>
  <c r="H116" i="101"/>
  <c r="G116" i="101"/>
  <c r="F116" i="101"/>
  <c r="E116" i="101"/>
  <c r="D116" i="101"/>
  <c r="C116" i="101"/>
  <c r="J113" i="101"/>
  <c r="H113" i="101"/>
  <c r="G113" i="101"/>
  <c r="F113" i="101"/>
  <c r="E113" i="101"/>
  <c r="D113" i="101"/>
  <c r="C113" i="101"/>
  <c r="J110" i="101"/>
  <c r="H110" i="101"/>
  <c r="G110" i="101"/>
  <c r="F110" i="101"/>
  <c r="E110" i="101"/>
  <c r="D110" i="101"/>
  <c r="C110" i="101"/>
  <c r="J107" i="101"/>
  <c r="H107" i="101"/>
  <c r="G107" i="101"/>
  <c r="F107" i="101"/>
  <c r="E107" i="101"/>
  <c r="D107" i="101"/>
  <c r="C107" i="101"/>
  <c r="H106" i="101"/>
  <c r="J34" i="101" s="1"/>
  <c r="G25" i="101" s="1"/>
  <c r="J104" i="101"/>
  <c r="H104" i="101"/>
  <c r="G104" i="101"/>
  <c r="F104" i="101"/>
  <c r="E104" i="101"/>
  <c r="D104" i="101"/>
  <c r="C104" i="101"/>
  <c r="J101" i="101"/>
  <c r="H101" i="101"/>
  <c r="G101" i="101"/>
  <c r="F101" i="101"/>
  <c r="E101" i="101"/>
  <c r="D101" i="101"/>
  <c r="C101" i="101"/>
  <c r="J98" i="101"/>
  <c r="H98" i="101"/>
  <c r="G98" i="101"/>
  <c r="F98" i="101"/>
  <c r="E98" i="101"/>
  <c r="D98" i="101"/>
  <c r="C98" i="101"/>
  <c r="J95" i="101"/>
  <c r="H95" i="101"/>
  <c r="G95" i="101"/>
  <c r="F95" i="101"/>
  <c r="E95" i="101"/>
  <c r="D95" i="101"/>
  <c r="C95" i="101"/>
  <c r="J92" i="101"/>
  <c r="H92" i="101"/>
  <c r="G92" i="101"/>
  <c r="F92" i="101"/>
  <c r="E92" i="101"/>
  <c r="D92" i="101"/>
  <c r="C92" i="101"/>
  <c r="J89" i="101"/>
  <c r="H89" i="101"/>
  <c r="G89" i="101"/>
  <c r="F89" i="101"/>
  <c r="E89" i="101"/>
  <c r="D89" i="101"/>
  <c r="C89" i="101"/>
  <c r="J86" i="101"/>
  <c r="H86" i="101"/>
  <c r="G86" i="101"/>
  <c r="F86" i="101"/>
  <c r="E86" i="101"/>
  <c r="D86" i="101"/>
  <c r="C86" i="101"/>
  <c r="J83" i="101"/>
  <c r="H83" i="101"/>
  <c r="G83" i="101"/>
  <c r="F83" i="101"/>
  <c r="E83" i="101"/>
  <c r="D83" i="101"/>
  <c r="C83" i="101"/>
  <c r="J80" i="101"/>
  <c r="H80" i="101"/>
  <c r="G80" i="101"/>
  <c r="F80" i="101"/>
  <c r="E80" i="101"/>
  <c r="D80" i="101"/>
  <c r="C80" i="101"/>
  <c r="J77" i="101"/>
  <c r="H77" i="101"/>
  <c r="G77" i="101"/>
  <c r="F77" i="101"/>
  <c r="E77" i="101"/>
  <c r="D77" i="101"/>
  <c r="C77" i="101"/>
  <c r="J74" i="101"/>
  <c r="H74" i="101"/>
  <c r="G74" i="101"/>
  <c r="F74" i="101"/>
  <c r="E74" i="101"/>
  <c r="D74" i="101"/>
  <c r="C74" i="101"/>
  <c r="J71" i="101"/>
  <c r="H71" i="101"/>
  <c r="G71" i="101"/>
  <c r="F71" i="101"/>
  <c r="E71" i="101"/>
  <c r="D71" i="101"/>
  <c r="C71" i="101"/>
  <c r="J68" i="101"/>
  <c r="H68" i="101"/>
  <c r="G68" i="101"/>
  <c r="F68" i="101"/>
  <c r="E68" i="101"/>
  <c r="D68" i="101"/>
  <c r="C68" i="101"/>
  <c r="J65" i="101"/>
  <c r="H65" i="101"/>
  <c r="G65" i="101"/>
  <c r="F65" i="101"/>
  <c r="E65" i="101"/>
  <c r="D65" i="101"/>
  <c r="C65" i="101"/>
  <c r="J62" i="101"/>
  <c r="H62" i="101"/>
  <c r="G62" i="101"/>
  <c r="F62" i="101"/>
  <c r="E62" i="101"/>
  <c r="D62" i="101"/>
  <c r="C62" i="101"/>
  <c r="J59" i="101"/>
  <c r="H59" i="101"/>
  <c r="G59" i="101"/>
  <c r="F59" i="101"/>
  <c r="E59" i="101"/>
  <c r="D59" i="101"/>
  <c r="C59" i="101"/>
  <c r="J56" i="101"/>
  <c r="H56" i="101"/>
  <c r="G56" i="101"/>
  <c r="F56" i="101"/>
  <c r="E56" i="101"/>
  <c r="D56" i="101"/>
  <c r="C56" i="101"/>
  <c r="J53" i="101"/>
  <c r="H53" i="101"/>
  <c r="G53" i="101"/>
  <c r="F53" i="101"/>
  <c r="E53" i="101"/>
  <c r="D53" i="101"/>
  <c r="C53" i="101"/>
  <c r="J50" i="101"/>
  <c r="H50" i="101"/>
  <c r="G50" i="101"/>
  <c r="F50" i="101"/>
  <c r="E50" i="101"/>
  <c r="D50" i="101"/>
  <c r="C50" i="101"/>
  <c r="J47" i="101"/>
  <c r="H47" i="101"/>
  <c r="G47" i="101"/>
  <c r="F47" i="101"/>
  <c r="E47" i="101"/>
  <c r="D47" i="101"/>
  <c r="C47" i="101"/>
  <c r="J44" i="101"/>
  <c r="H44" i="101"/>
  <c r="G44" i="101"/>
  <c r="F44" i="101"/>
  <c r="E44" i="101"/>
  <c r="D44" i="101"/>
  <c r="C44" i="101"/>
  <c r="J41" i="101"/>
  <c r="H41" i="101"/>
  <c r="G41" i="101"/>
  <c r="F41" i="101"/>
  <c r="E41" i="101"/>
  <c r="D41" i="101"/>
  <c r="C41" i="101"/>
  <c r="J38" i="101"/>
  <c r="H38" i="101"/>
  <c r="G38" i="101"/>
  <c r="F38" i="101"/>
  <c r="E38" i="101"/>
  <c r="D38" i="101"/>
  <c r="C38" i="101"/>
  <c r="J35" i="101"/>
  <c r="H35" i="101"/>
  <c r="G35" i="101"/>
  <c r="F35" i="101"/>
  <c r="E35" i="101"/>
  <c r="D35" i="101"/>
  <c r="C35" i="101"/>
  <c r="J32" i="101"/>
  <c r="H32" i="101"/>
  <c r="G32" i="101"/>
  <c r="F32" i="101"/>
  <c r="E32" i="101"/>
  <c r="D32" i="101"/>
  <c r="C32" i="101"/>
  <c r="J29" i="101"/>
  <c r="H29" i="101"/>
  <c r="G29" i="101"/>
  <c r="F29" i="101"/>
  <c r="E29" i="101"/>
  <c r="D29" i="101"/>
  <c r="C29" i="101"/>
  <c r="C28" i="101"/>
  <c r="J26" i="101"/>
  <c r="H26" i="101"/>
  <c r="G26" i="101"/>
  <c r="F26" i="101"/>
  <c r="E26" i="101"/>
  <c r="D26" i="101"/>
  <c r="C26" i="101"/>
  <c r="J23" i="101"/>
  <c r="H23" i="101"/>
  <c r="G23" i="101"/>
  <c r="F23" i="101"/>
  <c r="E23" i="101"/>
  <c r="D23" i="101"/>
  <c r="C23" i="101"/>
  <c r="D22" i="101"/>
  <c r="J20" i="101"/>
  <c r="H20" i="101"/>
  <c r="G20" i="101"/>
  <c r="F20" i="101"/>
  <c r="E20" i="101"/>
  <c r="D20" i="101"/>
  <c r="C20" i="101"/>
  <c r="G19" i="101"/>
  <c r="J17" i="101"/>
  <c r="H17" i="101"/>
  <c r="G17" i="101"/>
  <c r="F17" i="101"/>
  <c r="E17" i="101"/>
  <c r="D17" i="101"/>
  <c r="C17" i="101"/>
  <c r="J14" i="101"/>
  <c r="H14" i="101"/>
  <c r="G14" i="101"/>
  <c r="F14" i="101"/>
  <c r="E14" i="101"/>
  <c r="D14" i="101"/>
  <c r="C14" i="101"/>
  <c r="J11" i="101"/>
  <c r="H11" i="101"/>
  <c r="G11" i="101"/>
  <c r="F11" i="101"/>
  <c r="E11" i="101"/>
  <c r="D11" i="101"/>
  <c r="C11" i="101"/>
  <c r="J8" i="101"/>
  <c r="H8" i="101"/>
  <c r="G8" i="101"/>
  <c r="F8" i="101"/>
  <c r="E8" i="101"/>
  <c r="D8" i="101"/>
  <c r="C8" i="101"/>
  <c r="J5" i="101"/>
  <c r="H5" i="101"/>
  <c r="G5" i="101"/>
  <c r="F5" i="101"/>
  <c r="E5" i="101"/>
  <c r="D5" i="101"/>
  <c r="C5" i="101"/>
  <c r="H208" i="101" l="1"/>
  <c r="J163" i="101" s="1"/>
  <c r="H97" i="101" s="1"/>
  <c r="H37" i="101" s="1"/>
  <c r="H25" i="101" s="1"/>
  <c r="D271" i="101"/>
  <c r="J211" i="101" s="1"/>
  <c r="D208" i="101" s="1"/>
  <c r="J199" i="101" s="1"/>
  <c r="E184" i="101" s="1"/>
  <c r="J124" i="101" s="1"/>
  <c r="E100" i="101" s="1"/>
  <c r="D88" i="101" s="1"/>
  <c r="D61" i="101" s="1"/>
  <c r="D58" i="101" s="1"/>
  <c r="J28" i="101" s="1"/>
  <c r="D244" i="101"/>
  <c r="C217" i="101" s="1"/>
  <c r="C139" i="101" s="1"/>
  <c r="D64" i="101" s="1"/>
  <c r="D316" i="101"/>
  <c r="J97" i="101"/>
  <c r="J37" i="101"/>
  <c r="J7" i="101" s="1"/>
  <c r="H244" i="101"/>
  <c r="H232" i="101" s="1"/>
  <c r="H202" i="101" s="1"/>
  <c r="H79" i="101" s="1"/>
  <c r="J67" i="101" s="1"/>
  <c r="D199" i="101"/>
  <c r="J205" i="101"/>
  <c r="H112" i="101"/>
  <c r="C169" i="101"/>
  <c r="C115" i="101" s="1"/>
  <c r="D76" i="101" s="1"/>
  <c r="D52" i="101" s="1"/>
  <c r="D46" i="101" s="1"/>
  <c r="C178" i="101"/>
  <c r="H184" i="101"/>
  <c r="H181" i="101"/>
  <c r="J265" i="101"/>
  <c r="J226" i="101" s="1"/>
  <c r="G214" i="101" s="1"/>
  <c r="F136" i="101" s="1"/>
  <c r="J88" i="101" s="1"/>
  <c r="F79" i="101" s="1"/>
  <c r="E37" i="101" s="1"/>
  <c r="H259" i="101"/>
  <c r="C307" i="101"/>
  <c r="F274" i="101" s="1"/>
  <c r="E247" i="101" s="1"/>
  <c r="J184" i="101" s="1"/>
  <c r="J169" i="101" s="1"/>
  <c r="G109" i="101" s="1"/>
  <c r="D7" i="101" s="1"/>
  <c r="J106" i="101"/>
  <c r="H73" i="101"/>
  <c r="H34" i="101" s="1"/>
  <c r="E25" i="101" s="1"/>
  <c r="F148" i="101"/>
  <c r="F145" i="101" s="1"/>
  <c r="E85" i="101" s="1"/>
  <c r="E70" i="101" s="1"/>
  <c r="C55" i="101" s="1"/>
  <c r="J16" i="101" s="1"/>
  <c r="E151" i="101"/>
  <c r="E73" i="101"/>
  <c r="C112" i="101"/>
  <c r="F37" i="101"/>
  <c r="H31" i="101"/>
  <c r="J181" i="101"/>
  <c r="C100" i="101"/>
  <c r="C16" i="101" s="1"/>
  <c r="C10" i="101" s="1"/>
  <c r="E79" i="101"/>
  <c r="D43" i="101" s="1"/>
  <c r="G28" i="101" s="1"/>
  <c r="E19" i="101" s="1"/>
  <c r="F28" i="101"/>
  <c r="H262" i="101"/>
  <c r="F25" i="101" l="1"/>
  <c r="F31" i="101"/>
  <c r="D25" i="101" s="1"/>
  <c r="F22" i="101" s="1"/>
  <c r="F13" i="101"/>
  <c r="G10" i="101" s="1"/>
  <c r="E31" i="101"/>
</calcChain>
</file>

<file path=xl/comments1.xml><?xml version="1.0" encoding="utf-8"?>
<comments xmlns="http://schemas.openxmlformats.org/spreadsheetml/2006/main">
  <authors>
    <author>Lenovo</author>
  </authors>
  <commentList>
    <comment ref="BL13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KAÇ ÇEKİLİŞ ÖNCE ÇIKTI</t>
        </r>
      </text>
    </comment>
    <comment ref="BM13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KAÇ SEFER ÇIKTI</t>
        </r>
      </text>
    </comment>
    <comment ref="BN13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BENİM TABLODA KAÇ SEFER ÇIKTI
</t>
        </r>
      </text>
    </comment>
    <comment ref="BO13" authorId="0" shapeId="0">
      <text>
        <r>
          <rPr>
            <b/>
            <sz val="9"/>
            <color indexed="81"/>
            <rFont val="Tahoma"/>
            <family val="2"/>
            <charset val="162"/>
          </rPr>
          <t>02-07-2022 DE 3 ÇEKİLİŞ ÜST ÜSTE  ÇIKTI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BO24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  3 ÇEKİLİŞ                  ÜST ÜSTE ÇIKMIŞ</t>
        </r>
      </text>
    </comment>
    <comment ref="BO27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  3 ÇEKİLİŞ                  ÜST ÜSTE ÇIKMIŞ</t>
        </r>
      </text>
    </comment>
    <comment ref="BJ31" authorId="0" shapeId="0">
      <text>
        <r>
          <rPr>
            <b/>
            <sz val="9"/>
            <color indexed="81"/>
            <rFont val="Tahoma"/>
            <family val="2"/>
            <charset val="162"/>
          </rPr>
          <t>bu çekilişte mutlaka çık seni banko sayı bildireceğim sennin suyun fokurduyor çık o küreden dışarı çık anladın mı seni banko sayı belirlemeyi düşünüyorum….hayır düşünmü yorum sen bu çekilişin banko sayısısın tamam anladın .çık o küreden bu akşam yalvarıyorum çık . etrafındaki bütün sayılar çıktı sen de çık bu akşam o küredn dışarı çık. çık.çık.çık.çık.çık.çık.</t>
        </r>
      </text>
    </comment>
    <comment ref="BO33" authorId="0" shapeId="0">
      <text>
        <r>
          <rPr>
            <sz val="9"/>
            <color indexed="81"/>
            <rFont val="Tahoma"/>
            <family val="2"/>
            <charset val="162"/>
          </rPr>
          <t xml:space="preserve">    3 ÇEKİLİŞ                  ÜST ÜSTE ÇIKMIŞ</t>
        </r>
      </text>
    </comment>
    <comment ref="BO41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    3 ÇEKİLİŞ ÜST             ÜSTE ÇIKMIŞ            HEMDE İKİ SEFER
</t>
        </r>
      </text>
    </comment>
    <comment ref="DX43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104 ara gelmemiş</t>
        </r>
      </text>
    </comment>
    <comment ref="BO45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    3 ÇEKİLİŞ ÜST             ÜSTE ÇIKMIŞ
</t>
        </r>
      </text>
    </comment>
    <comment ref="DX48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72 ARADA ÇIKMIŞ
</t>
        </r>
      </text>
    </comment>
    <comment ref="DX49" authorId="0" shapeId="0">
      <text>
        <r>
          <rPr>
            <sz val="9"/>
            <color indexed="81"/>
            <rFont val="Tahoma"/>
            <family val="2"/>
            <charset val="162"/>
          </rPr>
          <t xml:space="preserve"> BAŞLANGIÇTA 90 ARA GELMEMİŞ
</t>
        </r>
      </text>
    </comment>
    <comment ref="BO51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   ÜÇ ÇEKİLİŞ ÜST           ÜSTE GELMİŞ             6-12-2025 DE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DX5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 72 ARA GELMEMİŞ</t>
        </r>
      </text>
    </comment>
    <comment ref="BO53" authorId="0" shapeId="0">
      <text>
        <r>
          <rPr>
            <sz val="9"/>
            <color indexed="81"/>
            <rFont val="Tahoma"/>
            <family val="2"/>
            <charset val="162"/>
          </rPr>
          <t xml:space="preserve">   24-01-2026 DA 3 ÇEKİLİŞ ÜST ÜSTE GELMİŞ                         14-02-24 DE DE 3 ÇEKİLİŞ ÜST ÜSTE GELMİŞ
</t>
        </r>
      </text>
    </comment>
    <comment ref="BJ54" authorId="0" shapeId="0">
      <text>
        <r>
          <rPr>
            <sz val="9"/>
            <color indexed="81"/>
            <rFont val="Tahoma"/>
            <family val="2"/>
            <charset val="162"/>
          </rPr>
          <t xml:space="preserve">
BU TOP U İYİ İNCELE   İYİ DÜŞÜN</t>
        </r>
      </text>
    </comment>
    <comment ref="BK54" authorId="0" shapeId="0">
      <text>
        <r>
          <rPr>
            <sz val="9"/>
            <color indexed="81"/>
            <rFont val="Tahoma"/>
            <family val="2"/>
            <charset val="162"/>
          </rPr>
          <t xml:space="preserve">
BU TOP U İYİ İNCELE   İYİ DÜŞÜN</t>
        </r>
      </text>
    </comment>
    <comment ref="BL55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  14-06-2026 DAN BERİ SADECE İKİ SEFER ÇIKMIŞ TOPU İYİ BİR ANALİZ ET  BU ÇEKİLİŞTE</t>
        </r>
      </text>
    </comment>
    <comment ref="DX55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11-06-2025 DEN BERİ SADECE 2 SEFER ÇIKMIŞ TOPU İYİ ANALİZ ET</t>
        </r>
      </text>
    </comment>
    <comment ref="BJ56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ÜST ÜSTE ÇIKMA DA ÇOK RİSKLİ AYİ DÜŞÜN
</t>
        </r>
      </text>
    </comment>
    <comment ref="BK56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ÜST ÜSTE ÇIKMA DA ÇOK RİSKLİ AYİ DÜŞÜN
</t>
        </r>
      </text>
    </comment>
    <comment ref="DX56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01-10-2022 DEN </t>
        </r>
        <r>
          <rPr>
            <sz val="9"/>
            <color indexed="81"/>
            <rFont val="Tahoma"/>
            <family val="2"/>
            <charset val="162"/>
          </rPr>
          <t xml:space="preserve">
15-04-2023 E KADAR     83 ARA GELMEMİŞ 6 AY CİVARINDA  GELMEMİŞ
</t>
        </r>
      </text>
    </comment>
    <comment ref="BL57" authorId="0" shapeId="0">
      <text>
        <r>
          <rPr>
            <b/>
            <sz val="9"/>
            <color indexed="81"/>
            <rFont val="Tahoma"/>
            <family val="2"/>
            <charset val="162"/>
          </rPr>
          <t>UZUN SÜRE ÇIKMAYABİLİYOR. AMA GELDİĞİNDE İNANILMAZ AGRESİF.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DX57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1-) 22-01-2025 DEN                  25-08-2025 E KADAR 7 AY BOYUNCA  90 ARA ÇIKMAMIŞ. 2-) 08-02-2023 DEN                  19-07-2023 E KADAR 5 AY BOYUNCA 68 ARA ÇIKMAMIŞ   3-) 02-01-2021 DEN                  29-05-2021 E KADAR 5 AY BOYUNCA 63 ARA ÇIKMAMIŞ </t>
        </r>
      </text>
    </comment>
    <comment ref="BJ58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EN ÇOK ÇIKAN TOP ÜNVANI BOŞONA DEĞİL . BU TOPU İYİ TASKİP ET
</t>
        </r>
      </text>
    </comment>
    <comment ref="BK58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EN ÇOK ÇIKAN TOP ÜNVANI BOŞONA DEĞİL . BU TOPU İYİ TASKİP ET
</t>
        </r>
      </text>
    </comment>
    <comment ref="BO58" authorId="0" shapeId="0">
      <text>
        <r>
          <rPr>
            <b/>
            <sz val="9"/>
            <color indexed="81"/>
            <rFont val="Tahoma"/>
            <family val="2"/>
            <charset val="162"/>
          </rPr>
          <t>26-08-2024 DE 4 ÇEKİLİŞ ÜST ÜSTE GELMİŞ. ÖNCESİ 2 ARADAN SONR AGELMİŞ.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BJ59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28-03-202 DAKİ ÇEKİLİŞTE ÇIKMAZ AMA ANALİZ ET BİRSONRAKİ ÇEKİLİŞ TE DE
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BK59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28-03-202 DAKİ ÇEKİLİŞTE ÇIKMAZ AMA ANALİZ ET BİRSONRAKİ ÇEKİLİŞ TE DE
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DX61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 27-06-2022 DEN 
04-01-2023 E KADAR 6 AY BOYUNCA 80 ARA ÇIKMAMIŞ</t>
        </r>
      </text>
    </comment>
    <comment ref="BJ65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2021 DE 5-6-7 AYLARDA TOPLAM 11 SEFER ÇIKMIŞ . BELİRLİ ARALARDA ÇIKIYOR .</t>
        </r>
      </text>
    </comment>
    <comment ref="BK65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2021 DE 5-6-7 AYLARDA TOPLAM 11 SEFER ÇIKMIŞ . BELİRLİ ARALARDA ÇIKIYOR .</t>
        </r>
      </text>
    </comment>
    <comment ref="DX65" authorId="0" shapeId="0">
      <text>
        <r>
          <rPr>
            <b/>
            <sz val="9"/>
            <color indexed="81"/>
            <rFont val="Tahoma"/>
            <family val="2"/>
            <charset val="162"/>
          </rPr>
          <t>07-03-2022 DEN        14-09-2022 YE KADAR 6 AY                81 ARA GELMEMİŞ</t>
        </r>
      </text>
    </comment>
    <comment ref="BJ66" authorId="0" shapeId="0">
      <text>
        <r>
          <rPr>
            <b/>
            <sz val="9"/>
            <color indexed="81"/>
            <rFont val="Tahoma"/>
            <family val="2"/>
            <charset val="162"/>
          </rPr>
          <t>02-03-2022 DEN 
06-08-2022 ARASINDA 10 SEFER ÇIKMIŞ.
02-04-2025 İLE28-04-2025 ARASINDA5 SEFER ÇIKMIŞ</t>
        </r>
      </text>
    </comment>
    <comment ref="BK66" authorId="0" shapeId="0">
      <text>
        <r>
          <rPr>
            <b/>
            <sz val="9"/>
            <color indexed="81"/>
            <rFont val="Tahoma"/>
            <family val="2"/>
            <charset val="162"/>
          </rPr>
          <t>02-03-2022 DEN 
06-08-2022 ARASINDA 10 SEFER ÇIKMIŞ.
02-04-2025 İLE28-04-2025 ARASINDA5 SEFER ÇIKMIŞ</t>
        </r>
      </text>
    </comment>
    <comment ref="DX66" authorId="0" shapeId="0">
      <text>
        <r>
          <rPr>
            <b/>
            <sz val="9"/>
            <color indexed="81"/>
            <rFont val="Tahoma"/>
            <family val="2"/>
            <charset val="162"/>
          </rPr>
          <t>06-08-20222 DEN 
26-04-2023 E KADAR 111 ARA ÇIKMAMIŞ</t>
        </r>
      </text>
    </comment>
    <comment ref="BJ67" authorId="0" shapeId="0">
      <text>
        <r>
          <rPr>
            <b/>
            <sz val="9"/>
            <color indexed="81"/>
            <rFont val="Tahoma"/>
            <family val="2"/>
            <charset val="162"/>
          </rPr>
          <t>29-07-2024 İLE     27-01-2025 ARASINDA 6 AYDA  13 SEFER ÇIKMIŞ</t>
        </r>
        <r>
          <rPr>
            <sz val="9"/>
            <color indexed="81"/>
            <rFont val="Tahoma"/>
            <family val="2"/>
            <charset val="162"/>
          </rPr>
          <t xml:space="preserve">
UZUN SÜRE ÇIKMAYABİLİYOR. 04-04-2026 da da çıkmaz ise bir daha bu sayıyı listeye alma çıkarsada çıksın. Kalabalık yapıyor kaç haftadır.
</t>
        </r>
      </text>
    </comment>
    <comment ref="BK67" authorId="0" shapeId="0">
      <text>
        <r>
          <rPr>
            <b/>
            <sz val="9"/>
            <color indexed="81"/>
            <rFont val="Tahoma"/>
            <family val="2"/>
            <charset val="162"/>
          </rPr>
          <t>29-07-2024 İLE     27-01-2025 ARASINDA 6 AYDA  13 SEFER ÇIKMIŞ</t>
        </r>
        <r>
          <rPr>
            <sz val="9"/>
            <color indexed="81"/>
            <rFont val="Tahoma"/>
            <family val="2"/>
            <charset val="162"/>
          </rPr>
          <t xml:space="preserve">
UZUN SÜRE ÇIKMAYABİLİYOR</t>
        </r>
      </text>
    </comment>
    <comment ref="BJ70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2022 DE 21 ÇEKİLİŞTE 7 SEFER ÇIKMIŞ 2 SEFER 3 ÇEKİLİŞ ÜST ÜSTE ÇIKMIŞ
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BK70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2022 DE 21 ÇEKİLİŞTE 7 SEFER ÇIKMIŞ 2 SEFER 3 ÇEKİLİŞ ÜST ÜSTE ÇIKMIŞ
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BO70" authorId="0" shapeId="0">
      <text>
        <r>
          <rPr>
            <b/>
            <sz val="9"/>
            <color indexed="81"/>
            <rFont val="Tahoma"/>
            <family val="2"/>
            <charset val="162"/>
          </rPr>
          <t>07-03-2026 DA 3 VE 04-03-2023 DE 3   ÇEKİLİŞ ÜST ÜSTE ÇIKTI     BU ÇEKİLİŞTE VE ÖNÜMÜZDEKİ ÇEKİLİŞLERDE İY İNCELE…..</t>
        </r>
      </text>
    </comment>
    <comment ref="DX72" authorId="0" shapeId="0">
      <text>
        <r>
          <rPr>
            <b/>
            <sz val="9"/>
            <color indexed="81"/>
            <rFont val="Tahoma"/>
            <family val="2"/>
            <charset val="162"/>
          </rPr>
          <t>01-04-2024 DEN 
16-11-2024 E KADAR 83 ARA GELMEMİŞ</t>
        </r>
      </text>
    </comment>
    <comment ref="BJ73" authorId="0" shapeId="0">
      <text>
        <r>
          <rPr>
            <b/>
            <sz val="9"/>
            <color indexed="81"/>
            <rFont val="Tahoma"/>
            <family val="2"/>
            <charset val="162"/>
          </rPr>
          <t>04-04-2026 daki çekilişte ne olur çıkma beni üzme anladın mı . Sana güveniyorum kürenin içinde kal ne olur.</t>
        </r>
      </text>
    </comment>
    <comment ref="BO73" authorId="0" shapeId="0">
      <text>
        <r>
          <rPr>
            <b/>
            <sz val="9"/>
            <color indexed="81"/>
            <rFont val="Tahoma"/>
            <family val="2"/>
            <charset val="162"/>
          </rPr>
          <t>17-04-2024 DE 3 ÇEKİLİŞ ÜST ÜSTE</t>
        </r>
      </text>
    </comment>
    <comment ref="BJ75" authorId="0" shapeId="0">
      <text>
        <r>
          <rPr>
            <b/>
            <sz val="9"/>
            <color indexed="81"/>
            <rFont val="Tahoma"/>
            <family val="2"/>
            <charset val="162"/>
          </rPr>
          <t>BU ÇEKŞLİŞ İÇİN KESİNLİKLE İNCELE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BK75" authorId="0" shapeId="0">
      <text>
        <r>
          <rPr>
            <b/>
            <sz val="9"/>
            <color indexed="81"/>
            <rFont val="Tahoma"/>
            <family val="2"/>
            <charset val="162"/>
          </rPr>
          <t>BU ÇEKŞLİŞ İÇİN KESİNLİKLE İNCELE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BJ77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5 TEKRARINI İNCELE VE 5 ARADA ŞU AN
</t>
        </r>
      </text>
    </comment>
    <comment ref="BK77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5 TEKRARINI İNCELE VE 5 ARADA ŞU AN
</t>
        </r>
      </text>
    </comment>
    <comment ref="BJ78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sen de bu akşam küreden dışarı çık tamam mı . Etrafındakiler çıktı senin de çıkman gerek göster kendini ve beni bu akşam sevindir. Çık. Çık .çık.çık. Oküreden dışarı bu akşam sana güveniyorum. Güvenimi boşa çıkarmayacaksın biliyorum . </t>
        </r>
      </text>
    </comment>
    <comment ref="DX78" authorId="0" shapeId="0">
      <text>
        <r>
          <rPr>
            <sz val="9"/>
            <color indexed="81"/>
            <rFont val="Tahoma"/>
            <family val="2"/>
            <charset val="162"/>
          </rPr>
          <t xml:space="preserve">12-04-2023 DE 75 ARA GELMEMİŞ
</t>
        </r>
      </text>
    </comment>
    <comment ref="DX79" authorId="0" shapeId="0">
      <text>
        <r>
          <rPr>
            <b/>
            <sz val="9"/>
            <color indexed="81"/>
            <rFont val="Tahoma"/>
            <family val="2"/>
            <charset val="162"/>
          </rPr>
          <t>03-05-2025 DEN  15-11-2025 E KADAR 83 ARA  GELMEMİŞ.</t>
        </r>
      </text>
    </comment>
    <comment ref="BJ80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TUHAF ACAYİP TOP İNCELEME ALTINDA TUT</t>
        </r>
      </text>
    </comment>
    <comment ref="BK80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TUHAF ACAYİP TOP İNCELEME ALTINDA TUT</t>
        </r>
      </text>
    </comment>
    <comment ref="DX80" authorId="0" shapeId="0">
      <text>
        <r>
          <rPr>
            <b/>
            <sz val="9"/>
            <color indexed="81"/>
            <rFont val="Tahoma"/>
            <family val="2"/>
            <charset val="162"/>
          </rPr>
          <t>11-03-20254 DE 63 ARA GELMEMİŞ TUHAF DENGESİZ BİR TOP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BJ81" authorId="0" shapeId="0">
      <text>
        <r>
          <rPr>
            <b/>
            <sz val="9"/>
            <color indexed="81"/>
            <rFont val="Tahoma"/>
            <family val="2"/>
            <charset val="162"/>
          </rPr>
          <t>2 ARA SI ÇOK BENCE İYİ DÜŞÜN ANALİZ ET…..</t>
        </r>
      </text>
    </comment>
    <comment ref="BK81" authorId="0" shapeId="0">
      <text>
        <r>
          <rPr>
            <b/>
            <sz val="9"/>
            <color indexed="81"/>
            <rFont val="Tahoma"/>
            <family val="2"/>
            <charset val="162"/>
          </rPr>
          <t>2 ARA SI ÇOK BENCE İYİ DÜŞÜN ANALİZ ET…..</t>
        </r>
      </text>
    </comment>
    <comment ref="DX82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02-07-2025 DEN 10-01-2026 YA KADAR 80 ARA GELMEMİŞ </t>
        </r>
      </text>
    </comment>
    <comment ref="DX85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76 ara  2024 de
</t>
        </r>
      </text>
    </comment>
    <comment ref="DX86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74 ARA 2023 DE
143 ARA 2022 DE
</t>
        </r>
      </text>
    </comment>
    <comment ref="DX87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01-06-2024  68 ARA GELMEDİ
</t>
        </r>
      </text>
    </comment>
    <comment ref="DX88" authorId="0" shapeId="0">
      <text>
        <r>
          <rPr>
            <b/>
            <sz val="9"/>
            <color indexed="81"/>
            <rFont val="Tahoma"/>
            <family val="2"/>
            <charset val="162"/>
          </rPr>
          <t>Lenovo:</t>
        </r>
        <r>
          <rPr>
            <sz val="9"/>
            <color indexed="81"/>
            <rFont val="Tahoma"/>
            <family val="2"/>
            <charset val="162"/>
          </rPr>
          <t xml:space="preserve">
2021 DE 64 ARA GELMEDİ</t>
        </r>
      </text>
    </comment>
    <comment ref="DX91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21-07-2025 DE 
70 ARA GELMEMİŞ
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BJ95" authorId="0" shapeId="0">
      <text>
        <r>
          <rPr>
            <b/>
            <sz val="9"/>
            <color indexed="81"/>
            <rFont val="Tahoma"/>
            <family val="2"/>
            <charset val="162"/>
          </rPr>
          <t>SON ZAMANLARIN SICAK TOPU YILBAŞINDAN BERİ 5 SEFER ÇIKTI , 3 AYRI ZAMANDA ÜST ÜSTE Sİ VAR SON BİR YILDA</t>
        </r>
      </text>
    </comment>
    <comment ref="BK95" authorId="0" shapeId="0">
      <text>
        <r>
          <rPr>
            <b/>
            <sz val="9"/>
            <color indexed="81"/>
            <rFont val="Tahoma"/>
            <family val="2"/>
            <charset val="162"/>
          </rPr>
          <t>SON ZAMANLARIN SICAK TOPU YILBAŞINDAN BERİ 5 SEFER ÇIKTI , 3 AYRI ZAMANDA ÜST ÜSTE Sİ VAR SON BİR YILDA</t>
        </r>
      </text>
    </comment>
    <comment ref="DX95" authorId="0" shapeId="0">
      <text>
        <r>
          <rPr>
            <b/>
            <sz val="9"/>
            <color indexed="81"/>
            <rFont val="Tahoma"/>
            <family val="2"/>
            <charset val="162"/>
          </rPr>
          <t>2021 DE 86 ARA ÇIKMADI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BJ96" authorId="0" shapeId="0">
      <text>
        <r>
          <rPr>
            <b/>
            <sz val="9"/>
            <color indexed="81"/>
            <rFont val="Tahoma"/>
            <family val="2"/>
            <charset val="162"/>
          </rPr>
          <t>2 YIL ÖNCE ÇOK ÇIKMIŞ AMA ŞU AN AZ ŞIKIYOR GİBİ</t>
        </r>
      </text>
    </comment>
    <comment ref="BK96" authorId="0" shapeId="0">
      <text>
        <r>
          <rPr>
            <b/>
            <sz val="9"/>
            <color indexed="81"/>
            <rFont val="Tahoma"/>
            <family val="2"/>
            <charset val="162"/>
          </rPr>
          <t>2 YIL ÖNCE ÇOK ÇIKMIŞ AMA ŞU AN AZ ŞIKIYOR GİBİ</t>
        </r>
      </text>
    </comment>
    <comment ref="BO96" authorId="0" shapeId="0">
      <text>
        <r>
          <rPr>
            <b/>
            <sz val="9"/>
            <color indexed="81"/>
            <rFont val="Tahoma"/>
            <family val="2"/>
            <charset val="162"/>
          </rPr>
          <t>27-01-2024 DE 3 ÇEKİLİŞ ÜST ÜSTE ÇIKTI</t>
        </r>
      </text>
    </comment>
    <comment ref="DX96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28-12-2024 DE 87 ARA ÇIKMADI
15-07-2024 DE 70 ARA ÇIKMADI
</t>
        </r>
      </text>
    </comment>
    <comment ref="BJ97" authorId="0" shapeId="0">
      <text>
        <r>
          <rPr>
            <sz val="9"/>
            <color indexed="81"/>
            <rFont val="Tahoma"/>
            <family val="2"/>
            <charset val="162"/>
          </rPr>
          <t xml:space="preserve">
2026-1
2025-8
2024-13
2023-10
2022-11
2021-12
İLK YILLAR ÇOK ÇIKMIŞ SON YILLARDA AZ ÇIKIYOR GİBİ GÖRÜNÜYOR</t>
        </r>
      </text>
    </comment>
    <comment ref="BK97" authorId="0" shapeId="0">
      <text>
        <r>
          <rPr>
            <sz val="9"/>
            <color indexed="81"/>
            <rFont val="Tahoma"/>
            <family val="2"/>
            <charset val="162"/>
          </rPr>
          <t xml:space="preserve">
2026-1
2025-8
2024-13
2023-10
2022-11
2021-12
İLK YILLAR ÇOK ÇIKMIŞ SON YILLARDA AZ ÇIKIYOR GİBİ GÖRÜNÜYOR</t>
        </r>
      </text>
    </comment>
    <comment ref="BJ98" authorId="0" shapeId="0">
      <text>
        <r>
          <rPr>
            <sz val="9"/>
            <color indexed="81"/>
            <rFont val="Tahoma"/>
            <family val="2"/>
            <charset val="162"/>
          </rPr>
          <t xml:space="preserve">2021-9
2022-5
2023-14
2024-7
2025-6
2026-0 DAHA ÇIKMADI
</t>
        </r>
      </text>
    </comment>
    <comment ref="BK98" authorId="0" shapeId="0">
      <text>
        <r>
          <rPr>
            <sz val="9"/>
            <color indexed="81"/>
            <rFont val="Tahoma"/>
            <family val="2"/>
            <charset val="162"/>
          </rPr>
          <t xml:space="preserve">2021-9
2022-5
2023-14
2024-7
2025-6
2026-0 DAHA ÇIKMADI
</t>
        </r>
      </text>
    </comment>
    <comment ref="BJ99" authorId="0" shapeId="0">
      <text>
        <r>
          <rPr>
            <b/>
            <sz val="9"/>
            <color indexed="81"/>
            <rFont val="Tahoma"/>
            <family val="2"/>
            <charset val="162"/>
          </rPr>
          <t>2021-10
2022-18
2023-13
2024-10
2025-6
2026-1
DEFA ÇIKTI</t>
        </r>
      </text>
    </comment>
    <comment ref="BK99" authorId="0" shapeId="0">
      <text>
        <r>
          <rPr>
            <b/>
            <sz val="9"/>
            <color indexed="81"/>
            <rFont val="Tahoma"/>
            <family val="2"/>
            <charset val="162"/>
          </rPr>
          <t>2021-10
2022-18
2023-13
2024-10
2025-6
2026-1
DEFA ÇIKTI</t>
        </r>
      </text>
    </comment>
    <comment ref="DX99" authorId="0" shapeId="0">
      <text>
        <r>
          <rPr>
            <b/>
            <sz val="9"/>
            <color indexed="81"/>
            <rFont val="Tahoma"/>
            <family val="2"/>
            <charset val="162"/>
          </rPr>
          <t>03-05-2025 DEN İTİBAREN 80 ARA ÇIKMAMIŞ</t>
        </r>
        <r>
          <rPr>
            <sz val="9"/>
            <color indexed="81"/>
            <rFont val="Tahoma"/>
            <family val="2"/>
            <charset val="162"/>
          </rPr>
          <t xml:space="preserve">
03-06-2024 DE İTİBAREN 73 ARA ÇIKMAMIŞ</t>
        </r>
      </text>
    </comment>
    <comment ref="BJ100" authorId="0" shapeId="0">
      <text>
        <r>
          <rPr>
            <sz val="9"/>
            <color indexed="81"/>
            <rFont val="Tahoma"/>
            <family val="2"/>
            <charset val="162"/>
          </rPr>
          <t xml:space="preserve">
2021-10
2022-12
2023-16
2024-13
2025-15
2026-2
DEFA ÇIKMIŞ</t>
        </r>
      </text>
    </comment>
    <comment ref="BK100" authorId="0" shapeId="0">
      <text>
        <r>
          <rPr>
            <sz val="9"/>
            <color indexed="81"/>
            <rFont val="Tahoma"/>
            <family val="2"/>
            <charset val="162"/>
          </rPr>
          <t xml:space="preserve">
2021-10
2022-12
2023-16
2024-13
2025-15
2026-2
DEFA ÇIKMIŞ</t>
        </r>
      </text>
    </comment>
    <comment ref="BO100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08-03-2021 DE 3 ÇEKİLİŞ ÜSTV ÜSTE ÇIKTI
</t>
        </r>
      </text>
    </comment>
    <comment ref="BO101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 2 SEFER 3 ÇEKİLİŞ ÜST ÜSTE GELMİŞ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BJ102" authorId="0" shapeId="0">
      <text>
        <r>
          <rPr>
            <sz val="9"/>
            <color indexed="81"/>
            <rFont val="Tahoma"/>
            <family val="2"/>
            <charset val="162"/>
          </rPr>
          <t xml:space="preserve">
2021-16
2022-10
2023-19
2024-12
2025-5
2026-4 
DEFA ÇIKTI
BU ÇEKİLİŞTE DÜŞÜN İNCELE</t>
        </r>
      </text>
    </comment>
    <comment ref="BK102" authorId="0" shapeId="0">
      <text>
        <r>
          <rPr>
            <sz val="9"/>
            <color indexed="81"/>
            <rFont val="Tahoma"/>
            <family val="2"/>
            <charset val="162"/>
          </rPr>
          <t xml:space="preserve">
2021-16
2022-10
2023-19
2024-12
2025-5
2026-4 
DEFA ÇIKTI
BU ÇEKİLİŞTE DÜŞÜN İNCELE</t>
        </r>
      </text>
    </comment>
    <comment ref="DX102" authorId="0" shapeId="0">
      <text>
        <r>
          <rPr>
            <b/>
            <sz val="9"/>
            <color indexed="81"/>
            <rFont val="Tahoma"/>
            <family val="2"/>
            <charset val="162"/>
          </rPr>
          <t>28-05-2025 DEN SONRA 68 ARA GELMEDİ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BJ103" authorId="0" shapeId="0">
      <text>
        <r>
          <rPr>
            <sz val="9"/>
            <color indexed="81"/>
            <rFont val="Tahoma"/>
            <family val="2"/>
            <charset val="162"/>
          </rPr>
          <t xml:space="preserve">
2021-13
2022-9
2023-7
2024-12
2025-12
2026-2
DEFA ÇIKTI
</t>
        </r>
      </text>
    </comment>
    <comment ref="BK103" authorId="0" shapeId="0">
      <text>
        <r>
          <rPr>
            <sz val="9"/>
            <color indexed="81"/>
            <rFont val="Tahoma"/>
            <family val="2"/>
            <charset val="162"/>
          </rPr>
          <t xml:space="preserve">
2021-13
2022-9
2023-7
2024-12
2025-12
2026-2
DEFA ÇIKTI
</t>
        </r>
      </text>
    </comment>
  </commentList>
</comments>
</file>

<file path=xl/sharedStrings.xml><?xml version="1.0" encoding="utf-8"?>
<sst xmlns="http://schemas.openxmlformats.org/spreadsheetml/2006/main" count="133" uniqueCount="85">
  <si>
    <t>SON</t>
  </si>
  <si>
    <t>Top</t>
  </si>
  <si>
    <t>Son Çıktığı</t>
  </si>
  <si>
    <t>Kaç Çekiliş</t>
  </si>
  <si>
    <t>Önce Çıktı</t>
  </si>
  <si>
    <t>Rakam</t>
  </si>
  <si>
    <t>Tarih</t>
  </si>
  <si>
    <t>YAKIN SÜRE İÇİNDE ÇIKAN TOPLAR</t>
  </si>
  <si>
    <t>UZUN SÜREDİR ÇIKMAYAN TOPLAR</t>
  </si>
  <si>
    <t xml:space="preserve">     EN AZ ÇIKAN TOPLAR</t>
  </si>
  <si>
    <t>Çık Ad</t>
  </si>
  <si>
    <t>Kaç Çek</t>
  </si>
  <si>
    <t>Önce Çık</t>
  </si>
  <si>
    <t>Son Çıkt</t>
  </si>
  <si>
    <t>B.K.S.Ç</t>
  </si>
  <si>
    <t>K.S.Ç.</t>
  </si>
  <si>
    <t>K.Ç.Ö</t>
  </si>
  <si>
    <t>1 BOŞ</t>
  </si>
  <si>
    <t>0 BOŞ</t>
  </si>
  <si>
    <t>2 BOŞ</t>
  </si>
  <si>
    <t>3 BOŞ</t>
  </si>
  <si>
    <t>4 BOŞ</t>
  </si>
  <si>
    <t>5 BOŞ</t>
  </si>
  <si>
    <t>6 BOŞ</t>
  </si>
  <si>
    <t>7 BOŞ</t>
  </si>
  <si>
    <t>8 BOŞ</t>
  </si>
  <si>
    <t>9 BOŞ</t>
  </si>
  <si>
    <t>10 BOŞ</t>
  </si>
  <si>
    <t>11 BOŞ</t>
  </si>
  <si>
    <t>12 BOŞ</t>
  </si>
  <si>
    <t>13 BOŞ</t>
  </si>
  <si>
    <t>14 BOŞ</t>
  </si>
  <si>
    <t>15 BOŞ</t>
  </si>
  <si>
    <t>16 BOŞ</t>
  </si>
  <si>
    <t>17 BOŞ</t>
  </si>
  <si>
    <t>18 BOŞ</t>
  </si>
  <si>
    <t>19 BOŞ</t>
  </si>
  <si>
    <t>20 BOŞ</t>
  </si>
  <si>
    <t>21 BOŞ</t>
  </si>
  <si>
    <t>22 BOŞ</t>
  </si>
  <si>
    <t>23 BOŞ</t>
  </si>
  <si>
    <t>24 BOŞ</t>
  </si>
  <si>
    <t>25 BOŞ</t>
  </si>
  <si>
    <t>26 BOŞ</t>
  </si>
  <si>
    <t>27 BOŞ</t>
  </si>
  <si>
    <t>28 BOŞ</t>
  </si>
  <si>
    <t>29 BOŞ</t>
  </si>
  <si>
    <t>30 BOŞ</t>
  </si>
  <si>
    <t>31 BOŞ</t>
  </si>
  <si>
    <t>32 BOŞ</t>
  </si>
  <si>
    <t>33 BOŞ</t>
  </si>
  <si>
    <t>34 BOŞ</t>
  </si>
  <si>
    <t>35 BOŞ</t>
  </si>
  <si>
    <t>36 BOŞ</t>
  </si>
  <si>
    <t>37 BOŞ</t>
  </si>
  <si>
    <t>38 BOŞ</t>
  </si>
  <si>
    <t>39 BOŞ</t>
  </si>
  <si>
    <t>40 BOŞ</t>
  </si>
  <si>
    <t>41 BOŞ</t>
  </si>
  <si>
    <t>42 BOŞ</t>
  </si>
  <si>
    <t>43 BOŞ</t>
  </si>
  <si>
    <t>44 BOŞ</t>
  </si>
  <si>
    <t>45 BOŞ</t>
  </si>
  <si>
    <t>46 BOŞ</t>
  </si>
  <si>
    <t>47 BOŞ</t>
  </si>
  <si>
    <t>48 BOŞ</t>
  </si>
  <si>
    <t>49 BOŞ</t>
  </si>
  <si>
    <t>50 BOŞ</t>
  </si>
  <si>
    <t>51 BOŞ</t>
  </si>
  <si>
    <t>Son Çık Tar</t>
  </si>
  <si>
    <t>52 BOŞ</t>
  </si>
  <si>
    <t>53 BOŞ</t>
  </si>
  <si>
    <t>54 BOŞ</t>
  </si>
  <si>
    <t>55 BOŞ</t>
  </si>
  <si>
    <t>56 BOŞ</t>
  </si>
  <si>
    <t>57 BOŞ</t>
  </si>
  <si>
    <t>58 BOŞ</t>
  </si>
  <si>
    <t>59 BOŞ</t>
  </si>
  <si>
    <t>60 BOŞ</t>
  </si>
  <si>
    <t>61 BOŞ</t>
  </si>
  <si>
    <t>ASAL SAYILAR</t>
  </si>
  <si>
    <t xml:space="preserve">      EN ÇOK ÇIKAN TOPLAR</t>
  </si>
  <si>
    <t xml:space="preserve">15-04-2026 ELENMİŞ </t>
  </si>
  <si>
    <t>J</t>
  </si>
  <si>
    <t>GEM LİST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</si>
</sst>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\ _T_L_-;\-* #,##0.00\ _T_L_-;_-* &quot;-&quot;??\ _T_L_-;_-@_-"/>
    <numFmt numFmtId="165" formatCode="_-* #,##0.00\ _₺_-;\-* #,##0.00\ _₺_-;_-* &quot;-&quot;??\ _₺_-;_-@_-"/>
    <numFmt numFmtId="166" formatCode="&quot;Açık&quot;;&quot;Açık&quot;;&quot;Kapalı&quot;"/>
  </numFmts>
  <fonts count="53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0"/>
      <color theme="10"/>
      <name val="Arial"/>
      <family val="2"/>
      <charset val="162"/>
    </font>
    <font>
      <sz val="10"/>
      <name val="Arial Tur"/>
      <charset val="162"/>
    </font>
    <font>
      <sz val="10"/>
      <name val="Helv"/>
    </font>
    <font>
      <sz val="10"/>
      <name val="Arial"/>
      <family val="2"/>
      <charset val="162"/>
    </font>
    <font>
      <sz val="11"/>
      <color rgb="FF000000"/>
      <name val="Calibri"/>
      <family val="2"/>
      <charset val="162"/>
    </font>
    <font>
      <sz val="10"/>
      <name val="Helv"/>
      <family val="2"/>
    </font>
    <font>
      <b/>
      <sz val="10"/>
      <name val="Arial"/>
      <family val="2"/>
      <charset val="162"/>
    </font>
    <font>
      <sz val="10"/>
      <color indexed="8"/>
      <name val="Arial"/>
      <family val="2"/>
    </font>
    <font>
      <sz val="10"/>
      <color rgb="FFFF0000"/>
      <name val="Arial"/>
      <family val="2"/>
      <charset val="162"/>
    </font>
    <font>
      <b/>
      <i/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62"/>
    </font>
    <font>
      <sz val="10"/>
      <color theme="0"/>
      <name val="Arial"/>
      <family val="2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b/>
      <sz val="9"/>
      <color theme="0"/>
      <name val="Arial"/>
      <family val="2"/>
      <charset val="162"/>
    </font>
    <font>
      <sz val="8"/>
      <name val="Arial"/>
      <family val="2"/>
      <charset val="162"/>
    </font>
    <font>
      <b/>
      <sz val="12"/>
      <name val="Arial"/>
      <family val="2"/>
      <charset val="162"/>
    </font>
    <font>
      <b/>
      <sz val="9"/>
      <color rgb="FFC00000"/>
      <name val="Arial"/>
      <family val="2"/>
      <charset val="162"/>
    </font>
    <font>
      <b/>
      <sz val="9"/>
      <color rgb="FF00B0F0"/>
      <name val="Arial"/>
      <family val="2"/>
      <charset val="162"/>
    </font>
    <font>
      <b/>
      <sz val="8"/>
      <name val="Arial"/>
      <family val="2"/>
      <charset val="162"/>
    </font>
    <font>
      <sz val="10"/>
      <color rgb="FF1F1F1F"/>
      <name val="Arial"/>
      <family val="2"/>
      <charset val="162"/>
    </font>
    <font>
      <b/>
      <sz val="10"/>
      <color rgb="FF1F1F1F"/>
      <name val="Arial"/>
      <family val="2"/>
      <charset val="162"/>
    </font>
    <font>
      <sz val="10"/>
      <color rgb="FF002060"/>
      <name val="Arial"/>
      <family val="2"/>
      <charset val="162"/>
    </font>
    <font>
      <sz val="8"/>
      <color rgb="FF002060"/>
      <name val="Arial"/>
      <family val="2"/>
      <charset val="162"/>
    </font>
    <font>
      <b/>
      <sz val="8"/>
      <color theme="0"/>
      <name val="Arial"/>
      <family val="2"/>
      <charset val="162"/>
    </font>
    <font>
      <sz val="8"/>
      <color theme="0"/>
      <name val="Arial"/>
      <family val="2"/>
      <charset val="162"/>
    </font>
    <font>
      <b/>
      <sz val="12"/>
      <color rgb="FF1F1F1F"/>
      <name val="Arial"/>
      <family val="2"/>
      <charset val="162"/>
    </font>
    <font>
      <sz val="12"/>
      <name val="Arial"/>
      <family val="2"/>
      <charset val="162"/>
    </font>
    <font>
      <b/>
      <sz val="8"/>
      <color rgb="FFFF0000"/>
      <name val="Arial"/>
      <family val="2"/>
      <charset val="162"/>
    </font>
    <font>
      <b/>
      <sz val="8"/>
      <color rgb="FF1F1F1F"/>
      <name val="Arial Narrow"/>
      <family val="2"/>
      <charset val="162"/>
    </font>
    <font>
      <sz val="8"/>
      <color rgb="FF1F1F1F"/>
      <name val="Arial Narrow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b/>
      <sz val="12"/>
      <color theme="0"/>
      <name val="Arial"/>
      <family val="2"/>
      <charset val="162"/>
    </font>
    <font>
      <b/>
      <sz val="9"/>
      <color rgb="FFFF0000"/>
      <name val="Arial"/>
      <family val="2"/>
      <charset val="162"/>
    </font>
    <font>
      <b/>
      <sz val="9"/>
      <color theme="1"/>
      <name val="Arial"/>
      <family val="2"/>
      <charset val="162"/>
    </font>
    <font>
      <b/>
      <sz val="9"/>
      <color rgb="FF0070C0"/>
      <name val="Arial"/>
      <family val="2"/>
      <charset val="162"/>
    </font>
    <font>
      <b/>
      <i/>
      <sz val="8"/>
      <color rgb="FF0070C0"/>
      <name val="Arial Narrow"/>
      <family val="2"/>
      <charset val="162"/>
    </font>
    <font>
      <b/>
      <sz val="8"/>
      <color rgb="FFFF0000"/>
      <name val="Arial Narrow"/>
      <family val="2"/>
      <charset val="162"/>
    </font>
    <font>
      <sz val="10"/>
      <color rgb="FF00B050"/>
      <name val="Arial"/>
      <family val="2"/>
      <charset val="162"/>
    </font>
    <font>
      <b/>
      <sz val="9"/>
      <color rgb="FFFFFF00"/>
      <name val="Arial"/>
      <family val="2"/>
      <charset val="162"/>
    </font>
    <font>
      <b/>
      <sz val="8"/>
      <name val="Arial Narrow"/>
      <family val="2"/>
      <charset val="16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6BA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rgb="FFFF0000"/>
        </stop>
      </gradientFill>
    </fill>
    <fill>
      <gradientFill type="path" left="0.5" right="0.5" top="0.5" bottom="0.5">
        <stop position="0">
          <color theme="0"/>
        </stop>
        <stop position="1">
          <color rgb="FF00B050"/>
        </stop>
      </gradientFill>
    </fill>
    <fill>
      <gradientFill type="path" left="0.5" right="0.5" top="0.5" bottom="0.5">
        <stop position="0">
          <color theme="0"/>
        </stop>
        <stop position="1">
          <color theme="1" tint="5.0965910824915313E-2"/>
        </stop>
      </gradient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</borders>
  <cellStyleXfs count="162">
    <xf numFmtId="0" fontId="0" fillId="0" borderId="0" applyNumberFormat="0" applyFon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8" fillId="0" borderId="0"/>
    <xf numFmtId="165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0" fontId="7" fillId="0" borderId="0"/>
    <xf numFmtId="0" fontId="13" fillId="0" borderId="0" applyNumberFormat="0" applyFont="0" applyFill="0" applyBorder="0" applyAlignment="0" applyProtection="0"/>
    <xf numFmtId="164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3" fillId="0" borderId="0" applyFont="0" applyFill="0" applyBorder="0" applyAlignment="0" applyProtection="0"/>
    <xf numFmtId="0" fontId="3" fillId="0" borderId="0"/>
    <xf numFmtId="0" fontId="20" fillId="0" borderId="0"/>
    <xf numFmtId="0" fontId="13" fillId="0" borderId="0"/>
    <xf numFmtId="0" fontId="21" fillId="0" borderId="0"/>
    <xf numFmtId="0" fontId="21" fillId="0" borderId="0"/>
    <xf numFmtId="0" fontId="17" fillId="0" borderId="0"/>
    <xf numFmtId="165" fontId="2" fillId="0" borderId="0" applyFont="0" applyFill="0" applyBorder="0" applyAlignment="0" applyProtection="0"/>
    <xf numFmtId="0" fontId="1" fillId="0" borderId="0"/>
    <xf numFmtId="0" fontId="20" fillId="0" borderId="0"/>
    <xf numFmtId="43" fontId="20" fillId="0" borderId="0" applyFont="0" applyFill="0" applyBorder="0" applyAlignment="0" applyProtection="0"/>
    <xf numFmtId="0" fontId="11" fillId="0" borderId="0">
      <alignment vertical="top"/>
    </xf>
    <xf numFmtId="0" fontId="14" fillId="0" borderId="0"/>
    <xf numFmtId="166" fontId="14" fillId="0" borderId="0"/>
    <xf numFmtId="0" fontId="10" fillId="0" borderId="0" applyNumberFormat="0" applyFill="0" applyBorder="0" applyAlignment="0" applyProtection="0"/>
  </cellStyleXfs>
  <cellXfs count="190">
    <xf numFmtId="0" fontId="0" fillId="0" borderId="0" xfId="0"/>
    <xf numFmtId="0" fontId="0" fillId="0" borderId="0" xfId="0" applyFill="1"/>
    <xf numFmtId="0" fontId="13" fillId="0" borderId="0" xfId="0" applyFont="1" applyFill="1" applyAlignment="1">
      <alignment vertical="center"/>
    </xf>
    <xf numFmtId="0" fontId="19" fillId="0" borderId="6" xfId="0" applyFont="1" applyFill="1" applyBorder="1" applyAlignment="1">
      <alignment vertical="center"/>
    </xf>
    <xf numFmtId="0" fontId="23" fillId="0" borderId="1" xfId="0" applyFont="1" applyFill="1" applyBorder="1" applyAlignment="1">
      <alignment horizontal="center"/>
    </xf>
    <xf numFmtId="0" fontId="24" fillId="0" borderId="0" xfId="0" applyFont="1" applyFill="1" applyBorder="1"/>
    <xf numFmtId="0" fontId="23" fillId="3" borderId="1" xfId="0" applyFont="1" applyFill="1" applyBorder="1" applyAlignment="1">
      <alignment horizontal="center"/>
    </xf>
    <xf numFmtId="0" fontId="13" fillId="0" borderId="0" xfId="0" applyFont="1" applyFill="1" applyBorder="1" applyAlignment="1">
      <alignment vertical="center"/>
    </xf>
    <xf numFmtId="0" fontId="19" fillId="0" borderId="6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28" fillId="0" borderId="1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vertical="center"/>
    </xf>
    <xf numFmtId="0" fontId="13" fillId="0" borderId="0" xfId="0" applyFont="1" applyFill="1"/>
    <xf numFmtId="0" fontId="29" fillId="0" borderId="10" xfId="0" applyFont="1" applyFill="1" applyBorder="1" applyAlignment="1">
      <alignment horizontal="center" vertical="center"/>
    </xf>
    <xf numFmtId="0" fontId="24" fillId="0" borderId="0" xfId="0" applyFont="1" applyFill="1"/>
    <xf numFmtId="0" fontId="0" fillId="0" borderId="0" xfId="0" applyFill="1" applyBorder="1"/>
    <xf numFmtId="0" fontId="29" fillId="0" borderId="12" xfId="0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3" fillId="0" borderId="0" xfId="0" applyFont="1" applyFill="1" applyBorder="1"/>
    <xf numFmtId="0" fontId="13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vertical="center"/>
    </xf>
    <xf numFmtId="0" fontId="26" fillId="0" borderId="0" xfId="0" applyFont="1" applyFill="1" applyBorder="1"/>
    <xf numFmtId="0" fontId="2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 wrapText="1" readingOrder="1"/>
    </xf>
    <xf numFmtId="0" fontId="30" fillId="0" borderId="0" xfId="0" applyFont="1" applyFill="1" applyBorder="1" applyAlignment="1">
      <alignment vertical="center" wrapText="1" readingOrder="1"/>
    </xf>
    <xf numFmtId="0" fontId="26" fillId="0" borderId="0" xfId="0" applyFont="1" applyFill="1" applyBorder="1" applyAlignment="1">
      <alignment vertical="center" wrapText="1" readingOrder="1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Border="1"/>
    <xf numFmtId="0" fontId="33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/>
    <xf numFmtId="0" fontId="35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  <xf numFmtId="14" fontId="0" fillId="0" borderId="0" xfId="0" applyNumberFormat="1" applyFill="1"/>
    <xf numFmtId="14" fontId="0" fillId="0" borderId="0" xfId="0" applyNumberFormat="1" applyFill="1" applyBorder="1" applyAlignment="1">
      <alignment vertical="center"/>
    </xf>
    <xf numFmtId="0" fontId="23" fillId="0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13" fillId="5" borderId="0" xfId="0" applyFont="1" applyFill="1"/>
    <xf numFmtId="0" fontId="13" fillId="5" borderId="0" xfId="0" applyFont="1" applyFill="1" applyBorder="1"/>
    <xf numFmtId="0" fontId="22" fillId="5" borderId="0" xfId="0" applyFont="1" applyFill="1" applyBorder="1"/>
    <xf numFmtId="0" fontId="24" fillId="5" borderId="0" xfId="0" applyFont="1" applyFill="1" applyBorder="1"/>
    <xf numFmtId="0" fontId="0" fillId="5" borderId="0" xfId="0" applyFill="1" applyBorder="1"/>
    <xf numFmtId="0" fontId="30" fillId="0" borderId="0" xfId="0" applyNumberFormat="1" applyFont="1" applyFill="1" applyBorder="1"/>
    <xf numFmtId="0" fontId="30" fillId="0" borderId="0" xfId="0" applyNumberFormat="1" applyFont="1" applyFill="1" applyBorder="1" applyAlignment="1">
      <alignment vertical="center" wrapText="1" readingOrder="1"/>
    </xf>
    <xf numFmtId="0" fontId="30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5" fontId="0" fillId="0" borderId="0" xfId="0" applyNumberFormat="1"/>
    <xf numFmtId="0" fontId="0" fillId="0" borderId="0" xfId="0" applyFill="1" applyAlignment="1">
      <alignment horizontal="center"/>
    </xf>
    <xf numFmtId="0" fontId="38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8" fillId="4" borderId="0" xfId="0" applyFont="1" applyFill="1"/>
    <xf numFmtId="0" fontId="40" fillId="0" borderId="15" xfId="0" applyFont="1" applyFill="1" applyBorder="1" applyAlignment="1">
      <alignment horizontal="center" vertical="center" wrapText="1" readingOrder="1"/>
    </xf>
    <xf numFmtId="0" fontId="40" fillId="0" borderId="15" xfId="0" applyFont="1" applyFill="1" applyBorder="1" applyAlignment="1">
      <alignment horizontal="center" vertical="center" readingOrder="1"/>
    </xf>
    <xf numFmtId="0" fontId="41" fillId="0" borderId="15" xfId="0" applyFont="1" applyFill="1" applyBorder="1" applyAlignment="1">
      <alignment horizontal="center" vertical="center" readingOrder="1"/>
    </xf>
    <xf numFmtId="0" fontId="41" fillId="0" borderId="15" xfId="0" applyNumberFormat="1" applyFont="1" applyFill="1" applyBorder="1" applyAlignment="1">
      <alignment horizontal="center" vertical="center" readingOrder="1"/>
    </xf>
    <xf numFmtId="0" fontId="32" fillId="0" borderId="15" xfId="0" applyFont="1" applyFill="1" applyBorder="1" applyAlignment="1">
      <alignment horizontal="center" vertical="center" wrapText="1" readingOrder="1"/>
    </xf>
    <xf numFmtId="0" fontId="16" fillId="0" borderId="15" xfId="0" applyFont="1" applyFill="1" applyBorder="1" applyAlignment="1">
      <alignment horizontal="center" vertical="center" wrapText="1" readingOrder="1"/>
    </xf>
    <xf numFmtId="0" fontId="27" fillId="0" borderId="15" xfId="0" applyFont="1" applyFill="1" applyBorder="1" applyAlignment="1">
      <alignment horizontal="center" vertical="center" wrapText="1" readingOrder="1"/>
    </xf>
    <xf numFmtId="0" fontId="37" fillId="0" borderId="15" xfId="0" applyFont="1" applyFill="1" applyBorder="1" applyAlignment="1">
      <alignment horizontal="center" vertical="center" wrapText="1" readingOrder="1"/>
    </xf>
    <xf numFmtId="0" fontId="18" fillId="0" borderId="0" xfId="0" applyFont="1" applyFill="1"/>
    <xf numFmtId="0" fontId="13" fillId="0" borderId="15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7" fillId="7" borderId="15" xfId="0" applyFont="1" applyFill="1" applyBorder="1" applyAlignment="1">
      <alignment horizontal="center" vertical="center" wrapText="1" readingOrder="1"/>
    </xf>
    <xf numFmtId="0" fontId="16" fillId="7" borderId="15" xfId="0" applyFont="1" applyFill="1" applyBorder="1" applyAlignment="1">
      <alignment horizontal="center" vertical="center" wrapText="1" readingOrder="1"/>
    </xf>
    <xf numFmtId="0" fontId="13" fillId="7" borderId="15" xfId="0" applyFont="1" applyFill="1" applyBorder="1" applyAlignment="1">
      <alignment horizontal="center" vertical="center"/>
    </xf>
    <xf numFmtId="14" fontId="26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/>
    </xf>
    <xf numFmtId="15" fontId="31" fillId="7" borderId="15" xfId="0" applyNumberFormat="1" applyFont="1" applyFill="1" applyBorder="1" applyAlignment="1">
      <alignment horizontal="center" vertical="center" wrapText="1" readingOrder="1"/>
    </xf>
    <xf numFmtId="0" fontId="32" fillId="7" borderId="15" xfId="0" applyFont="1" applyFill="1" applyBorder="1" applyAlignment="1">
      <alignment horizontal="center" vertical="center" wrapText="1" readingOrder="1"/>
    </xf>
    <xf numFmtId="0" fontId="18" fillId="5" borderId="0" xfId="0" applyFont="1" applyFill="1"/>
    <xf numFmtId="0" fontId="23" fillId="5" borderId="1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 vertical="center"/>
    </xf>
    <xf numFmtId="15" fontId="30" fillId="0" borderId="0" xfId="0" applyNumberFormat="1" applyFont="1" applyFill="1" applyAlignment="1">
      <alignment horizontal="center" vertical="center"/>
    </xf>
    <xf numFmtId="16" fontId="23" fillId="0" borderId="0" xfId="0" applyNumberFormat="1" applyFont="1" applyFill="1" applyBorder="1" applyAlignment="1">
      <alignment vertical="center"/>
    </xf>
    <xf numFmtId="0" fontId="13" fillId="0" borderId="3" xfId="0" applyFont="1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39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30" fillId="0" borderId="5" xfId="0" applyFont="1" applyFill="1" applyBorder="1" applyAlignment="1">
      <alignment horizontal="left"/>
    </xf>
    <xf numFmtId="14" fontId="26" fillId="0" borderId="4" xfId="0" applyNumberFormat="1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23" fillId="0" borderId="0" xfId="0" applyFont="1" applyFill="1" applyBorder="1" applyAlignment="1">
      <alignment vertical="center" readingOrder="1"/>
    </xf>
    <xf numFmtId="0" fontId="23" fillId="9" borderId="1" xfId="0" applyFont="1" applyFill="1" applyBorder="1" applyAlignment="1">
      <alignment horizontal="center"/>
    </xf>
    <xf numFmtId="15" fontId="30" fillId="0" borderId="0" xfId="0" applyNumberFormat="1" applyFont="1" applyFill="1" applyAlignment="1">
      <alignment horizontal="center"/>
    </xf>
    <xf numFmtId="14" fontId="26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48" fillId="0" borderId="7" xfId="0" applyFont="1" applyFill="1" applyBorder="1" applyAlignment="1">
      <alignment horizontal="center" vertical="center"/>
    </xf>
    <xf numFmtId="0" fontId="48" fillId="5" borderId="0" xfId="0" applyFont="1" applyFill="1" applyAlignment="1">
      <alignment horizontal="center" vertical="center"/>
    </xf>
    <xf numFmtId="0" fontId="48" fillId="0" borderId="7" xfId="0" applyFont="1" applyFill="1" applyBorder="1" applyAlignment="1">
      <alignment horizontal="center"/>
    </xf>
    <xf numFmtId="14" fontId="48" fillId="0" borderId="7" xfId="0" applyNumberFormat="1" applyFont="1" applyFill="1" applyBorder="1" applyAlignment="1">
      <alignment horizontal="center" vertical="center"/>
    </xf>
    <xf numFmtId="0" fontId="48" fillId="0" borderId="11" xfId="0" applyFont="1" applyFill="1" applyBorder="1" applyAlignment="1">
      <alignment horizontal="center" vertical="center"/>
    </xf>
    <xf numFmtId="0" fontId="48" fillId="0" borderId="11" xfId="0" applyFont="1" applyFill="1" applyBorder="1" applyAlignment="1">
      <alignment horizontal="center"/>
    </xf>
    <xf numFmtId="14" fontId="48" fillId="0" borderId="11" xfId="0" applyNumberFormat="1" applyFont="1" applyFill="1" applyBorder="1" applyAlignment="1">
      <alignment horizontal="center" vertical="center"/>
    </xf>
    <xf numFmtId="0" fontId="49" fillId="0" borderId="5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/>
    </xf>
    <xf numFmtId="0" fontId="48" fillId="5" borderId="0" xfId="0" applyFont="1" applyFill="1" applyAlignment="1">
      <alignment horizontal="center"/>
    </xf>
    <xf numFmtId="0" fontId="24" fillId="5" borderId="0" xfId="0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15" fontId="0" fillId="0" borderId="0" xfId="0" applyNumberFormat="1" applyFill="1" applyAlignment="1">
      <alignment horizontal="center"/>
    </xf>
    <xf numFmtId="0" fontId="27" fillId="0" borderId="3" xfId="0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center" vertical="center"/>
    </xf>
    <xf numFmtId="0" fontId="27" fillId="0" borderId="7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27" fillId="0" borderId="2" xfId="0" applyFont="1" applyFill="1" applyBorder="1" applyAlignment="1">
      <alignment horizontal="center" vertical="center"/>
    </xf>
    <xf numFmtId="0" fontId="51" fillId="3" borderId="1" xfId="0" applyFont="1" applyFill="1" applyBorder="1" applyAlignment="1">
      <alignment horizontal="center"/>
    </xf>
    <xf numFmtId="0" fontId="51" fillId="3" borderId="1" xfId="0" applyFont="1" applyFill="1" applyBorder="1" applyAlignment="1">
      <alignment horizontal="center" vertical="center"/>
    </xf>
    <xf numFmtId="0" fontId="52" fillId="0" borderId="15" xfId="0" applyFont="1" applyFill="1" applyBorder="1" applyAlignment="1">
      <alignment horizontal="center" vertical="center" wrapText="1" readingOrder="1"/>
    </xf>
    <xf numFmtId="0" fontId="27" fillId="0" borderId="8" xfId="0" applyFont="1" applyFill="1" applyBorder="1" applyAlignment="1">
      <alignment horizontal="center" vertical="center"/>
    </xf>
    <xf numFmtId="0" fontId="27" fillId="10" borderId="5" xfId="0" applyFont="1" applyFill="1" applyBorder="1" applyAlignment="1">
      <alignment horizontal="center" vertical="center"/>
    </xf>
    <xf numFmtId="0" fontId="50" fillId="0" borderId="0" xfId="0" applyFont="1" applyFill="1" applyAlignment="1">
      <alignment horizontal="center"/>
    </xf>
    <xf numFmtId="0" fontId="47" fillId="3" borderId="1" xfId="0" applyFont="1" applyFill="1" applyBorder="1" applyAlignment="1">
      <alignment horizontal="center"/>
    </xf>
    <xf numFmtId="14" fontId="23" fillId="0" borderId="0" xfId="0" applyNumberFormat="1" applyFont="1" applyFill="1" applyBorder="1" applyAlignment="1">
      <alignment vertical="center" wrapText="1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5" fontId="24" fillId="0" borderId="0" xfId="0" applyNumberFormat="1" applyFont="1" applyFill="1" applyAlignment="1">
      <alignment horizontal="center"/>
    </xf>
    <xf numFmtId="0" fontId="22" fillId="0" borderId="3" xfId="0" applyFont="1" applyFill="1" applyBorder="1" applyAlignment="1">
      <alignment horizontal="center"/>
    </xf>
    <xf numFmtId="0" fontId="22" fillId="0" borderId="5" xfId="0" applyFont="1" applyFill="1" applyBorder="1" applyAlignment="1">
      <alignment horizontal="center"/>
    </xf>
    <xf numFmtId="0" fontId="22" fillId="0" borderId="4" xfId="0" applyFont="1" applyFill="1" applyBorder="1" applyAlignment="1">
      <alignment horizontal="center"/>
    </xf>
    <xf numFmtId="0" fontId="22" fillId="0" borderId="3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26" fillId="0" borderId="0" xfId="0" applyFont="1" applyFill="1"/>
    <xf numFmtId="0" fontId="26" fillId="0" borderId="5" xfId="0" applyFont="1" applyFill="1" applyBorder="1" applyAlignment="1">
      <alignment horizontal="center"/>
    </xf>
    <xf numFmtId="0" fontId="24" fillId="0" borderId="5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/>
    </xf>
    <xf numFmtId="0" fontId="45" fillId="3" borderId="1" xfId="0" applyFont="1" applyFill="1" applyBorder="1" applyAlignment="1">
      <alignment horizontal="center" vertical="center"/>
    </xf>
    <xf numFmtId="0" fontId="44" fillId="10" borderId="5" xfId="0" applyFont="1" applyFill="1" applyBorder="1" applyAlignment="1">
      <alignment horizontal="center" vertical="center"/>
    </xf>
    <xf numFmtId="14" fontId="30" fillId="0" borderId="0" xfId="0" applyNumberFormat="1" applyFont="1" applyFill="1" applyBorder="1" applyAlignment="1">
      <alignment vertical="center"/>
    </xf>
    <xf numFmtId="0" fontId="30" fillId="0" borderId="0" xfId="0" applyFont="1" applyFill="1" applyBorder="1" applyAlignment="1">
      <alignment vertical="center" wrapText="1"/>
    </xf>
    <xf numFmtId="14" fontId="23" fillId="0" borderId="0" xfId="0" applyNumberFormat="1" applyFont="1" applyFill="1" applyBorder="1" applyAlignment="1">
      <alignment vertical="center"/>
    </xf>
    <xf numFmtId="0" fontId="46" fillId="0" borderId="1" xfId="0" applyFont="1" applyFill="1" applyBorder="1" applyAlignment="1">
      <alignment horizontal="center"/>
    </xf>
    <xf numFmtId="0" fontId="0" fillId="8" borderId="0" xfId="0" applyFill="1"/>
    <xf numFmtId="0" fontId="13" fillId="8" borderId="0" xfId="0" applyFont="1" applyFill="1"/>
    <xf numFmtId="0" fontId="13" fillId="8" borderId="0" xfId="0" applyFont="1" applyFill="1" applyBorder="1"/>
    <xf numFmtId="0" fontId="22" fillId="8" borderId="0" xfId="0" applyFont="1" applyFill="1" applyBorder="1"/>
    <xf numFmtId="0" fontId="24" fillId="8" borderId="0" xfId="0" applyFont="1" applyFill="1" applyBorder="1"/>
    <xf numFmtId="0" fontId="0" fillId="8" borderId="0" xfId="0" applyFill="1" applyBorder="1"/>
    <xf numFmtId="0" fontId="23" fillId="2" borderId="1" xfId="0" applyFont="1" applyFill="1" applyBorder="1" applyAlignment="1">
      <alignment horizontal="center" vertical="center"/>
    </xf>
    <xf numFmtId="14" fontId="23" fillId="5" borderId="0" xfId="0" applyNumberFormat="1" applyFont="1" applyFill="1" applyBorder="1" applyAlignment="1">
      <alignment vertical="center"/>
    </xf>
    <xf numFmtId="0" fontId="23" fillId="0" borderId="10" xfId="0" applyFont="1" applyFill="1" applyBorder="1" applyAlignment="1">
      <alignment horizontal="center" vertical="center"/>
    </xf>
    <xf numFmtId="0" fontId="30" fillId="0" borderId="10" xfId="0" applyFont="1" applyFill="1" applyBorder="1" applyAlignment="1">
      <alignment horizontal="center" vertical="center"/>
    </xf>
    <xf numFmtId="0" fontId="23" fillId="0" borderId="12" xfId="0" applyFont="1" applyFill="1" applyBorder="1" applyAlignment="1">
      <alignment horizontal="center" vertical="center"/>
    </xf>
    <xf numFmtId="14" fontId="0" fillId="0" borderId="13" xfId="0" applyNumberFormat="1" applyFill="1" applyBorder="1" applyAlignment="1">
      <alignment horizontal="center" vertical="center"/>
    </xf>
    <xf numFmtId="14" fontId="13" fillId="0" borderId="13" xfId="0" applyNumberFormat="1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/>
    </xf>
    <xf numFmtId="0" fontId="23" fillId="12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0" fontId="25" fillId="13" borderId="1" xfId="0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45" fillId="0" borderId="10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14" fontId="24" fillId="0" borderId="0" xfId="0" applyNumberFormat="1" applyFont="1" applyFill="1"/>
    <xf numFmtId="14" fontId="24" fillId="0" borderId="0" xfId="0" applyNumberFormat="1" applyFont="1" applyFill="1" applyBorder="1" applyAlignment="1">
      <alignment vertical="center"/>
    </xf>
    <xf numFmtId="14" fontId="24" fillId="0" borderId="13" xfId="0" applyNumberFormat="1" applyFont="1" applyFill="1" applyBorder="1" applyAlignment="1">
      <alignment horizontal="center" vertical="center"/>
    </xf>
    <xf numFmtId="14" fontId="23" fillId="0" borderId="3" xfId="0" applyNumberFormat="1" applyFont="1" applyFill="1" applyBorder="1" applyAlignment="1">
      <alignment horizontal="center" vertical="center"/>
    </xf>
    <xf numFmtId="14" fontId="23" fillId="0" borderId="5" xfId="0" applyNumberFormat="1" applyFont="1" applyFill="1" applyBorder="1" applyAlignment="1">
      <alignment horizontal="center" vertical="center"/>
    </xf>
    <xf numFmtId="14" fontId="23" fillId="0" borderId="4" xfId="0" applyNumberFormat="1" applyFont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13" fillId="0" borderId="9" xfId="1" applyFont="1" applyFill="1" applyBorder="1" applyAlignment="1">
      <alignment horizontal="center" vertical="center"/>
    </xf>
    <xf numFmtId="0" fontId="13" fillId="0" borderId="11" xfId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14" fontId="24" fillId="0" borderId="0" xfId="0" applyNumberFormat="1" applyFont="1" applyFill="1" applyAlignment="1">
      <alignment horizontal="center" vertical="center"/>
    </xf>
    <xf numFmtId="14" fontId="24" fillId="0" borderId="13" xfId="0" applyNumberFormat="1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4" fontId="13" fillId="0" borderId="0" xfId="0" applyNumberFormat="1" applyFont="1" applyFill="1" applyAlignment="1">
      <alignment horizontal="center" vertical="center"/>
    </xf>
    <xf numFmtId="14" fontId="0" fillId="0" borderId="13" xfId="0" applyNumberFormat="1" applyFill="1" applyBorder="1" applyAlignment="1">
      <alignment horizontal="center" vertical="center"/>
    </xf>
    <xf numFmtId="14" fontId="13" fillId="0" borderId="13" xfId="0" applyNumberFormat="1" applyFont="1" applyFill="1" applyBorder="1" applyAlignment="1">
      <alignment horizontal="center" vertical="center"/>
    </xf>
  </cellXfs>
  <cellStyles count="162">
    <cellStyle name="Comma 2" xfId="154"/>
    <cellStyle name="Comma 3" xfId="124"/>
    <cellStyle name="Comma 4" xfId="128"/>
    <cellStyle name="Excel Built-in Normal" xfId="151"/>
    <cellStyle name="Excel Built-in Normal 2" xfId="160"/>
    <cellStyle name="Köprü 2" xfId="161"/>
    <cellStyle name="Normal" xfId="0" builtinId="0"/>
    <cellStyle name="Normal 10" xfId="21"/>
    <cellStyle name="Normal 100" xfId="123"/>
    <cellStyle name="Normal 100 2" xfId="134"/>
    <cellStyle name="Normal 100 2 2" xfId="143"/>
    <cellStyle name="Normal 100 3" xfId="136"/>
    <cellStyle name="Normal 100 3 2" xfId="148"/>
    <cellStyle name="Normal 100 3 3" xfId="145"/>
    <cellStyle name="Normal 100 4" xfId="140"/>
    <cellStyle name="Normal 101" xfId="104"/>
    <cellStyle name="Normal 102" xfId="105"/>
    <cellStyle name="Normal 103" xfId="106"/>
    <cellStyle name="Normal 104" xfId="107"/>
    <cellStyle name="Normal 105" xfId="108"/>
    <cellStyle name="Normal 106" xfId="109"/>
    <cellStyle name="Normal 107" xfId="110"/>
    <cellStyle name="Normal 108" xfId="111"/>
    <cellStyle name="Normal 109" xfId="112"/>
    <cellStyle name="Normal 11" xfId="14"/>
    <cellStyle name="Normal 110" xfId="113"/>
    <cellStyle name="Normal 111" xfId="114"/>
    <cellStyle name="Normal 112" xfId="115"/>
    <cellStyle name="Normal 113" xfId="116"/>
    <cellStyle name="Normal 114" xfId="117"/>
    <cellStyle name="Normal 115" xfId="118"/>
    <cellStyle name="Normal 116" xfId="119"/>
    <cellStyle name="Normal 117" xfId="120"/>
    <cellStyle name="Normal 118" xfId="121"/>
    <cellStyle name="Normal 119" xfId="130"/>
    <cellStyle name="Normal 119 2" xfId="135"/>
    <cellStyle name="Normal 119 2 2" xfId="144"/>
    <cellStyle name="Normal 119 3" xfId="141"/>
    <cellStyle name="Normal 12" xfId="5"/>
    <cellStyle name="Normal 120" xfId="131"/>
    <cellStyle name="Normal 121" xfId="149"/>
    <cellStyle name="Normal 122" xfId="155"/>
    <cellStyle name="Normal 13" xfId="6"/>
    <cellStyle name="Normal 14" xfId="7"/>
    <cellStyle name="Normal 15" xfId="8"/>
    <cellStyle name="Normal 16" xfId="22"/>
    <cellStyle name="Normal 17" xfId="9"/>
    <cellStyle name="Normal 18" xfId="10"/>
    <cellStyle name="Normal 19" xfId="11"/>
    <cellStyle name="Normal 2" xfId="4"/>
    <cellStyle name="Normal 2 2" xfId="156"/>
    <cellStyle name="Normal 2 2 2" xfId="159"/>
    <cellStyle name="Normal 2 3" xfId="137"/>
    <cellStyle name="Normal 2 3 2" xfId="146"/>
    <cellStyle name="Normal 2 4" xfId="138"/>
    <cellStyle name="Normal 2 5" xfId="153"/>
    <cellStyle name="Normal 2 6" xfId="158"/>
    <cellStyle name="Normal 20" xfId="12"/>
    <cellStyle name="Normal 21" xfId="23"/>
    <cellStyle name="Normal 22" xfId="24"/>
    <cellStyle name="Normal 23" xfId="27"/>
    <cellStyle name="Normal 24" xfId="28"/>
    <cellStyle name="Normal 25" xfId="29"/>
    <cellStyle name="Normal 26" xfId="30"/>
    <cellStyle name="Normal 27" xfId="33"/>
    <cellStyle name="Normal 28" xfId="34"/>
    <cellStyle name="Normal 29" xfId="31"/>
    <cellStyle name="Normal 3" xfId="13"/>
    <cellStyle name="Normal 30" xfId="32"/>
    <cellStyle name="Normal 31" xfId="40"/>
    <cellStyle name="Normal 32" xfId="36"/>
    <cellStyle name="Normal 33" xfId="37"/>
    <cellStyle name="Normal 34" xfId="35"/>
    <cellStyle name="Normal 35" xfId="38"/>
    <cellStyle name="Normal 36" xfId="42"/>
    <cellStyle name="Normal 37" xfId="43"/>
    <cellStyle name="Normal 38" xfId="48"/>
    <cellStyle name="Normal 39" xfId="44"/>
    <cellStyle name="Normal 4" xfId="15"/>
    <cellStyle name="Normal 4 2" xfId="129"/>
    <cellStyle name="Normal 40" xfId="45"/>
    <cellStyle name="Normal 41" xfId="46"/>
    <cellStyle name="Normal 42" xfId="47"/>
    <cellStyle name="Normal 43" xfId="39"/>
    <cellStyle name="Normal 44" xfId="41"/>
    <cellStyle name="Normal 45" xfId="53"/>
    <cellStyle name="Normal 46" xfId="52"/>
    <cellStyle name="Normal 47" xfId="50"/>
    <cellStyle name="Normal 48" xfId="49"/>
    <cellStyle name="Normal 49" xfId="51"/>
    <cellStyle name="Normal 5" xfId="17"/>
    <cellStyle name="Normal 50" xfId="54"/>
    <cellStyle name="Normal 51" xfId="55"/>
    <cellStyle name="Normal 52" xfId="56"/>
    <cellStyle name="Normal 53" xfId="57"/>
    <cellStyle name="Normal 54" xfId="58"/>
    <cellStyle name="Normal 55" xfId="59"/>
    <cellStyle name="Normal 56" xfId="60"/>
    <cellStyle name="Normal 57" xfId="61"/>
    <cellStyle name="Normal 58" xfId="62"/>
    <cellStyle name="Normal 59" xfId="63"/>
    <cellStyle name="Normal 6" xfId="25"/>
    <cellStyle name="Normal 6 2" xfId="133"/>
    <cellStyle name="Normal 6 2 2" xfId="142"/>
    <cellStyle name="Normal 6 3" xfId="139"/>
    <cellStyle name="Normal 6 4" xfId="150"/>
    <cellStyle name="Normal 60" xfId="64"/>
    <cellStyle name="Normal 61" xfId="65"/>
    <cellStyle name="Normal 62" xfId="66"/>
    <cellStyle name="Normal 63" xfId="67"/>
    <cellStyle name="Normal 64" xfId="68"/>
    <cellStyle name="Normal 65" xfId="69"/>
    <cellStyle name="Normal 66" xfId="70"/>
    <cellStyle name="Normal 67" xfId="71"/>
    <cellStyle name="Normal 68" xfId="72"/>
    <cellStyle name="Normal 69" xfId="73"/>
    <cellStyle name="Normal 7" xfId="18"/>
    <cellStyle name="Normal 70" xfId="74"/>
    <cellStyle name="Normal 71" xfId="75"/>
    <cellStyle name="Normal 72" xfId="76"/>
    <cellStyle name="Normal 73" xfId="77"/>
    <cellStyle name="Normal 74" xfId="78"/>
    <cellStyle name="Normal 75" xfId="79"/>
    <cellStyle name="Normal 76" xfId="80"/>
    <cellStyle name="Normal 77" xfId="81"/>
    <cellStyle name="Normal 78" xfId="82"/>
    <cellStyle name="Normal 79" xfId="83"/>
    <cellStyle name="Normal 8" xfId="19"/>
    <cellStyle name="Normal 80" xfId="84"/>
    <cellStyle name="Normal 81" xfId="85"/>
    <cellStyle name="Normal 82" xfId="86"/>
    <cellStyle name="Normal 83" xfId="87"/>
    <cellStyle name="Normal 84" xfId="88"/>
    <cellStyle name="Normal 85" xfId="89"/>
    <cellStyle name="Normal 86" xfId="90"/>
    <cellStyle name="Normal 87" xfId="91"/>
    <cellStyle name="Normal 88" xfId="92"/>
    <cellStyle name="Normal 89" xfId="93"/>
    <cellStyle name="Normal 9" xfId="20"/>
    <cellStyle name="Normal 9 2" xfId="152"/>
    <cellStyle name="Normal 90" xfId="94"/>
    <cellStyle name="Normal 91" xfId="95"/>
    <cellStyle name="Normal 92" xfId="96"/>
    <cellStyle name="Normal 93" xfId="97"/>
    <cellStyle name="Normal 94" xfId="98"/>
    <cellStyle name="Normal 95" xfId="99"/>
    <cellStyle name="Normal 96" xfId="100"/>
    <cellStyle name="Normal 97" xfId="101"/>
    <cellStyle name="Normal 98" xfId="102"/>
    <cellStyle name="Normal 99" xfId="103"/>
    <cellStyle name="Normal_15-11-07 Nurpak" xfId="1"/>
    <cellStyle name="Percent 2" xfId="125"/>
    <cellStyle name="Percent 3" xfId="127"/>
    <cellStyle name="Percent 4" xfId="126"/>
    <cellStyle name="Standard_RankingH" xfId="26"/>
    <cellStyle name="Stil 1" xfId="2"/>
    <cellStyle name="Style 1" xfId="3"/>
    <cellStyle name="Virgül 2" xfId="132"/>
    <cellStyle name="Virgül 2 2" xfId="157"/>
    <cellStyle name="Yüzde 2" xfId="147"/>
    <cellStyle name="常规_New offer ref v5 20110720" xfId="16"/>
    <cellStyle name="样式 1" xfId="122"/>
  </cellStyles>
  <dxfs count="0"/>
  <tableStyles count="0" defaultTableStyle="TableStyleMedium9" defaultPivotStyle="PivotStyleLight16"/>
  <colors>
    <mruColors>
      <color rgb="FFE6BA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8"/>
  <sheetViews>
    <sheetView tabSelected="1" zoomScaleNormal="100" workbookViewId="0">
      <pane ySplit="1" topLeftCell="A2" activePane="bottomLeft" state="frozen"/>
      <selection pane="bottomLeft" activeCell="T15" sqref="T15"/>
    </sheetView>
  </sheetViews>
  <sheetFormatPr defaultRowHeight="13.2" x14ac:dyDescent="0.25"/>
  <cols>
    <col min="1" max="1" width="4" style="2" customWidth="1"/>
    <col min="2" max="2" width="4" style="2" bestFit="1" customWidth="1"/>
    <col min="3" max="8" width="4.6640625" style="9" customWidth="1"/>
    <col min="9" max="9" width="1.44140625" style="1" customWidth="1"/>
    <col min="10" max="10" width="4.6640625" style="9" customWidth="1"/>
    <col min="11" max="11" width="1.44140625" style="1" customWidth="1"/>
    <col min="12" max="12" width="9" style="171" customWidth="1"/>
    <col min="13" max="13" width="1.44140625" style="1" customWidth="1"/>
    <col min="14" max="16384" width="8.88671875" style="1"/>
  </cols>
  <sheetData>
    <row r="1" spans="1:13" s="13" customFormat="1" ht="14.4" thickTop="1" thickBot="1" x14ac:dyDescent="0.3">
      <c r="A1" s="3"/>
      <c r="B1" s="3"/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1"/>
      <c r="J1" s="8" t="s">
        <v>83</v>
      </c>
      <c r="K1" s="1"/>
      <c r="L1" s="171"/>
      <c r="M1" s="1"/>
    </row>
    <row r="2" spans="1:13" s="13" customFormat="1" ht="13.2" customHeight="1" thickTop="1" x14ac:dyDescent="0.25">
      <c r="A2" s="177">
        <v>134</v>
      </c>
      <c r="B2" s="180">
        <v>1</v>
      </c>
      <c r="C2" s="14">
        <f>A2-A5-1</f>
        <v>0</v>
      </c>
      <c r="D2" s="14">
        <f>A2-A14-1</f>
        <v>3</v>
      </c>
      <c r="E2" s="14">
        <f>A2-A8-1</f>
        <v>1</v>
      </c>
      <c r="F2" s="14">
        <f>A2-A5-1</f>
        <v>0</v>
      </c>
      <c r="G2" s="14">
        <f>A2-A20-1</f>
        <v>5</v>
      </c>
      <c r="H2" s="14">
        <f>A2-A50-1</f>
        <v>15</v>
      </c>
      <c r="I2" s="20"/>
      <c r="J2" s="14">
        <f>A2-A119-1</f>
        <v>38</v>
      </c>
      <c r="K2" s="20"/>
      <c r="L2" s="181">
        <v>46197</v>
      </c>
      <c r="M2" s="20"/>
    </row>
    <row r="3" spans="1:13" s="13" customFormat="1" ht="13.2" customHeight="1" x14ac:dyDescent="0.25">
      <c r="A3" s="178"/>
      <c r="B3" s="180"/>
      <c r="C3" s="115">
        <v>12</v>
      </c>
      <c r="D3" s="115">
        <v>22</v>
      </c>
      <c r="E3" s="115">
        <v>28</v>
      </c>
      <c r="F3" s="115">
        <v>37</v>
      </c>
      <c r="G3" s="115">
        <v>88</v>
      </c>
      <c r="H3" s="115">
        <v>89</v>
      </c>
      <c r="I3" s="20"/>
      <c r="J3" s="118">
        <v>86</v>
      </c>
      <c r="K3" s="20"/>
      <c r="L3" s="181"/>
      <c r="M3" s="20"/>
    </row>
    <row r="4" spans="1:13" s="13" customFormat="1" ht="13.2" customHeight="1" x14ac:dyDescent="0.25">
      <c r="A4" s="179"/>
      <c r="B4" s="180"/>
      <c r="C4" s="10">
        <f>C34+1</f>
        <v>11</v>
      </c>
      <c r="D4" s="10">
        <f>H64+1</f>
        <v>9</v>
      </c>
      <c r="E4" s="10">
        <f>F115+1</f>
        <v>8</v>
      </c>
      <c r="F4" s="10">
        <f>H55+1</f>
        <v>12</v>
      </c>
      <c r="G4" s="10">
        <f>G13+1</f>
        <v>18</v>
      </c>
      <c r="H4" s="10">
        <f>G40+1</f>
        <v>15</v>
      </c>
      <c r="I4" s="20"/>
      <c r="J4" s="169">
        <f>D37+1</f>
        <v>12</v>
      </c>
      <c r="K4" s="20"/>
      <c r="L4" s="181"/>
      <c r="M4" s="20"/>
    </row>
    <row r="5" spans="1:13" s="13" customFormat="1" ht="13.2" customHeight="1" x14ac:dyDescent="0.25">
      <c r="A5" s="177">
        <v>133</v>
      </c>
      <c r="B5" s="180">
        <v>2</v>
      </c>
      <c r="C5" s="14">
        <f>A5-A74-1</f>
        <v>22</v>
      </c>
      <c r="D5" s="14">
        <f>A5-A71-1</f>
        <v>21</v>
      </c>
      <c r="E5" s="14">
        <f>A5-A41-1</f>
        <v>11</v>
      </c>
      <c r="F5" s="14">
        <f>A5-A29-1</f>
        <v>7</v>
      </c>
      <c r="G5" s="14">
        <f>A5-A74-1</f>
        <v>22</v>
      </c>
      <c r="H5" s="14">
        <f>A5-A59-1</f>
        <v>17</v>
      </c>
      <c r="I5" s="20"/>
      <c r="J5" s="14">
        <f>A5-A8-1</f>
        <v>0</v>
      </c>
      <c r="K5" s="20"/>
      <c r="L5" s="181">
        <v>46197</v>
      </c>
      <c r="M5" s="20"/>
    </row>
    <row r="6" spans="1:13" s="13" customFormat="1" ht="13.2" customHeight="1" x14ac:dyDescent="0.25">
      <c r="A6" s="178"/>
      <c r="B6" s="180"/>
      <c r="C6" s="115">
        <v>3</v>
      </c>
      <c r="D6" s="115">
        <v>12</v>
      </c>
      <c r="E6" s="115">
        <v>37</v>
      </c>
      <c r="F6" s="115">
        <v>62</v>
      </c>
      <c r="G6" s="115">
        <v>64</v>
      </c>
      <c r="H6" s="115">
        <v>70</v>
      </c>
      <c r="I6" s="20"/>
      <c r="J6" s="118">
        <v>61</v>
      </c>
      <c r="K6" s="20"/>
      <c r="L6" s="181"/>
      <c r="M6" s="20"/>
    </row>
    <row r="7" spans="1:13" s="13" customFormat="1" ht="13.2" customHeight="1" x14ac:dyDescent="0.25">
      <c r="A7" s="179"/>
      <c r="B7" s="180"/>
      <c r="C7" s="10">
        <f>C37+1</f>
        <v>9</v>
      </c>
      <c r="D7" s="10">
        <f>H67+1</f>
        <v>7</v>
      </c>
      <c r="E7" s="10">
        <f>F118+1</f>
        <v>7</v>
      </c>
      <c r="F7" s="10">
        <f>H58+1</f>
        <v>10</v>
      </c>
      <c r="G7" s="10">
        <f>G16+1</f>
        <v>20</v>
      </c>
      <c r="H7" s="10">
        <f>G43+1</f>
        <v>17</v>
      </c>
      <c r="I7" s="20"/>
      <c r="J7" s="169">
        <f>D40+1</f>
        <v>8</v>
      </c>
      <c r="K7" s="20"/>
      <c r="L7" s="181"/>
      <c r="M7" s="20"/>
    </row>
    <row r="8" spans="1:13" s="13" customFormat="1" ht="13.2" customHeight="1" x14ac:dyDescent="0.25">
      <c r="A8" s="177">
        <v>132</v>
      </c>
      <c r="B8" s="180">
        <v>3</v>
      </c>
      <c r="C8" s="14">
        <f>A8-A20-1</f>
        <v>3</v>
      </c>
      <c r="D8" s="14">
        <f>A8-A32-1</f>
        <v>7</v>
      </c>
      <c r="E8" s="14">
        <f>A8-A26-1</f>
        <v>5</v>
      </c>
      <c r="F8" s="14">
        <f>A8-A14-1</f>
        <v>1</v>
      </c>
      <c r="G8" s="14">
        <f>A8-A29-1</f>
        <v>6</v>
      </c>
      <c r="H8" s="14">
        <f>A8-A32-1</f>
        <v>7</v>
      </c>
      <c r="I8" s="20"/>
      <c r="J8" s="14">
        <f>A8-A65-1</f>
        <v>18</v>
      </c>
      <c r="K8" s="20"/>
      <c r="L8" s="181">
        <v>46195</v>
      </c>
      <c r="M8" s="20"/>
    </row>
    <row r="9" spans="1:13" s="13" customFormat="1" ht="13.2" customHeight="1" x14ac:dyDescent="0.25">
      <c r="A9" s="178"/>
      <c r="B9" s="180"/>
      <c r="C9" s="115">
        <v>2</v>
      </c>
      <c r="D9" s="115">
        <v>17</v>
      </c>
      <c r="E9" s="115">
        <v>28</v>
      </c>
      <c r="F9" s="115">
        <v>31</v>
      </c>
      <c r="G9" s="115">
        <v>50</v>
      </c>
      <c r="H9" s="115">
        <v>77</v>
      </c>
      <c r="I9" s="20"/>
      <c r="J9" s="118">
        <v>61</v>
      </c>
      <c r="K9" s="20"/>
      <c r="L9" s="181"/>
      <c r="M9" s="20"/>
    </row>
    <row r="10" spans="1:13" s="13" customFormat="1" ht="13.2" customHeight="1" x14ac:dyDescent="0.25">
      <c r="A10" s="179"/>
      <c r="B10" s="180"/>
      <c r="C10" s="10">
        <f>C40+1</f>
        <v>10</v>
      </c>
      <c r="D10" s="10">
        <f>H70+1</f>
        <v>15</v>
      </c>
      <c r="E10" s="10">
        <f>F121+1</f>
        <v>6</v>
      </c>
      <c r="F10" s="10">
        <f>H61+1</f>
        <v>11</v>
      </c>
      <c r="G10" s="10">
        <f>G19+1</f>
        <v>15</v>
      </c>
      <c r="H10" s="10">
        <f>G46+1</f>
        <v>12</v>
      </c>
      <c r="I10" s="20"/>
      <c r="J10" s="169">
        <f>D43+1</f>
        <v>6</v>
      </c>
      <c r="K10" s="20"/>
      <c r="L10" s="181"/>
      <c r="M10" s="20"/>
    </row>
    <row r="11" spans="1:13" s="13" customFormat="1" ht="13.2" customHeight="1" x14ac:dyDescent="0.25">
      <c r="A11" s="177">
        <v>131</v>
      </c>
      <c r="B11" s="180">
        <v>4</v>
      </c>
      <c r="C11" s="14">
        <v>28</v>
      </c>
      <c r="D11" s="14">
        <v>15</v>
      </c>
      <c r="E11" s="14">
        <v>22</v>
      </c>
      <c r="F11" s="14">
        <v>8</v>
      </c>
      <c r="G11" s="14">
        <v>0</v>
      </c>
      <c r="H11" s="14">
        <v>23</v>
      </c>
      <c r="I11" s="20"/>
      <c r="J11" s="14">
        <v>27</v>
      </c>
      <c r="K11" s="20"/>
      <c r="L11" s="181">
        <v>46193</v>
      </c>
      <c r="M11" s="20"/>
    </row>
    <row r="12" spans="1:13" s="13" customFormat="1" ht="13.2" customHeight="1" x14ac:dyDescent="0.25">
      <c r="A12" s="178"/>
      <c r="B12" s="180"/>
      <c r="C12" s="115">
        <v>13</v>
      </c>
      <c r="D12" s="115">
        <v>21</v>
      </c>
      <c r="E12" s="115">
        <v>27</v>
      </c>
      <c r="F12" s="115">
        <v>44</v>
      </c>
      <c r="G12" s="115">
        <v>79</v>
      </c>
      <c r="H12" s="115">
        <v>90</v>
      </c>
      <c r="I12" s="20"/>
      <c r="J12" s="118">
        <v>4</v>
      </c>
      <c r="K12" s="20"/>
      <c r="L12" s="181"/>
      <c r="M12" s="20"/>
    </row>
    <row r="13" spans="1:13" s="13" customFormat="1" ht="13.2" customHeight="1" x14ac:dyDescent="0.25">
      <c r="A13" s="179"/>
      <c r="B13" s="180"/>
      <c r="C13" s="10">
        <f>C43+1</f>
        <v>14</v>
      </c>
      <c r="D13" s="10">
        <f>H73+1</f>
        <v>14</v>
      </c>
      <c r="E13" s="10">
        <f>F124+1</f>
        <v>13</v>
      </c>
      <c r="F13" s="10">
        <f>H64+1</f>
        <v>9</v>
      </c>
      <c r="G13" s="10">
        <f>G22+1</f>
        <v>17</v>
      </c>
      <c r="H13" s="10">
        <f>G49+1</f>
        <v>14</v>
      </c>
      <c r="I13" s="20"/>
      <c r="J13" s="169">
        <f>D46+1</f>
        <v>10</v>
      </c>
      <c r="K13" s="20"/>
      <c r="L13" s="181"/>
      <c r="M13" s="20"/>
    </row>
    <row r="14" spans="1:13" s="13" customFormat="1" ht="13.2" customHeight="1" x14ac:dyDescent="0.25">
      <c r="A14" s="177">
        <v>130</v>
      </c>
      <c r="B14" s="180">
        <v>5</v>
      </c>
      <c r="C14" s="14">
        <f>A14-A20-1</f>
        <v>1</v>
      </c>
      <c r="D14" s="14">
        <f>A14-A74-1</f>
        <v>19</v>
      </c>
      <c r="E14" s="14">
        <f>A14-A125-1</f>
        <v>36</v>
      </c>
      <c r="F14" s="14">
        <f>A14-A20-1</f>
        <v>1</v>
      </c>
      <c r="G14" s="14">
        <f>A14-A23-1</f>
        <v>2</v>
      </c>
      <c r="H14" s="14">
        <f>A14-A50-1</f>
        <v>11</v>
      </c>
      <c r="I14" s="20"/>
      <c r="J14" s="14">
        <f>A14-A20-1</f>
        <v>1</v>
      </c>
      <c r="K14" s="20"/>
      <c r="L14" s="181">
        <v>46190</v>
      </c>
      <c r="M14" s="20"/>
    </row>
    <row r="15" spans="1:13" s="13" customFormat="1" ht="13.2" customHeight="1" x14ac:dyDescent="0.25">
      <c r="A15" s="178"/>
      <c r="B15" s="180"/>
      <c r="C15" s="115">
        <v>7</v>
      </c>
      <c r="D15" s="115">
        <v>18</v>
      </c>
      <c r="E15" s="115">
        <v>22</v>
      </c>
      <c r="F15" s="115">
        <v>55</v>
      </c>
      <c r="G15" s="115">
        <v>76</v>
      </c>
      <c r="H15" s="115">
        <v>79</v>
      </c>
      <c r="I15" s="20"/>
      <c r="J15" s="118">
        <v>31</v>
      </c>
      <c r="K15" s="20"/>
      <c r="L15" s="181"/>
      <c r="M15" s="20"/>
    </row>
    <row r="16" spans="1:13" s="13" customFormat="1" ht="13.2" customHeight="1" x14ac:dyDescent="0.25">
      <c r="A16" s="179"/>
      <c r="B16" s="180"/>
      <c r="C16" s="10">
        <f>C46+1</f>
        <v>7</v>
      </c>
      <c r="D16" s="10">
        <f>H76+1</f>
        <v>11</v>
      </c>
      <c r="E16" s="10">
        <f>F127+1</f>
        <v>9</v>
      </c>
      <c r="F16" s="10">
        <f>H67+1</f>
        <v>7</v>
      </c>
      <c r="G16" s="10">
        <f>G25+1</f>
        <v>19</v>
      </c>
      <c r="H16" s="10">
        <f>G52+1</f>
        <v>16</v>
      </c>
      <c r="I16" s="20"/>
      <c r="J16" s="169">
        <f>D49+1</f>
        <v>7</v>
      </c>
      <c r="K16" s="20"/>
      <c r="L16" s="181"/>
      <c r="M16" s="20"/>
    </row>
    <row r="17" spans="1:13" s="13" customFormat="1" ht="13.2" customHeight="1" x14ac:dyDescent="0.25">
      <c r="A17" s="177">
        <v>129</v>
      </c>
      <c r="B17" s="180">
        <v>6</v>
      </c>
      <c r="C17" s="14">
        <f>A17-A23-1</f>
        <v>1</v>
      </c>
      <c r="D17" s="14">
        <f>A17-A77-1</f>
        <v>19</v>
      </c>
      <c r="E17" s="14">
        <f>A17-A128-1</f>
        <v>36</v>
      </c>
      <c r="F17" s="14">
        <f>A17-A23-1</f>
        <v>1</v>
      </c>
      <c r="G17" s="14">
        <f>A17-A26-1</f>
        <v>2</v>
      </c>
      <c r="H17" s="14">
        <f>A17-A53-1</f>
        <v>11</v>
      </c>
      <c r="I17" s="20"/>
      <c r="J17" s="14">
        <f>A17-A23-1</f>
        <v>1</v>
      </c>
      <c r="K17" s="20"/>
      <c r="L17" s="181">
        <v>46188</v>
      </c>
      <c r="M17" s="20"/>
    </row>
    <row r="18" spans="1:13" s="13" customFormat="1" ht="13.2" customHeight="1" x14ac:dyDescent="0.25">
      <c r="A18" s="178"/>
      <c r="B18" s="180"/>
      <c r="C18" s="115">
        <v>15</v>
      </c>
      <c r="D18" s="115">
        <v>33</v>
      </c>
      <c r="E18" s="115">
        <v>36</v>
      </c>
      <c r="F18" s="115">
        <v>53</v>
      </c>
      <c r="G18" s="115">
        <v>79</v>
      </c>
      <c r="H18" s="115">
        <v>87</v>
      </c>
      <c r="I18" s="20"/>
      <c r="J18" s="118">
        <v>78</v>
      </c>
      <c r="K18" s="20"/>
      <c r="L18" s="181"/>
      <c r="M18" s="20"/>
    </row>
    <row r="19" spans="1:13" s="13" customFormat="1" ht="13.2" customHeight="1" x14ac:dyDescent="0.25">
      <c r="A19" s="179"/>
      <c r="B19" s="180"/>
      <c r="C19" s="10">
        <f>C49+1</f>
        <v>11</v>
      </c>
      <c r="D19" s="10">
        <f>H79+1</f>
        <v>9</v>
      </c>
      <c r="E19" s="10">
        <f>F130+1</f>
        <v>8</v>
      </c>
      <c r="F19" s="10">
        <f>H70+1</f>
        <v>15</v>
      </c>
      <c r="G19" s="10">
        <f>G28+1</f>
        <v>14</v>
      </c>
      <c r="H19" s="10">
        <f>G55+1</f>
        <v>7</v>
      </c>
      <c r="I19" s="20"/>
      <c r="J19" s="169">
        <f>D52+1</f>
        <v>15</v>
      </c>
      <c r="K19" s="20"/>
      <c r="L19" s="181"/>
      <c r="M19" s="20"/>
    </row>
    <row r="20" spans="1:13" s="13" customFormat="1" ht="13.2" customHeight="1" x14ac:dyDescent="0.25">
      <c r="A20" s="177">
        <v>128</v>
      </c>
      <c r="B20" s="180">
        <v>7</v>
      </c>
      <c r="C20" s="14">
        <f>A20-A26-1</f>
        <v>1</v>
      </c>
      <c r="D20" s="14">
        <f>A20-A80-1</f>
        <v>19</v>
      </c>
      <c r="E20" s="14">
        <f>A20-A131-1</f>
        <v>36</v>
      </c>
      <c r="F20" s="14">
        <f>A20-A26-1</f>
        <v>1</v>
      </c>
      <c r="G20" s="14">
        <f>A20-A29-1</f>
        <v>2</v>
      </c>
      <c r="H20" s="14">
        <f>A20-A56-1</f>
        <v>11</v>
      </c>
      <c r="I20" s="20"/>
      <c r="J20" s="14">
        <f>A20-A26-1</f>
        <v>1</v>
      </c>
      <c r="K20" s="20"/>
      <c r="L20" s="181">
        <v>46186</v>
      </c>
      <c r="M20" s="20"/>
    </row>
    <row r="21" spans="1:13" s="13" customFormat="1" ht="13.2" customHeight="1" x14ac:dyDescent="0.25">
      <c r="A21" s="178"/>
      <c r="B21" s="180"/>
      <c r="C21" s="115">
        <v>2</v>
      </c>
      <c r="D21" s="115">
        <v>16</v>
      </c>
      <c r="E21" s="115">
        <v>25</v>
      </c>
      <c r="F21" s="115">
        <v>35</v>
      </c>
      <c r="G21" s="115">
        <v>80</v>
      </c>
      <c r="H21" s="115">
        <v>88</v>
      </c>
      <c r="I21" s="20"/>
      <c r="J21" s="118">
        <v>40</v>
      </c>
      <c r="K21" s="20"/>
      <c r="L21" s="181"/>
      <c r="M21" s="20"/>
    </row>
    <row r="22" spans="1:13" s="13" customFormat="1" ht="13.2" customHeight="1" x14ac:dyDescent="0.25">
      <c r="A22" s="179"/>
      <c r="B22" s="180"/>
      <c r="C22" s="10">
        <f>C52+1</f>
        <v>15</v>
      </c>
      <c r="D22" s="10">
        <f>H82+1</f>
        <v>8</v>
      </c>
      <c r="E22" s="10">
        <f>F133+1</f>
        <v>10</v>
      </c>
      <c r="F22" s="10">
        <f>H73+1</f>
        <v>14</v>
      </c>
      <c r="G22" s="10">
        <f>G31+1</f>
        <v>16</v>
      </c>
      <c r="H22" s="10">
        <f>G58+1</f>
        <v>8</v>
      </c>
      <c r="I22" s="20"/>
      <c r="J22" s="169">
        <f>D55+1</f>
        <v>13</v>
      </c>
      <c r="K22" s="20"/>
      <c r="L22" s="181"/>
      <c r="M22" s="20"/>
    </row>
    <row r="23" spans="1:13" s="13" customFormat="1" ht="13.2" customHeight="1" x14ac:dyDescent="0.25">
      <c r="A23" s="177">
        <v>127</v>
      </c>
      <c r="B23" s="180">
        <v>8</v>
      </c>
      <c r="C23" s="14">
        <f>A23-A29-1</f>
        <v>1</v>
      </c>
      <c r="D23" s="14">
        <f>A23-A83-1</f>
        <v>19</v>
      </c>
      <c r="E23" s="14">
        <f>A23-A134-1</f>
        <v>36</v>
      </c>
      <c r="F23" s="14">
        <f>A23-A29-1</f>
        <v>1</v>
      </c>
      <c r="G23" s="14">
        <f>A23-A32-1</f>
        <v>2</v>
      </c>
      <c r="H23" s="14">
        <f>A23-A59-1</f>
        <v>11</v>
      </c>
      <c r="I23" s="20"/>
      <c r="J23" s="14">
        <f>A23-A29-1</f>
        <v>1</v>
      </c>
      <c r="K23" s="20"/>
      <c r="L23" s="181">
        <v>46183</v>
      </c>
      <c r="M23" s="20"/>
    </row>
    <row r="24" spans="1:13" s="13" customFormat="1" ht="13.2" customHeight="1" x14ac:dyDescent="0.25">
      <c r="A24" s="178"/>
      <c r="B24" s="180"/>
      <c r="C24" s="115">
        <v>10</v>
      </c>
      <c r="D24" s="115">
        <v>15</v>
      </c>
      <c r="E24" s="115">
        <v>25</v>
      </c>
      <c r="F24" s="115">
        <v>31</v>
      </c>
      <c r="G24" s="115">
        <v>45</v>
      </c>
      <c r="H24" s="115">
        <v>56</v>
      </c>
      <c r="I24" s="20"/>
      <c r="J24" s="118">
        <v>67</v>
      </c>
      <c r="K24" s="20"/>
      <c r="L24" s="181"/>
      <c r="M24" s="20"/>
    </row>
    <row r="25" spans="1:13" s="13" customFormat="1" ht="13.2" customHeight="1" x14ac:dyDescent="0.25">
      <c r="A25" s="179"/>
      <c r="B25" s="180"/>
      <c r="C25" s="10">
        <f>C55+1</f>
        <v>6</v>
      </c>
      <c r="D25" s="10">
        <f>H85+1</f>
        <v>7</v>
      </c>
      <c r="E25" s="10">
        <f>F136+1</f>
        <v>8</v>
      </c>
      <c r="F25" s="10">
        <f>H76+1</f>
        <v>11</v>
      </c>
      <c r="G25" s="10">
        <f>G34+1</f>
        <v>18</v>
      </c>
      <c r="H25" s="10">
        <f>G61+1</f>
        <v>11</v>
      </c>
      <c r="I25" s="20"/>
      <c r="J25" s="169">
        <f>D58+1</f>
        <v>10</v>
      </c>
      <c r="K25" s="20"/>
      <c r="L25" s="181"/>
      <c r="M25" s="20"/>
    </row>
    <row r="26" spans="1:13" s="13" customFormat="1" ht="13.2" customHeight="1" x14ac:dyDescent="0.25">
      <c r="A26" s="177">
        <v>126</v>
      </c>
      <c r="B26" s="180">
        <v>9</v>
      </c>
      <c r="C26" s="14">
        <f>A26-A32-1</f>
        <v>1</v>
      </c>
      <c r="D26" s="14">
        <f>A26-A86-1</f>
        <v>19</v>
      </c>
      <c r="E26" s="14">
        <f>A26-A137-1</f>
        <v>36</v>
      </c>
      <c r="F26" s="14">
        <f>A26-A32-1</f>
        <v>1</v>
      </c>
      <c r="G26" s="14">
        <f>A26-A35-1</f>
        <v>2</v>
      </c>
      <c r="H26" s="14">
        <f>A26-A62-1</f>
        <v>11</v>
      </c>
      <c r="I26" s="20"/>
      <c r="J26" s="14">
        <f>A26-A32-1</f>
        <v>1</v>
      </c>
      <c r="K26" s="20"/>
      <c r="L26" s="181">
        <v>46181</v>
      </c>
      <c r="M26" s="20"/>
    </row>
    <row r="27" spans="1:13" s="13" customFormat="1" ht="13.2" customHeight="1" x14ac:dyDescent="0.25">
      <c r="A27" s="178"/>
      <c r="B27" s="180"/>
      <c r="C27" s="115">
        <v>28</v>
      </c>
      <c r="D27" s="115">
        <v>30</v>
      </c>
      <c r="E27" s="115">
        <v>39</v>
      </c>
      <c r="F27" s="115">
        <v>48</v>
      </c>
      <c r="G27" s="115">
        <v>55</v>
      </c>
      <c r="H27" s="115">
        <v>68</v>
      </c>
      <c r="I27" s="20"/>
      <c r="J27" s="118">
        <v>87</v>
      </c>
      <c r="K27" s="20"/>
      <c r="L27" s="181"/>
      <c r="M27" s="20"/>
    </row>
    <row r="28" spans="1:13" s="13" customFormat="1" ht="13.2" customHeight="1" x14ac:dyDescent="0.25">
      <c r="A28" s="179"/>
      <c r="B28" s="180"/>
      <c r="C28" s="10">
        <f>C58+1</f>
        <v>14</v>
      </c>
      <c r="D28" s="10">
        <f>H88+1</f>
        <v>12</v>
      </c>
      <c r="E28" s="10">
        <f>F139+1</f>
        <v>8</v>
      </c>
      <c r="F28" s="10">
        <f>H79+1</f>
        <v>9</v>
      </c>
      <c r="G28" s="10">
        <f>G37+1</f>
        <v>13</v>
      </c>
      <c r="H28" s="10">
        <f>G64+1</f>
        <v>13</v>
      </c>
      <c r="I28" s="20"/>
      <c r="J28" s="169">
        <f>D61+1</f>
        <v>12</v>
      </c>
      <c r="K28" s="20"/>
      <c r="L28" s="181"/>
      <c r="M28" s="20"/>
    </row>
    <row r="29" spans="1:13" s="13" customFormat="1" ht="13.2" customHeight="1" x14ac:dyDescent="0.25">
      <c r="A29" s="177">
        <v>125</v>
      </c>
      <c r="B29" s="180">
        <v>10</v>
      </c>
      <c r="C29" s="14">
        <f>A29-A35-1</f>
        <v>1</v>
      </c>
      <c r="D29" s="14">
        <f>A29-A89-1</f>
        <v>19</v>
      </c>
      <c r="E29" s="14">
        <f>A29-A140-1</f>
        <v>36</v>
      </c>
      <c r="F29" s="14">
        <f>A29-A35-1</f>
        <v>1</v>
      </c>
      <c r="G29" s="14">
        <f>A29-A38-1</f>
        <v>2</v>
      </c>
      <c r="H29" s="14">
        <f>A29-A65-1</f>
        <v>11</v>
      </c>
      <c r="I29" s="20"/>
      <c r="J29" s="14">
        <f>A29-A35-1</f>
        <v>1</v>
      </c>
      <c r="K29" s="20"/>
      <c r="L29" s="181">
        <v>46179</v>
      </c>
      <c r="M29" s="20"/>
    </row>
    <row r="30" spans="1:13" s="13" customFormat="1" ht="13.2" customHeight="1" x14ac:dyDescent="0.25">
      <c r="A30" s="178"/>
      <c r="B30" s="180"/>
      <c r="C30" s="115">
        <v>8</v>
      </c>
      <c r="D30" s="115">
        <v>33</v>
      </c>
      <c r="E30" s="115">
        <v>50</v>
      </c>
      <c r="F30" s="115">
        <v>53</v>
      </c>
      <c r="G30" s="115">
        <v>62</v>
      </c>
      <c r="H30" s="115">
        <v>63</v>
      </c>
      <c r="I30" s="20"/>
      <c r="J30" s="118">
        <v>39</v>
      </c>
      <c r="K30" s="20"/>
      <c r="L30" s="181"/>
      <c r="M30" s="20"/>
    </row>
    <row r="31" spans="1:13" s="13" customFormat="1" ht="13.2" customHeight="1" x14ac:dyDescent="0.25">
      <c r="A31" s="179"/>
      <c r="B31" s="180"/>
      <c r="C31" s="10">
        <f>C61+1</f>
        <v>16</v>
      </c>
      <c r="D31" s="10">
        <f>H91+1</f>
        <v>8</v>
      </c>
      <c r="E31" s="10">
        <f>F142+1</f>
        <v>14</v>
      </c>
      <c r="F31" s="10">
        <f>H82+1</f>
        <v>8</v>
      </c>
      <c r="G31" s="10">
        <f>G40+1</f>
        <v>15</v>
      </c>
      <c r="H31" s="10">
        <f>G67+1</f>
        <v>12</v>
      </c>
      <c r="I31" s="20"/>
      <c r="J31" s="169">
        <f>D64+1</f>
        <v>11</v>
      </c>
      <c r="K31" s="20"/>
      <c r="L31" s="181"/>
      <c r="M31" s="20"/>
    </row>
    <row r="32" spans="1:13" s="13" customFormat="1" ht="13.2" customHeight="1" x14ac:dyDescent="0.25">
      <c r="A32" s="177">
        <v>124</v>
      </c>
      <c r="B32" s="180">
        <v>11</v>
      </c>
      <c r="C32" s="14">
        <f>A32-A38-1</f>
        <v>1</v>
      </c>
      <c r="D32" s="14">
        <f>A32-A92-1</f>
        <v>19</v>
      </c>
      <c r="E32" s="14">
        <f>A32-A143-1</f>
        <v>36</v>
      </c>
      <c r="F32" s="14">
        <f>A32-A38-1</f>
        <v>1</v>
      </c>
      <c r="G32" s="14">
        <f>A32-A41-1</f>
        <v>2</v>
      </c>
      <c r="H32" s="14">
        <f>A32-A68-1</f>
        <v>11</v>
      </c>
      <c r="I32" s="20"/>
      <c r="J32" s="14">
        <f>A32-A38-1</f>
        <v>1</v>
      </c>
      <c r="K32" s="20"/>
      <c r="L32" s="181">
        <v>46176</v>
      </c>
      <c r="M32" s="20"/>
    </row>
    <row r="33" spans="1:13" s="13" customFormat="1" ht="13.2" customHeight="1" x14ac:dyDescent="0.25">
      <c r="A33" s="178"/>
      <c r="B33" s="180"/>
      <c r="C33" s="115">
        <v>2</v>
      </c>
      <c r="D33" s="115">
        <v>15</v>
      </c>
      <c r="E33" s="115">
        <v>17</v>
      </c>
      <c r="F33" s="115">
        <v>55</v>
      </c>
      <c r="G33" s="115">
        <v>78</v>
      </c>
      <c r="H33" s="115">
        <v>83</v>
      </c>
      <c r="I33" s="20"/>
      <c r="J33" s="118">
        <v>77</v>
      </c>
      <c r="K33" s="20"/>
      <c r="L33" s="181"/>
      <c r="M33" s="20"/>
    </row>
    <row r="34" spans="1:13" s="13" customFormat="1" ht="13.2" customHeight="1" x14ac:dyDescent="0.25">
      <c r="A34" s="179"/>
      <c r="B34" s="180"/>
      <c r="C34" s="10">
        <f>C64+1</f>
        <v>10</v>
      </c>
      <c r="D34" s="10">
        <f>H94+1</f>
        <v>7</v>
      </c>
      <c r="E34" s="10">
        <f>F145+1</f>
        <v>7</v>
      </c>
      <c r="F34" s="10">
        <f>H85+1</f>
        <v>7</v>
      </c>
      <c r="G34" s="10">
        <f>G43+1</f>
        <v>17</v>
      </c>
      <c r="H34" s="10">
        <f>G70+1</f>
        <v>11</v>
      </c>
      <c r="I34" s="20"/>
      <c r="J34" s="169">
        <f>D67+1</f>
        <v>6</v>
      </c>
      <c r="K34" s="20"/>
      <c r="L34" s="181"/>
      <c r="M34" s="20"/>
    </row>
    <row r="35" spans="1:13" s="13" customFormat="1" ht="13.2" customHeight="1" x14ac:dyDescent="0.25">
      <c r="A35" s="177">
        <v>123</v>
      </c>
      <c r="B35" s="180">
        <v>12</v>
      </c>
      <c r="C35" s="14">
        <f>A35-A41-1</f>
        <v>1</v>
      </c>
      <c r="D35" s="14">
        <f>A35-A95-1</f>
        <v>19</v>
      </c>
      <c r="E35" s="14">
        <f>A35-A146-1</f>
        <v>36</v>
      </c>
      <c r="F35" s="14">
        <f>A35-A41-1</f>
        <v>1</v>
      </c>
      <c r="G35" s="14">
        <f>A35-A44-1</f>
        <v>2</v>
      </c>
      <c r="H35" s="14">
        <f>A35-A71-1</f>
        <v>11</v>
      </c>
      <c r="I35" s="20"/>
      <c r="J35" s="14">
        <f>A35-A41-1</f>
        <v>1</v>
      </c>
      <c r="K35" s="20"/>
      <c r="L35" s="181">
        <v>46174</v>
      </c>
      <c r="M35" s="20"/>
    </row>
    <row r="36" spans="1:13" s="13" customFormat="1" ht="13.2" customHeight="1" x14ac:dyDescent="0.25">
      <c r="A36" s="178"/>
      <c r="B36" s="180"/>
      <c r="C36" s="115">
        <v>19</v>
      </c>
      <c r="D36" s="115">
        <v>36</v>
      </c>
      <c r="E36" s="115">
        <v>46</v>
      </c>
      <c r="F36" s="115">
        <v>63</v>
      </c>
      <c r="G36" s="115">
        <v>75</v>
      </c>
      <c r="H36" s="115">
        <v>85</v>
      </c>
      <c r="I36" s="20"/>
      <c r="J36" s="118">
        <v>80</v>
      </c>
      <c r="K36" s="20"/>
      <c r="L36" s="181"/>
      <c r="M36" s="20"/>
    </row>
    <row r="37" spans="1:13" s="13" customFormat="1" ht="13.2" customHeight="1" x14ac:dyDescent="0.25">
      <c r="A37" s="179"/>
      <c r="B37" s="180"/>
      <c r="C37" s="10">
        <f>C67+1</f>
        <v>8</v>
      </c>
      <c r="D37" s="10">
        <f>H97+1</f>
        <v>11</v>
      </c>
      <c r="E37" s="10">
        <f>F148+1</f>
        <v>9</v>
      </c>
      <c r="F37" s="10">
        <f>H88+1</f>
        <v>12</v>
      </c>
      <c r="G37" s="10">
        <f>G46+1</f>
        <v>12</v>
      </c>
      <c r="H37" s="10">
        <f>G73+1</f>
        <v>10</v>
      </c>
      <c r="I37" s="20"/>
      <c r="J37" s="169">
        <f>D70+1</f>
        <v>9</v>
      </c>
      <c r="K37" s="20"/>
      <c r="L37" s="181"/>
      <c r="M37" s="20"/>
    </row>
    <row r="38" spans="1:13" s="13" customFormat="1" ht="13.2" customHeight="1" x14ac:dyDescent="0.25">
      <c r="A38" s="177">
        <v>122</v>
      </c>
      <c r="B38" s="180">
        <v>13</v>
      </c>
      <c r="C38" s="14">
        <f>A38-A44-1</f>
        <v>1</v>
      </c>
      <c r="D38" s="14">
        <f>A38-A98-1</f>
        <v>19</v>
      </c>
      <c r="E38" s="14">
        <f>A38-A149-1</f>
        <v>36</v>
      </c>
      <c r="F38" s="14">
        <f>A38-A44-1</f>
        <v>1</v>
      </c>
      <c r="G38" s="14">
        <f>A38-A47-1</f>
        <v>2</v>
      </c>
      <c r="H38" s="14">
        <f>A38-A74-1</f>
        <v>11</v>
      </c>
      <c r="I38" s="20"/>
      <c r="J38" s="14">
        <f>A38-A44-1</f>
        <v>1</v>
      </c>
      <c r="K38" s="20"/>
      <c r="L38" s="181">
        <v>46172</v>
      </c>
      <c r="M38" s="20"/>
    </row>
    <row r="39" spans="1:13" s="13" customFormat="1" ht="13.2" customHeight="1" x14ac:dyDescent="0.25">
      <c r="A39" s="178"/>
      <c r="B39" s="180"/>
      <c r="C39" s="115">
        <v>42</v>
      </c>
      <c r="D39" s="115">
        <v>44</v>
      </c>
      <c r="E39" s="115">
        <v>50</v>
      </c>
      <c r="F39" s="115">
        <v>72</v>
      </c>
      <c r="G39" s="115">
        <v>77</v>
      </c>
      <c r="H39" s="115">
        <v>83</v>
      </c>
      <c r="I39" s="20"/>
      <c r="J39" s="118">
        <v>25</v>
      </c>
      <c r="K39" s="20"/>
      <c r="L39" s="181"/>
      <c r="M39" s="20"/>
    </row>
    <row r="40" spans="1:13" s="13" customFormat="1" ht="13.2" customHeight="1" x14ac:dyDescent="0.25">
      <c r="A40" s="179"/>
      <c r="B40" s="180"/>
      <c r="C40" s="10">
        <f>C70+1</f>
        <v>9</v>
      </c>
      <c r="D40" s="10">
        <f>H100+1</f>
        <v>7</v>
      </c>
      <c r="E40" s="10">
        <f>F151+1</f>
        <v>8</v>
      </c>
      <c r="F40" s="10">
        <f>H91+1</f>
        <v>8</v>
      </c>
      <c r="G40" s="10">
        <f>G49+1</f>
        <v>14</v>
      </c>
      <c r="H40" s="10">
        <f>G76+1</f>
        <v>10</v>
      </c>
      <c r="I40" s="20"/>
      <c r="J40" s="169">
        <f>D73+1</f>
        <v>13</v>
      </c>
      <c r="K40" s="20"/>
      <c r="L40" s="181"/>
      <c r="M40" s="20"/>
    </row>
    <row r="41" spans="1:13" s="13" customFormat="1" ht="13.2" customHeight="1" x14ac:dyDescent="0.25">
      <c r="A41" s="177">
        <v>121</v>
      </c>
      <c r="B41" s="180">
        <v>14</v>
      </c>
      <c r="C41" s="14">
        <f>A41-A71-1</f>
        <v>9</v>
      </c>
      <c r="D41" s="14">
        <f>A41-A101-1</f>
        <v>19</v>
      </c>
      <c r="E41" s="14">
        <f>A41-A152-1</f>
        <v>36</v>
      </c>
      <c r="F41" s="14">
        <f>A41-A92-1</f>
        <v>16</v>
      </c>
      <c r="G41" s="14">
        <f>A41-A50-1</f>
        <v>2</v>
      </c>
      <c r="H41" s="14">
        <f>A41-A77-1</f>
        <v>11</v>
      </c>
      <c r="I41" s="20"/>
      <c r="J41" s="14">
        <f>A41-A74-1</f>
        <v>10</v>
      </c>
      <c r="K41" s="20"/>
      <c r="L41" s="181">
        <v>46169</v>
      </c>
      <c r="M41" s="20"/>
    </row>
    <row r="42" spans="1:13" s="13" customFormat="1" ht="13.2" customHeight="1" x14ac:dyDescent="0.25">
      <c r="A42" s="178"/>
      <c r="B42" s="180"/>
      <c r="C42" s="115">
        <v>7</v>
      </c>
      <c r="D42" s="115">
        <v>52</v>
      </c>
      <c r="E42" s="115">
        <v>58</v>
      </c>
      <c r="F42" s="115">
        <v>69</v>
      </c>
      <c r="G42" s="115">
        <v>82</v>
      </c>
      <c r="H42" s="115">
        <v>84</v>
      </c>
      <c r="I42" s="20"/>
      <c r="J42" s="118">
        <v>37</v>
      </c>
      <c r="K42" s="20"/>
      <c r="L42" s="181"/>
      <c r="M42" s="20"/>
    </row>
    <row r="43" spans="1:13" s="13" customFormat="1" ht="13.2" customHeight="1" x14ac:dyDescent="0.25">
      <c r="A43" s="179"/>
      <c r="B43" s="180"/>
      <c r="C43" s="10">
        <f>C73+1</f>
        <v>13</v>
      </c>
      <c r="D43" s="10">
        <f>H103+1</f>
        <v>5</v>
      </c>
      <c r="E43" s="10">
        <f>F154+1</f>
        <v>6</v>
      </c>
      <c r="F43" s="10">
        <f>H94+1</f>
        <v>7</v>
      </c>
      <c r="G43" s="10">
        <f>G52+1</f>
        <v>16</v>
      </c>
      <c r="H43" s="10">
        <f>G79+1</f>
        <v>6</v>
      </c>
      <c r="I43" s="20"/>
      <c r="J43" s="169">
        <f>D76+1</f>
        <v>9</v>
      </c>
      <c r="K43" s="20"/>
      <c r="L43" s="181"/>
      <c r="M43" s="20"/>
    </row>
    <row r="44" spans="1:13" s="13" customFormat="1" ht="13.2" customHeight="1" x14ac:dyDescent="0.25">
      <c r="A44" s="177">
        <v>120</v>
      </c>
      <c r="B44" s="180">
        <v>15</v>
      </c>
      <c r="C44" s="14">
        <f>A44-A173-1</f>
        <v>42</v>
      </c>
      <c r="D44" s="14">
        <f>A44-A47-1</f>
        <v>0</v>
      </c>
      <c r="E44" s="14">
        <f>A44-A107-1</f>
        <v>20</v>
      </c>
      <c r="F44" s="14">
        <f>A44-A104-1</f>
        <v>19</v>
      </c>
      <c r="G44" s="14">
        <f>A44-A65-1</f>
        <v>6</v>
      </c>
      <c r="H44" s="14">
        <f>A44-A77-1</f>
        <v>10</v>
      </c>
      <c r="I44" s="20"/>
      <c r="J44" s="14">
        <f>A44-A65-1</f>
        <v>6</v>
      </c>
      <c r="K44" s="20"/>
      <c r="L44" s="181">
        <v>46167</v>
      </c>
      <c r="M44" s="20"/>
    </row>
    <row r="45" spans="1:13" s="13" customFormat="1" ht="13.2" customHeight="1" x14ac:dyDescent="0.25">
      <c r="A45" s="178"/>
      <c r="B45" s="180"/>
      <c r="C45" s="114">
        <v>15</v>
      </c>
      <c r="D45" s="114">
        <v>28</v>
      </c>
      <c r="E45" s="114">
        <v>40</v>
      </c>
      <c r="F45" s="118">
        <v>42</v>
      </c>
      <c r="G45" s="114">
        <v>72</v>
      </c>
      <c r="H45" s="118">
        <v>81</v>
      </c>
      <c r="I45" s="20"/>
      <c r="J45" s="118">
        <v>25</v>
      </c>
      <c r="K45" s="20"/>
      <c r="L45" s="181"/>
      <c r="M45" s="20"/>
    </row>
    <row r="46" spans="1:13" s="13" customFormat="1" ht="13.2" customHeight="1" x14ac:dyDescent="0.25">
      <c r="A46" s="179"/>
      <c r="B46" s="180"/>
      <c r="C46" s="10">
        <f>C175+1</f>
        <v>6</v>
      </c>
      <c r="D46" s="10">
        <f>E49+1</f>
        <v>9</v>
      </c>
      <c r="E46" s="10">
        <f>C109+1</f>
        <v>12</v>
      </c>
      <c r="F46" s="10">
        <f>F106+1</f>
        <v>6</v>
      </c>
      <c r="G46" s="10">
        <f>G70+1</f>
        <v>11</v>
      </c>
      <c r="H46" s="10">
        <f>H64+1</f>
        <v>9</v>
      </c>
      <c r="I46" s="20"/>
      <c r="J46" s="169">
        <f>D67+1</f>
        <v>6</v>
      </c>
      <c r="K46" s="20"/>
      <c r="L46" s="181"/>
      <c r="M46" s="20"/>
    </row>
    <row r="47" spans="1:13" s="13" customFormat="1" ht="12.6" customHeight="1" x14ac:dyDescent="0.25">
      <c r="A47" s="177">
        <v>119</v>
      </c>
      <c r="B47" s="180">
        <v>16</v>
      </c>
      <c r="C47" s="14">
        <f>A47-A80-1</f>
        <v>10</v>
      </c>
      <c r="D47" s="14">
        <f>A47-A125-1</f>
        <v>25</v>
      </c>
      <c r="E47" s="14">
        <f>A47-A65-1</f>
        <v>5</v>
      </c>
      <c r="F47" s="14">
        <f>A47-A65-1</f>
        <v>5</v>
      </c>
      <c r="G47" s="14">
        <f>A47-A77-1</f>
        <v>9</v>
      </c>
      <c r="H47" s="14">
        <f>A47-A137-1</f>
        <v>29</v>
      </c>
      <c r="J47" s="14">
        <f>A47-A56-1</f>
        <v>2</v>
      </c>
      <c r="L47" s="15"/>
    </row>
    <row r="48" spans="1:13" s="13" customFormat="1" ht="12.6" customHeight="1" x14ac:dyDescent="0.25">
      <c r="A48" s="178"/>
      <c r="B48" s="180"/>
      <c r="C48" s="115">
        <v>19</v>
      </c>
      <c r="D48" s="115">
        <v>20</v>
      </c>
      <c r="E48" s="114">
        <v>28</v>
      </c>
      <c r="F48" s="114">
        <v>53</v>
      </c>
      <c r="G48" s="114">
        <v>68</v>
      </c>
      <c r="H48" s="114">
        <v>77</v>
      </c>
      <c r="J48" s="114">
        <v>47</v>
      </c>
      <c r="L48" s="173">
        <v>46165</v>
      </c>
    </row>
    <row r="49" spans="1:13" s="13" customFormat="1" ht="13.2" customHeight="1" x14ac:dyDescent="0.25">
      <c r="A49" s="179"/>
      <c r="B49" s="180"/>
      <c r="C49" s="10">
        <f>D82+1</f>
        <v>10</v>
      </c>
      <c r="D49" s="10">
        <f>C127+1</f>
        <v>6</v>
      </c>
      <c r="E49" s="10">
        <f>E67+1</f>
        <v>8</v>
      </c>
      <c r="F49" s="10">
        <f>F67+1</f>
        <v>12</v>
      </c>
      <c r="G49" s="10">
        <f>E79+1</f>
        <v>13</v>
      </c>
      <c r="H49" s="10">
        <f>H139+1</f>
        <v>7</v>
      </c>
      <c r="J49" s="169">
        <f>J58+1</f>
        <v>10</v>
      </c>
      <c r="L49" s="173"/>
    </row>
    <row r="50" spans="1:13" s="13" customFormat="1" ht="12.6" customHeight="1" x14ac:dyDescent="0.25">
      <c r="A50" s="177">
        <v>118</v>
      </c>
      <c r="B50" s="180">
        <v>17</v>
      </c>
      <c r="C50" s="14">
        <f>A50-A56-1</f>
        <v>1</v>
      </c>
      <c r="D50" s="14">
        <f>A50-A98-1</f>
        <v>15</v>
      </c>
      <c r="E50" s="14">
        <f>A50-A53-1</f>
        <v>0</v>
      </c>
      <c r="F50" s="14">
        <f>A50-A62-1</f>
        <v>3</v>
      </c>
      <c r="G50" s="14">
        <f>A50-A68-1</f>
        <v>5</v>
      </c>
      <c r="H50" s="14">
        <f>A50-A50-1</f>
        <v>-1</v>
      </c>
      <c r="J50" s="14">
        <f>A50-A125-1</f>
        <v>24</v>
      </c>
      <c r="L50" s="15"/>
    </row>
    <row r="51" spans="1:13" s="13" customFormat="1" ht="12.6" customHeight="1" x14ac:dyDescent="0.25">
      <c r="A51" s="178"/>
      <c r="B51" s="180"/>
      <c r="C51" s="115">
        <v>2</v>
      </c>
      <c r="D51" s="115">
        <v>24</v>
      </c>
      <c r="E51" s="114">
        <v>35</v>
      </c>
      <c r="F51" s="114">
        <v>74</v>
      </c>
      <c r="G51" s="115">
        <v>82</v>
      </c>
      <c r="H51" s="114">
        <v>89</v>
      </c>
      <c r="J51" s="170">
        <v>67</v>
      </c>
      <c r="L51" s="173">
        <v>46162</v>
      </c>
    </row>
    <row r="52" spans="1:13" s="13" customFormat="1" ht="13.2" customHeight="1" x14ac:dyDescent="0.25">
      <c r="A52" s="179"/>
      <c r="B52" s="180"/>
      <c r="C52" s="10">
        <f>C58+1</f>
        <v>14</v>
      </c>
      <c r="D52" s="10">
        <f>E100+1</f>
        <v>14</v>
      </c>
      <c r="E52" s="10">
        <f>D55+1</f>
        <v>13</v>
      </c>
      <c r="F52" s="10">
        <f>J64+1</f>
        <v>16</v>
      </c>
      <c r="G52" s="10">
        <f>H70+1</f>
        <v>15</v>
      </c>
      <c r="H52" s="10">
        <f>H55+1</f>
        <v>12</v>
      </c>
      <c r="J52" s="169">
        <f>G127+1</f>
        <v>11</v>
      </c>
      <c r="L52" s="173"/>
    </row>
    <row r="53" spans="1:13" s="13" customFormat="1" ht="12.6" customHeight="1" x14ac:dyDescent="0.25">
      <c r="A53" s="177">
        <v>117</v>
      </c>
      <c r="B53" s="180">
        <v>18</v>
      </c>
      <c r="C53" s="14">
        <f>A53-A146-1</f>
        <v>30</v>
      </c>
      <c r="D53" s="14">
        <f>A53-A71-1</f>
        <v>5</v>
      </c>
      <c r="E53" s="14">
        <f>A53-A128-1</f>
        <v>24</v>
      </c>
      <c r="F53" s="14">
        <f>A53-A107-1</f>
        <v>17</v>
      </c>
      <c r="G53" s="14">
        <f>A53-A233-1</f>
        <v>59</v>
      </c>
      <c r="H53" s="14">
        <f>A53-A59-1</f>
        <v>1</v>
      </c>
      <c r="J53" s="14">
        <f>A53-A68-1</f>
        <v>4</v>
      </c>
      <c r="L53" s="15"/>
    </row>
    <row r="54" spans="1:13" s="13" customFormat="1" ht="12.6" customHeight="1" x14ac:dyDescent="0.25">
      <c r="A54" s="178"/>
      <c r="B54" s="180"/>
      <c r="C54" s="115">
        <v>22</v>
      </c>
      <c r="D54" s="115">
        <v>35</v>
      </c>
      <c r="E54" s="114">
        <v>71</v>
      </c>
      <c r="F54" s="114">
        <v>75</v>
      </c>
      <c r="G54" s="114">
        <v>85</v>
      </c>
      <c r="H54" s="114">
        <v>89</v>
      </c>
      <c r="J54" s="114">
        <v>30</v>
      </c>
      <c r="L54" s="173">
        <v>46160</v>
      </c>
    </row>
    <row r="55" spans="1:13" s="13" customFormat="1" ht="13.2" customHeight="1" x14ac:dyDescent="0.25">
      <c r="A55" s="179"/>
      <c r="B55" s="180"/>
      <c r="C55" s="10">
        <f>J148+1</f>
        <v>5</v>
      </c>
      <c r="D55" s="10">
        <f>E73+1</f>
        <v>12</v>
      </c>
      <c r="E55" s="10">
        <f>H130+1</f>
        <v>11</v>
      </c>
      <c r="F55" s="10">
        <f>H109+1</f>
        <v>7</v>
      </c>
      <c r="G55" s="10">
        <f>H235+1</f>
        <v>6</v>
      </c>
      <c r="H55" s="10">
        <f>H61+1</f>
        <v>11</v>
      </c>
      <c r="J55" s="169">
        <f>D70+1</f>
        <v>9</v>
      </c>
      <c r="L55" s="173"/>
    </row>
    <row r="56" spans="1:13" s="13" customFormat="1" ht="12.6" customHeight="1" x14ac:dyDescent="0.25">
      <c r="A56" s="177">
        <v>116</v>
      </c>
      <c r="B56" s="180">
        <v>19</v>
      </c>
      <c r="C56" s="14">
        <f>A56-A101-1</f>
        <v>14</v>
      </c>
      <c r="D56" s="14">
        <f>A56-A170-1</f>
        <v>37</v>
      </c>
      <c r="E56" s="14">
        <f>A56-A68-1</f>
        <v>3</v>
      </c>
      <c r="F56" s="14">
        <f>A56-A77-1</f>
        <v>6</v>
      </c>
      <c r="G56" s="14">
        <f>A56-A65-1</f>
        <v>2</v>
      </c>
      <c r="H56" s="14">
        <f>A56-A77-1</f>
        <v>6</v>
      </c>
      <c r="J56" s="14">
        <f>A56-A74-1</f>
        <v>5</v>
      </c>
      <c r="L56" s="15"/>
    </row>
    <row r="57" spans="1:13" s="13" customFormat="1" ht="12.6" customHeight="1" x14ac:dyDescent="0.25">
      <c r="A57" s="178"/>
      <c r="B57" s="180"/>
      <c r="C57" s="115">
        <v>2</v>
      </c>
      <c r="D57" s="115">
        <v>8</v>
      </c>
      <c r="E57" s="114">
        <v>55</v>
      </c>
      <c r="F57" s="114">
        <v>73</v>
      </c>
      <c r="G57" s="114">
        <v>79</v>
      </c>
      <c r="H57" s="114">
        <v>88</v>
      </c>
      <c r="J57" s="114">
        <v>47</v>
      </c>
      <c r="L57" s="173">
        <v>46158</v>
      </c>
    </row>
    <row r="58" spans="1:13" s="13" customFormat="1" ht="13.2" customHeight="1" x14ac:dyDescent="0.25">
      <c r="A58" s="179"/>
      <c r="B58" s="180"/>
      <c r="C58" s="10">
        <f>C103+1</f>
        <v>13</v>
      </c>
      <c r="D58" s="10">
        <f>E172+1</f>
        <v>9</v>
      </c>
      <c r="E58" s="10">
        <f>F70+1</f>
        <v>10</v>
      </c>
      <c r="F58" s="10">
        <f>J79+1</f>
        <v>9</v>
      </c>
      <c r="G58" s="10">
        <f>H67+1</f>
        <v>7</v>
      </c>
      <c r="H58" s="10">
        <f>H79+1</f>
        <v>9</v>
      </c>
      <c r="J58" s="169">
        <f>J76+1</f>
        <v>9</v>
      </c>
      <c r="L58" s="173"/>
    </row>
    <row r="59" spans="1:13" s="13" customFormat="1" ht="12.6" customHeight="1" x14ac:dyDescent="0.25">
      <c r="A59" s="177">
        <v>115</v>
      </c>
      <c r="B59" s="180">
        <v>20</v>
      </c>
      <c r="C59" s="14">
        <f>A59-A92-1</f>
        <v>10</v>
      </c>
      <c r="D59" s="14">
        <f>A59-A161-1</f>
        <v>33</v>
      </c>
      <c r="E59" s="14">
        <f>A59-A122-1</f>
        <v>20</v>
      </c>
      <c r="F59" s="14">
        <f>A59-A110-1</f>
        <v>16</v>
      </c>
      <c r="G59" s="14">
        <f>A59-A74-1</f>
        <v>4</v>
      </c>
      <c r="H59" s="14">
        <f>A59-A92-1</f>
        <v>10</v>
      </c>
      <c r="J59" s="14">
        <f>A59-A89-1</f>
        <v>9</v>
      </c>
      <c r="L59" s="15"/>
    </row>
    <row r="60" spans="1:13" s="13" customFormat="1" ht="12.6" customHeight="1" x14ac:dyDescent="0.25">
      <c r="A60" s="178"/>
      <c r="B60" s="180"/>
      <c r="C60" s="114">
        <v>6</v>
      </c>
      <c r="D60" s="115">
        <v>39</v>
      </c>
      <c r="E60" s="115">
        <v>41</v>
      </c>
      <c r="F60" s="115">
        <v>59</v>
      </c>
      <c r="G60" s="115">
        <v>70</v>
      </c>
      <c r="H60" s="115">
        <v>89</v>
      </c>
      <c r="J60" s="115">
        <v>21</v>
      </c>
      <c r="L60" s="173">
        <v>46155</v>
      </c>
    </row>
    <row r="61" spans="1:13" s="13" customFormat="1" ht="13.2" customHeight="1" x14ac:dyDescent="0.25">
      <c r="A61" s="179"/>
      <c r="B61" s="180"/>
      <c r="C61" s="10">
        <f>D94+1</f>
        <v>15</v>
      </c>
      <c r="D61" s="10">
        <f>G163+1</f>
        <v>11</v>
      </c>
      <c r="E61" s="10">
        <f>F124+1</f>
        <v>13</v>
      </c>
      <c r="F61" s="10">
        <f>F112+1</f>
        <v>8</v>
      </c>
      <c r="G61" s="10">
        <f>G76+1</f>
        <v>10</v>
      </c>
      <c r="H61" s="10">
        <f>J94+1</f>
        <v>10</v>
      </c>
      <c r="J61" s="169">
        <f>J91+1</f>
        <v>6</v>
      </c>
      <c r="L61" s="173"/>
    </row>
    <row r="62" spans="1:13" s="13" customFormat="1" ht="12.6" customHeight="1" x14ac:dyDescent="0.25">
      <c r="A62" s="177">
        <v>114</v>
      </c>
      <c r="B62" s="180">
        <v>21</v>
      </c>
      <c r="C62" s="14">
        <f>A62-A68-1</f>
        <v>1</v>
      </c>
      <c r="D62" s="14">
        <f>A62-A218-1</f>
        <v>51</v>
      </c>
      <c r="E62" s="14">
        <f>A62-A77-1</f>
        <v>4</v>
      </c>
      <c r="F62" s="14">
        <f>A62-A86-1</f>
        <v>7</v>
      </c>
      <c r="G62" s="14">
        <f>A62-A65-1</f>
        <v>0</v>
      </c>
      <c r="H62" s="14">
        <f>A62-A80-1</f>
        <v>5</v>
      </c>
      <c r="J62" s="14">
        <f>A62-A98-1</f>
        <v>11</v>
      </c>
      <c r="L62" s="15"/>
      <c r="M62" s="146"/>
    </row>
    <row r="63" spans="1:13" s="13" customFormat="1" ht="12.6" customHeight="1" x14ac:dyDescent="0.25">
      <c r="A63" s="178"/>
      <c r="B63" s="180"/>
      <c r="C63" s="114">
        <v>18</v>
      </c>
      <c r="D63" s="115">
        <v>36</v>
      </c>
      <c r="E63" s="115">
        <v>38</v>
      </c>
      <c r="F63" s="115">
        <v>48</v>
      </c>
      <c r="G63" s="115">
        <v>53</v>
      </c>
      <c r="H63" s="115">
        <v>81</v>
      </c>
      <c r="J63" s="115">
        <v>74</v>
      </c>
      <c r="L63" s="173">
        <v>46153</v>
      </c>
      <c r="M63" s="146"/>
    </row>
    <row r="64" spans="1:13" s="13" customFormat="1" ht="13.2" customHeight="1" x14ac:dyDescent="0.25">
      <c r="A64" s="179"/>
      <c r="B64" s="180"/>
      <c r="C64" s="10">
        <f>C70+1</f>
        <v>9</v>
      </c>
      <c r="D64" s="10">
        <f>J220+1</f>
        <v>10</v>
      </c>
      <c r="E64" s="10">
        <f>C79+1</f>
        <v>12</v>
      </c>
      <c r="F64" s="10">
        <f>F88+1</f>
        <v>11</v>
      </c>
      <c r="G64" s="10">
        <f>F67+1</f>
        <v>12</v>
      </c>
      <c r="H64" s="10">
        <f>H82+1</f>
        <v>8</v>
      </c>
      <c r="J64" s="169">
        <f>J100+1</f>
        <v>15</v>
      </c>
      <c r="L64" s="173"/>
      <c r="M64" s="146"/>
    </row>
    <row r="65" spans="1:13" s="13" customFormat="1" ht="12.6" customHeight="1" x14ac:dyDescent="0.25">
      <c r="A65" s="177">
        <v>113</v>
      </c>
      <c r="B65" s="180">
        <v>22</v>
      </c>
      <c r="C65" s="14">
        <f>A65-A86-1</f>
        <v>6</v>
      </c>
      <c r="D65" s="14">
        <f>A65-A230-1</f>
        <v>54</v>
      </c>
      <c r="E65" s="14">
        <f>A65-A89-1</f>
        <v>7</v>
      </c>
      <c r="F65" s="14">
        <f>A65-A89-1</f>
        <v>7</v>
      </c>
      <c r="G65" s="14">
        <f>A65-A68-1</f>
        <v>0</v>
      </c>
      <c r="H65" s="14">
        <f>A65-A176-1</f>
        <v>36</v>
      </c>
      <c r="J65" s="14">
        <f>A65-A83-1</f>
        <v>5</v>
      </c>
      <c r="L65" s="15"/>
      <c r="M65" s="146"/>
    </row>
    <row r="66" spans="1:13" s="13" customFormat="1" ht="12.6" customHeight="1" x14ac:dyDescent="0.25">
      <c r="A66" s="178"/>
      <c r="B66" s="180"/>
      <c r="C66" s="114">
        <v>17</v>
      </c>
      <c r="D66" s="115">
        <v>25</v>
      </c>
      <c r="E66" s="115">
        <v>28</v>
      </c>
      <c r="F66" s="115">
        <v>53</v>
      </c>
      <c r="G66" s="115">
        <v>72</v>
      </c>
      <c r="H66" s="115">
        <v>79</v>
      </c>
      <c r="J66" s="115">
        <v>61</v>
      </c>
      <c r="L66" s="173">
        <v>46151</v>
      </c>
      <c r="M66" s="146"/>
    </row>
    <row r="67" spans="1:13" s="13" customFormat="1" ht="13.2" customHeight="1" x14ac:dyDescent="0.25">
      <c r="A67" s="179"/>
      <c r="B67" s="180"/>
      <c r="C67" s="10">
        <f>D88+1</f>
        <v>7</v>
      </c>
      <c r="D67" s="10">
        <f>F232+1</f>
        <v>5</v>
      </c>
      <c r="E67" s="10">
        <f>C91+1</f>
        <v>7</v>
      </c>
      <c r="F67" s="10">
        <f>E91+1</f>
        <v>11</v>
      </c>
      <c r="G67" s="10">
        <f>G70+1</f>
        <v>11</v>
      </c>
      <c r="H67" s="10">
        <f>H178+1</f>
        <v>6</v>
      </c>
      <c r="J67" s="169">
        <f>J85+2</f>
        <v>10</v>
      </c>
      <c r="L67" s="173"/>
      <c r="M67" s="146"/>
    </row>
    <row r="68" spans="1:13" s="13" customFormat="1" ht="12.6" customHeight="1" x14ac:dyDescent="0.25">
      <c r="A68" s="177">
        <v>112</v>
      </c>
      <c r="B68" s="180">
        <v>23</v>
      </c>
      <c r="C68" s="14">
        <f>A68-A152-1</f>
        <v>27</v>
      </c>
      <c r="D68" s="14">
        <f>A68-A101-1</f>
        <v>10</v>
      </c>
      <c r="E68" s="14">
        <f>A68-A101-1</f>
        <v>10</v>
      </c>
      <c r="F68" s="14">
        <f>A68-A107-1</f>
        <v>12</v>
      </c>
      <c r="G68" s="14">
        <f>A68-A110-1</f>
        <v>13</v>
      </c>
      <c r="H68" s="14">
        <f>A68-A71-1</f>
        <v>0</v>
      </c>
      <c r="J68" s="14">
        <f>A68-A107-1</f>
        <v>12</v>
      </c>
      <c r="L68" s="15"/>
      <c r="M68" s="146"/>
    </row>
    <row r="69" spans="1:13" s="13" customFormat="1" ht="12.6" customHeight="1" x14ac:dyDescent="0.25">
      <c r="A69" s="178"/>
      <c r="B69" s="180"/>
      <c r="C69" s="114">
        <v>18</v>
      </c>
      <c r="D69" s="115">
        <v>30</v>
      </c>
      <c r="E69" s="115">
        <v>50</v>
      </c>
      <c r="F69" s="115">
        <v>55</v>
      </c>
      <c r="G69" s="115">
        <v>72</v>
      </c>
      <c r="H69" s="115">
        <v>82</v>
      </c>
      <c r="J69" s="115">
        <v>40</v>
      </c>
      <c r="L69" s="173">
        <v>46148</v>
      </c>
      <c r="M69" s="146"/>
    </row>
    <row r="70" spans="1:13" s="13" customFormat="1" ht="13.2" customHeight="1" x14ac:dyDescent="0.25">
      <c r="A70" s="179"/>
      <c r="B70" s="180"/>
      <c r="C70" s="10">
        <f>C154+1</f>
        <v>8</v>
      </c>
      <c r="D70" s="10">
        <f>E103+1</f>
        <v>8</v>
      </c>
      <c r="E70" s="10">
        <f>G103+1</f>
        <v>11</v>
      </c>
      <c r="F70" s="10">
        <f>F109+1</f>
        <v>9</v>
      </c>
      <c r="G70" s="10">
        <f>G112+1</f>
        <v>10</v>
      </c>
      <c r="H70" s="10">
        <f>H73+1</f>
        <v>14</v>
      </c>
      <c r="J70" s="169">
        <f>C109+1</f>
        <v>12</v>
      </c>
      <c r="L70" s="173"/>
      <c r="M70" s="146"/>
    </row>
    <row r="71" spans="1:13" s="13" customFormat="1" ht="12.6" customHeight="1" x14ac:dyDescent="0.25">
      <c r="A71" s="177">
        <v>111</v>
      </c>
      <c r="B71" s="180">
        <v>24</v>
      </c>
      <c r="C71" s="14">
        <f>A71-A119-1</f>
        <v>15</v>
      </c>
      <c r="D71" s="14">
        <f>A71-A86-1</f>
        <v>4</v>
      </c>
      <c r="E71" s="14">
        <f>A71-A80-1</f>
        <v>2</v>
      </c>
      <c r="F71" s="14">
        <f>A71-A74-1</f>
        <v>0</v>
      </c>
      <c r="G71" s="14">
        <f>A71-A149-1</f>
        <v>25</v>
      </c>
      <c r="H71" s="14">
        <f>A71-A110-1</f>
        <v>12</v>
      </c>
      <c r="J71" s="14">
        <f>A71-A164-1</f>
        <v>30</v>
      </c>
      <c r="L71" s="15"/>
      <c r="M71" s="146"/>
    </row>
    <row r="72" spans="1:13" s="13" customFormat="1" ht="12.6" customHeight="1" x14ac:dyDescent="0.25">
      <c r="A72" s="178"/>
      <c r="B72" s="180"/>
      <c r="C72" s="115">
        <v>7</v>
      </c>
      <c r="D72" s="115">
        <v>12</v>
      </c>
      <c r="E72" s="115">
        <v>35</v>
      </c>
      <c r="F72" s="115">
        <v>47</v>
      </c>
      <c r="G72" s="115">
        <v>60</v>
      </c>
      <c r="H72" s="115">
        <v>82</v>
      </c>
      <c r="J72" s="115">
        <v>15</v>
      </c>
      <c r="L72" s="173">
        <v>46146</v>
      </c>
      <c r="M72" s="146"/>
    </row>
    <row r="73" spans="1:13" s="13" customFormat="1" ht="13.2" customHeight="1" x14ac:dyDescent="0.25">
      <c r="A73" s="179"/>
      <c r="B73" s="180"/>
      <c r="C73" s="10">
        <f>E121+1</f>
        <v>12</v>
      </c>
      <c r="D73" s="10">
        <f>C88+1</f>
        <v>12</v>
      </c>
      <c r="E73" s="10">
        <f>G82+1</f>
        <v>11</v>
      </c>
      <c r="F73" s="10">
        <f>J76+1</f>
        <v>9</v>
      </c>
      <c r="G73" s="10">
        <f>E151+1</f>
        <v>9</v>
      </c>
      <c r="H73" s="10">
        <f>H112+1</f>
        <v>13</v>
      </c>
      <c r="J73" s="169">
        <f>J166+1</f>
        <v>7</v>
      </c>
      <c r="L73" s="173"/>
      <c r="M73" s="146"/>
    </row>
    <row r="74" spans="1:13" s="13" customFormat="1" ht="12.6" customHeight="1" x14ac:dyDescent="0.25">
      <c r="A74" s="177">
        <v>110</v>
      </c>
      <c r="B74" s="180">
        <v>25</v>
      </c>
      <c r="C74" s="14">
        <f>A74-A92-1</f>
        <v>5</v>
      </c>
      <c r="D74" s="14">
        <f>A74-A101-1</f>
        <v>8</v>
      </c>
      <c r="E74" s="14">
        <f>A74-A104-1</f>
        <v>9</v>
      </c>
      <c r="F74" s="14">
        <f>A74-A77-1</f>
        <v>0</v>
      </c>
      <c r="G74" s="14">
        <f>A74-A161-1</f>
        <v>28</v>
      </c>
      <c r="H74" s="14">
        <f>A74-A104-1</f>
        <v>9</v>
      </c>
      <c r="J74" s="14">
        <f>A74-A128-1</f>
        <v>17</v>
      </c>
      <c r="L74" s="15"/>
      <c r="M74" s="146"/>
    </row>
    <row r="75" spans="1:13" s="13" customFormat="1" ht="12.6" customHeight="1" x14ac:dyDescent="0.25">
      <c r="A75" s="178"/>
      <c r="B75" s="180"/>
      <c r="C75" s="114">
        <v>3</v>
      </c>
      <c r="D75" s="115">
        <v>37</v>
      </c>
      <c r="E75" s="115">
        <v>62</v>
      </c>
      <c r="F75" s="115">
        <v>64</v>
      </c>
      <c r="G75" s="115">
        <v>70</v>
      </c>
      <c r="H75" s="115">
        <v>87</v>
      </c>
      <c r="J75" s="115">
        <v>47</v>
      </c>
      <c r="L75" s="173">
        <v>46144</v>
      </c>
      <c r="M75" s="146"/>
    </row>
    <row r="76" spans="1:13" s="13" customFormat="1" ht="13.2" customHeight="1" x14ac:dyDescent="0.25">
      <c r="A76" s="179"/>
      <c r="B76" s="180"/>
      <c r="C76" s="10">
        <f>C94+1</f>
        <v>9</v>
      </c>
      <c r="D76" s="10">
        <f>J103+1</f>
        <v>8</v>
      </c>
      <c r="E76" s="10">
        <f>G106+1</f>
        <v>13</v>
      </c>
      <c r="F76" s="10">
        <f>D79+1</f>
        <v>9</v>
      </c>
      <c r="G76" s="10">
        <f>J163+1</f>
        <v>9</v>
      </c>
      <c r="H76" s="10">
        <f>J106+1</f>
        <v>10</v>
      </c>
      <c r="J76" s="169">
        <f>F130+1</f>
        <v>8</v>
      </c>
      <c r="L76" s="173"/>
      <c r="M76" s="146"/>
    </row>
    <row r="77" spans="1:13" s="13" customFormat="1" ht="12.6" customHeight="1" x14ac:dyDescent="0.25">
      <c r="A77" s="177">
        <v>109</v>
      </c>
      <c r="B77" s="180">
        <v>26</v>
      </c>
      <c r="C77" s="14">
        <f>A77-A86-1</f>
        <v>2</v>
      </c>
      <c r="D77" s="14">
        <f>A77-A83-1</f>
        <v>1</v>
      </c>
      <c r="E77" s="14">
        <f>A77-A86-1</f>
        <v>2</v>
      </c>
      <c r="F77" s="14">
        <f>A77-A89-1</f>
        <v>3</v>
      </c>
      <c r="G77" s="14">
        <f>A77-A86-1</f>
        <v>2</v>
      </c>
      <c r="H77" s="14">
        <f>A77-A89-1</f>
        <v>3</v>
      </c>
      <c r="J77" s="14">
        <f>A77-A176-1</f>
        <v>32</v>
      </c>
      <c r="L77" s="15"/>
    </row>
    <row r="78" spans="1:13" s="13" customFormat="1" ht="12.6" customHeight="1" x14ac:dyDescent="0.25">
      <c r="A78" s="178"/>
      <c r="B78" s="180"/>
      <c r="C78" s="114">
        <v>38</v>
      </c>
      <c r="D78" s="115">
        <v>64</v>
      </c>
      <c r="E78" s="115">
        <v>68</v>
      </c>
      <c r="F78" s="115">
        <v>78</v>
      </c>
      <c r="G78" s="115">
        <v>84</v>
      </c>
      <c r="H78" s="115">
        <v>88</v>
      </c>
      <c r="J78" s="115">
        <v>73</v>
      </c>
      <c r="L78" s="173">
        <v>46141</v>
      </c>
    </row>
    <row r="79" spans="1:13" s="13" customFormat="1" ht="13.2" customHeight="1" x14ac:dyDescent="0.25">
      <c r="A79" s="179"/>
      <c r="B79" s="180"/>
      <c r="C79" s="10">
        <f>E88+1</f>
        <v>11</v>
      </c>
      <c r="D79" s="10">
        <f>F85+1</f>
        <v>8</v>
      </c>
      <c r="E79" s="10">
        <f>H88+1</f>
        <v>12</v>
      </c>
      <c r="F79" s="10">
        <f>F91+1</f>
        <v>7</v>
      </c>
      <c r="G79" s="10">
        <f>J88+1</f>
        <v>5</v>
      </c>
      <c r="H79" s="10">
        <f>H91+1</f>
        <v>8</v>
      </c>
      <c r="J79" s="169">
        <f>F178+1</f>
        <v>8</v>
      </c>
      <c r="L79" s="173"/>
    </row>
    <row r="80" spans="1:13" s="13" customFormat="1" ht="12.6" customHeight="1" x14ac:dyDescent="0.25">
      <c r="A80" s="177">
        <v>108</v>
      </c>
      <c r="B80" s="180">
        <v>27</v>
      </c>
      <c r="C80" s="14">
        <f>A80-A161-1</f>
        <v>26</v>
      </c>
      <c r="D80" s="14">
        <f>A80-A110-1</f>
        <v>9</v>
      </c>
      <c r="E80" s="14">
        <f>A80-A83-1</f>
        <v>0</v>
      </c>
      <c r="F80" s="14">
        <f>A80-A176-1</f>
        <v>31</v>
      </c>
      <c r="G80" s="14">
        <f>A80-A95-1</f>
        <v>4</v>
      </c>
      <c r="H80" s="14">
        <f>A80-A98-1</f>
        <v>5</v>
      </c>
      <c r="J80" s="14">
        <f>A80-A110-1</f>
        <v>9</v>
      </c>
      <c r="L80" s="15"/>
    </row>
    <row r="81" spans="1:12" s="13" customFormat="1" ht="12.6" customHeight="1" x14ac:dyDescent="0.25">
      <c r="A81" s="178"/>
      <c r="B81" s="180"/>
      <c r="C81" s="114">
        <v>11</v>
      </c>
      <c r="D81" s="115">
        <v>19</v>
      </c>
      <c r="E81" s="115">
        <v>27</v>
      </c>
      <c r="F81" s="115">
        <v>34</v>
      </c>
      <c r="G81" s="115">
        <v>35</v>
      </c>
      <c r="H81" s="115">
        <v>81</v>
      </c>
      <c r="J81" s="115">
        <v>29</v>
      </c>
      <c r="L81" s="173">
        <v>46139</v>
      </c>
    </row>
    <row r="82" spans="1:12" s="13" customFormat="1" ht="13.2" customHeight="1" x14ac:dyDescent="0.25">
      <c r="A82" s="179"/>
      <c r="B82" s="180"/>
      <c r="C82" s="10">
        <f>F163+1</f>
        <v>3</v>
      </c>
      <c r="D82" s="10">
        <f>C112+1</f>
        <v>9</v>
      </c>
      <c r="E82" s="10">
        <f>D85+1</f>
        <v>8</v>
      </c>
      <c r="F82" s="10">
        <f>D166+1</f>
        <v>8</v>
      </c>
      <c r="G82" s="10">
        <f>D97+1</f>
        <v>10</v>
      </c>
      <c r="H82" s="10">
        <f>H100+1</f>
        <v>7</v>
      </c>
      <c r="J82" s="169">
        <f>D112+1</f>
        <v>15</v>
      </c>
      <c r="L82" s="173"/>
    </row>
    <row r="83" spans="1:12" s="13" customFormat="1" ht="12.6" customHeight="1" x14ac:dyDescent="0.25">
      <c r="A83" s="177">
        <v>107</v>
      </c>
      <c r="B83" s="180">
        <v>28</v>
      </c>
      <c r="C83" s="14">
        <f>A83-A128-1</f>
        <v>14</v>
      </c>
      <c r="D83" s="14">
        <f>A83-A110-1</f>
        <v>8</v>
      </c>
      <c r="E83" s="14">
        <f>A83-A89-1</f>
        <v>1</v>
      </c>
      <c r="F83" s="14">
        <f>A83-A86-1</f>
        <v>0</v>
      </c>
      <c r="G83" s="14">
        <f>A83-A92-1</f>
        <v>2</v>
      </c>
      <c r="H83" s="14">
        <f>A83-A122-1</f>
        <v>12</v>
      </c>
      <c r="J83" s="14">
        <f>A83-A155-1</f>
        <v>23</v>
      </c>
      <c r="L83" s="15"/>
    </row>
    <row r="84" spans="1:12" s="13" customFormat="1" ht="12.6" customHeight="1" x14ac:dyDescent="0.25">
      <c r="A84" s="178"/>
      <c r="B84" s="180"/>
      <c r="C84" s="114">
        <v>10</v>
      </c>
      <c r="D84" s="115">
        <v>27</v>
      </c>
      <c r="E84" s="115">
        <v>63</v>
      </c>
      <c r="F84" s="115">
        <v>64</v>
      </c>
      <c r="G84" s="115">
        <v>70</v>
      </c>
      <c r="H84" s="115">
        <v>90</v>
      </c>
      <c r="J84" s="115">
        <v>61</v>
      </c>
      <c r="L84" s="173">
        <v>46137</v>
      </c>
    </row>
    <row r="85" spans="1:12" s="13" customFormat="1" ht="13.2" customHeight="1" x14ac:dyDescent="0.25">
      <c r="A85" s="179"/>
      <c r="B85" s="180"/>
      <c r="C85" s="10">
        <f>J112+1</f>
        <v>12</v>
      </c>
      <c r="D85" s="10">
        <f>F118+1</f>
        <v>7</v>
      </c>
      <c r="E85" s="10">
        <f>E91+1</f>
        <v>11</v>
      </c>
      <c r="F85" s="10">
        <f>F91+1</f>
        <v>7</v>
      </c>
      <c r="G85" s="10">
        <f>G94+1</f>
        <v>7</v>
      </c>
      <c r="H85" s="10">
        <f>H124+1</f>
        <v>6</v>
      </c>
      <c r="J85" s="169">
        <f>F136+1</f>
        <v>8</v>
      </c>
      <c r="L85" s="173"/>
    </row>
    <row r="86" spans="1:12" s="13" customFormat="1" ht="12.6" customHeight="1" x14ac:dyDescent="0.25">
      <c r="A86" s="177">
        <v>106</v>
      </c>
      <c r="B86" s="180">
        <v>29</v>
      </c>
      <c r="C86" s="14">
        <f>A86-A113-1</f>
        <v>8</v>
      </c>
      <c r="D86" s="14">
        <f>A86-A119-1</f>
        <v>10</v>
      </c>
      <c r="E86" s="14">
        <f>A86-A92-1</f>
        <v>1</v>
      </c>
      <c r="F86" s="14">
        <f>A86-A92-1</f>
        <v>1</v>
      </c>
      <c r="G86" s="14">
        <f>A86-A95-1</f>
        <v>2</v>
      </c>
      <c r="H86" s="14">
        <f>A86-A125-1</f>
        <v>12</v>
      </c>
      <c r="J86" s="14">
        <f>A86-A158-1</f>
        <v>23</v>
      </c>
      <c r="L86" s="15"/>
    </row>
    <row r="87" spans="1:12" s="13" customFormat="1" ht="12.6" customHeight="1" x14ac:dyDescent="0.25">
      <c r="A87" s="178"/>
      <c r="B87" s="180"/>
      <c r="C87" s="114">
        <v>12</v>
      </c>
      <c r="D87" s="115">
        <v>17</v>
      </c>
      <c r="E87" s="115">
        <v>38</v>
      </c>
      <c r="F87" s="115">
        <v>48</v>
      </c>
      <c r="G87" s="115">
        <v>64</v>
      </c>
      <c r="H87" s="115">
        <v>68</v>
      </c>
      <c r="J87" s="115">
        <v>84</v>
      </c>
      <c r="L87" s="173">
        <v>46134</v>
      </c>
    </row>
    <row r="88" spans="1:12" s="13" customFormat="1" ht="13.2" customHeight="1" x14ac:dyDescent="0.25">
      <c r="A88" s="179"/>
      <c r="B88" s="180"/>
      <c r="C88" s="10">
        <f>J115+1</f>
        <v>11</v>
      </c>
      <c r="D88" s="10">
        <f>F121+1</f>
        <v>6</v>
      </c>
      <c r="E88" s="10">
        <f>E94+1</f>
        <v>10</v>
      </c>
      <c r="F88" s="10">
        <f>F94+1</f>
        <v>10</v>
      </c>
      <c r="G88" s="10">
        <f>G97+1</f>
        <v>10</v>
      </c>
      <c r="H88" s="10">
        <f>H127+1</f>
        <v>11</v>
      </c>
      <c r="J88" s="169">
        <f>H160+1</f>
        <v>4</v>
      </c>
      <c r="L88" s="173"/>
    </row>
    <row r="89" spans="1:12" s="13" customFormat="1" ht="12.6" customHeight="1" x14ac:dyDescent="0.25">
      <c r="A89" s="177">
        <v>105</v>
      </c>
      <c r="B89" s="180">
        <v>30</v>
      </c>
      <c r="C89" s="14">
        <f>A89-A125-1</f>
        <v>11</v>
      </c>
      <c r="D89" s="14">
        <f>A89-A113-1</f>
        <v>7</v>
      </c>
      <c r="E89" s="14">
        <f>A89-A131-1</f>
        <v>13</v>
      </c>
      <c r="F89" s="14">
        <f>A89-A122-1</f>
        <v>10</v>
      </c>
      <c r="G89" s="14">
        <f>A89-A134-1</f>
        <v>14</v>
      </c>
      <c r="H89" s="14">
        <f>A89-A149-1</f>
        <v>19</v>
      </c>
      <c r="J89" s="14">
        <f>A89-A149-1</f>
        <v>19</v>
      </c>
      <c r="L89" s="15"/>
    </row>
    <row r="90" spans="1:12" s="13" customFormat="1" ht="12.6" customHeight="1" x14ac:dyDescent="0.25">
      <c r="A90" s="178"/>
      <c r="B90" s="180"/>
      <c r="C90" s="114">
        <v>28</v>
      </c>
      <c r="D90" s="115">
        <v>33</v>
      </c>
      <c r="E90" s="115">
        <v>53</v>
      </c>
      <c r="F90" s="115">
        <v>78</v>
      </c>
      <c r="G90" s="115">
        <v>83</v>
      </c>
      <c r="H90" s="115">
        <v>88</v>
      </c>
      <c r="J90" s="115">
        <v>21</v>
      </c>
      <c r="L90" s="173">
        <v>46132</v>
      </c>
    </row>
    <row r="91" spans="1:12" s="13" customFormat="1" ht="13.2" customHeight="1" x14ac:dyDescent="0.25">
      <c r="A91" s="179"/>
      <c r="B91" s="180"/>
      <c r="C91" s="10">
        <f>D127+1</f>
        <v>6</v>
      </c>
      <c r="D91" s="10">
        <f>E115+1</f>
        <v>12</v>
      </c>
      <c r="E91" s="10">
        <f>F133+1</f>
        <v>10</v>
      </c>
      <c r="F91" s="10">
        <f>H124+1</f>
        <v>6</v>
      </c>
      <c r="G91" s="10">
        <f>H136+1</f>
        <v>8</v>
      </c>
      <c r="H91" s="10">
        <f>H151+1</f>
        <v>7</v>
      </c>
      <c r="J91" s="169">
        <f>J154+1</f>
        <v>5</v>
      </c>
      <c r="L91" s="173"/>
    </row>
    <row r="92" spans="1:12" s="13" customFormat="1" ht="12.6" customHeight="1" x14ac:dyDescent="0.25">
      <c r="A92" s="177">
        <v>104</v>
      </c>
      <c r="B92" s="180">
        <v>31</v>
      </c>
      <c r="C92" s="14">
        <f>A92-A98-1</f>
        <v>1</v>
      </c>
      <c r="D92" s="14">
        <f>A92-A128-1</f>
        <v>11</v>
      </c>
      <c r="E92" s="14">
        <f>A92-A134-1</f>
        <v>13</v>
      </c>
      <c r="F92" s="14">
        <f>A92-A95-1</f>
        <v>0</v>
      </c>
      <c r="G92" s="14">
        <f>A92-A116-1</f>
        <v>7</v>
      </c>
      <c r="H92" s="14">
        <f>A92-A107-1</f>
        <v>4</v>
      </c>
      <c r="J92" s="14">
        <f>A92-A128-1</f>
        <v>11</v>
      </c>
      <c r="L92" s="15"/>
    </row>
    <row r="93" spans="1:12" s="13" customFormat="1" ht="12.6" customHeight="1" x14ac:dyDescent="0.25">
      <c r="A93" s="178"/>
      <c r="B93" s="180"/>
      <c r="C93" s="114">
        <v>3</v>
      </c>
      <c r="D93" s="115">
        <v>6</v>
      </c>
      <c r="E93" s="115">
        <v>38</v>
      </c>
      <c r="F93" s="115">
        <v>48</v>
      </c>
      <c r="G93" s="115">
        <v>66</v>
      </c>
      <c r="H93" s="115">
        <v>69</v>
      </c>
      <c r="J93" s="115">
        <v>89</v>
      </c>
      <c r="L93" s="173">
        <v>46130</v>
      </c>
    </row>
    <row r="94" spans="1:12" s="13" customFormat="1" ht="13.2" customHeight="1" x14ac:dyDescent="0.25">
      <c r="A94" s="179"/>
      <c r="B94" s="180"/>
      <c r="C94" s="10">
        <f>C100+1</f>
        <v>8</v>
      </c>
      <c r="D94" s="10">
        <f>C130</f>
        <v>14</v>
      </c>
      <c r="E94" s="10">
        <f>F97+1</f>
        <v>9</v>
      </c>
      <c r="F94" s="10">
        <f>E97+1</f>
        <v>9</v>
      </c>
      <c r="G94" s="10">
        <f>G118+1</f>
        <v>6</v>
      </c>
      <c r="H94" s="10">
        <f>G109+1</f>
        <v>6</v>
      </c>
      <c r="J94" s="169">
        <f>J130+1</f>
        <v>9</v>
      </c>
      <c r="L94" s="173"/>
    </row>
    <row r="95" spans="1:12" s="13" customFormat="1" ht="12.6" customHeight="1" x14ac:dyDescent="0.25">
      <c r="A95" s="177">
        <v>103</v>
      </c>
      <c r="B95" s="180">
        <v>32</v>
      </c>
      <c r="C95" s="14">
        <f>A95-A116-1</f>
        <v>6</v>
      </c>
      <c r="D95" s="14">
        <f>A95-A131-1</f>
        <v>11</v>
      </c>
      <c r="E95" s="14">
        <f>A95-A98-1</f>
        <v>0</v>
      </c>
      <c r="F95" s="14">
        <f>A95-A113-1</f>
        <v>5</v>
      </c>
      <c r="G95" s="14">
        <f>A95-A113-1</f>
        <v>5</v>
      </c>
      <c r="H95" s="14">
        <f>A95-A98-1</f>
        <v>0</v>
      </c>
      <c r="J95" s="14">
        <f>A95-A122-1</f>
        <v>8</v>
      </c>
      <c r="L95" s="15"/>
    </row>
    <row r="96" spans="1:12" s="13" customFormat="1" ht="12.6" customHeight="1" x14ac:dyDescent="0.25">
      <c r="A96" s="178"/>
      <c r="B96" s="180"/>
      <c r="C96" s="114">
        <v>4</v>
      </c>
      <c r="D96" s="115">
        <v>35</v>
      </c>
      <c r="E96" s="115">
        <v>48</v>
      </c>
      <c r="F96" s="115">
        <v>56</v>
      </c>
      <c r="G96" s="115">
        <v>64</v>
      </c>
      <c r="H96" s="115">
        <v>76</v>
      </c>
      <c r="J96" s="115">
        <v>46</v>
      </c>
      <c r="L96" s="173">
        <v>46127</v>
      </c>
    </row>
    <row r="97" spans="1:13" s="13" customFormat="1" ht="13.2" customHeight="1" x14ac:dyDescent="0.25">
      <c r="A97" s="179"/>
      <c r="B97" s="180"/>
      <c r="C97" s="10">
        <f>C118+1</f>
        <v>12</v>
      </c>
      <c r="D97" s="10">
        <f>E133+1</f>
        <v>9</v>
      </c>
      <c r="E97" s="10">
        <f>F100+1</f>
        <v>8</v>
      </c>
      <c r="F97" s="10">
        <f>F115+1</f>
        <v>8</v>
      </c>
      <c r="G97" s="10">
        <f>G115+1</f>
        <v>9</v>
      </c>
      <c r="H97" s="10">
        <f>G100+1</f>
        <v>10</v>
      </c>
      <c r="J97" s="169">
        <f>J124+1</f>
        <v>7</v>
      </c>
      <c r="L97" s="173"/>
    </row>
    <row r="98" spans="1:13" s="13" customFormat="1" ht="12.6" customHeight="1" x14ac:dyDescent="0.25">
      <c r="A98" s="177">
        <v>102</v>
      </c>
      <c r="B98" s="180">
        <v>33</v>
      </c>
      <c r="C98" s="14">
        <f>A98-A170-1</f>
        <v>23</v>
      </c>
      <c r="D98" s="14">
        <f>A98-A104-1</f>
        <v>1</v>
      </c>
      <c r="E98" s="14">
        <f>A98-A125-1</f>
        <v>8</v>
      </c>
      <c r="F98" s="14">
        <f>A98-A116-1</f>
        <v>5</v>
      </c>
      <c r="G98" s="14">
        <f>A98-A116-1</f>
        <v>5</v>
      </c>
      <c r="H98" s="14">
        <f>A98-A134-1</f>
        <v>11</v>
      </c>
      <c r="J98" s="14">
        <f>A98-A125-1</f>
        <v>8</v>
      </c>
      <c r="L98" s="15"/>
    </row>
    <row r="99" spans="1:13" s="13" customFormat="1" ht="12.6" customHeight="1" x14ac:dyDescent="0.25">
      <c r="A99" s="178"/>
      <c r="B99" s="180"/>
      <c r="C99" s="114">
        <v>3</v>
      </c>
      <c r="D99" s="115">
        <v>13</v>
      </c>
      <c r="E99" s="115">
        <v>24</v>
      </c>
      <c r="F99" s="115">
        <v>48</v>
      </c>
      <c r="G99" s="115">
        <v>76</v>
      </c>
      <c r="H99" s="115">
        <v>81</v>
      </c>
      <c r="J99" s="115">
        <v>74</v>
      </c>
      <c r="L99" s="173">
        <v>46125</v>
      </c>
    </row>
    <row r="100" spans="1:13" s="13" customFormat="1" ht="13.2" customHeight="1" x14ac:dyDescent="0.25">
      <c r="A100" s="179"/>
      <c r="B100" s="180"/>
      <c r="C100" s="10">
        <f>D172+1</f>
        <v>7</v>
      </c>
      <c r="D100" s="10">
        <f>D106+1</f>
        <v>10</v>
      </c>
      <c r="E100" s="10">
        <f>J127+1</f>
        <v>13</v>
      </c>
      <c r="F100" s="10">
        <f>J118+1</f>
        <v>7</v>
      </c>
      <c r="G100" s="10">
        <f>H118+2</f>
        <v>9</v>
      </c>
      <c r="H100" s="10">
        <f>J136+1</f>
        <v>6</v>
      </c>
      <c r="J100" s="169">
        <f>H115+1</f>
        <v>14</v>
      </c>
      <c r="L100" s="173"/>
    </row>
    <row r="101" spans="1:13" s="13" customFormat="1" ht="12.6" customHeight="1" x14ac:dyDescent="0.25">
      <c r="A101" s="177">
        <v>101</v>
      </c>
      <c r="B101" s="180">
        <v>34</v>
      </c>
      <c r="C101" s="14">
        <f>A101-A155-1</f>
        <v>17</v>
      </c>
      <c r="D101" s="14">
        <f>A101-A113-1</f>
        <v>3</v>
      </c>
      <c r="E101" s="14">
        <f>A101-A182-1</f>
        <v>26</v>
      </c>
      <c r="F101" s="14">
        <f>A101-A125-1</f>
        <v>7</v>
      </c>
      <c r="G101" s="14">
        <f>A101-A107-1</f>
        <v>1</v>
      </c>
      <c r="H101" s="14">
        <f>A101-A140-1</f>
        <v>12</v>
      </c>
      <c r="J101" s="14">
        <f>A101-A179-1</f>
        <v>25</v>
      </c>
      <c r="L101" s="15"/>
    </row>
    <row r="102" spans="1:13" s="13" customFormat="1" ht="12.6" customHeight="1" x14ac:dyDescent="0.25">
      <c r="A102" s="178"/>
      <c r="B102" s="180"/>
      <c r="C102" s="114">
        <v>2</v>
      </c>
      <c r="D102" s="115">
        <v>9</v>
      </c>
      <c r="E102" s="115">
        <v>30</v>
      </c>
      <c r="F102" s="115">
        <v>45</v>
      </c>
      <c r="G102" s="115">
        <v>50</v>
      </c>
      <c r="H102" s="115">
        <v>52</v>
      </c>
      <c r="J102" s="115">
        <v>37</v>
      </c>
      <c r="L102" s="173">
        <v>46123</v>
      </c>
    </row>
    <row r="103" spans="1:13" s="13" customFormat="1" ht="13.2" customHeight="1" x14ac:dyDescent="0.25">
      <c r="A103" s="179"/>
      <c r="B103" s="180"/>
      <c r="C103" s="10">
        <f>C157+1</f>
        <v>12</v>
      </c>
      <c r="D103" s="10">
        <f>C115+1</f>
        <v>4</v>
      </c>
      <c r="E103" s="10">
        <f>D184+1</f>
        <v>7</v>
      </c>
      <c r="F103" s="10">
        <f>G127+1</f>
        <v>11</v>
      </c>
      <c r="G103" s="10">
        <f>E109+1</f>
        <v>10</v>
      </c>
      <c r="H103" s="10">
        <f>E142+1</f>
        <v>4</v>
      </c>
      <c r="J103" s="169">
        <v>7</v>
      </c>
      <c r="L103" s="173"/>
    </row>
    <row r="104" spans="1:13" s="13" customFormat="1" ht="12.6" customHeight="1" x14ac:dyDescent="0.25">
      <c r="A104" s="177">
        <v>100</v>
      </c>
      <c r="B104" s="180">
        <v>35</v>
      </c>
      <c r="C104" s="14">
        <f>A104-A119-1</f>
        <v>4</v>
      </c>
      <c r="D104" s="14">
        <f>A104-A128-1</f>
        <v>7</v>
      </c>
      <c r="E104" s="14">
        <f>A104-A128-1</f>
        <v>7</v>
      </c>
      <c r="F104" s="14">
        <f>A104-A110-1</f>
        <v>1</v>
      </c>
      <c r="G104" s="14">
        <f>A104-A107-1</f>
        <v>0</v>
      </c>
      <c r="H104" s="14">
        <f>A104-A146-1</f>
        <v>13</v>
      </c>
      <c r="J104" s="156">
        <f>A104-A143-1</f>
        <v>12</v>
      </c>
      <c r="L104" s="15"/>
      <c r="M104" s="20"/>
    </row>
    <row r="105" spans="1:13" s="13" customFormat="1" ht="12.6" customHeight="1" x14ac:dyDescent="0.25">
      <c r="A105" s="178"/>
      <c r="B105" s="180"/>
      <c r="C105" s="114">
        <v>5</v>
      </c>
      <c r="D105" s="115">
        <v>13</v>
      </c>
      <c r="E105" s="115">
        <v>26</v>
      </c>
      <c r="F105" s="115">
        <v>42</v>
      </c>
      <c r="G105" s="115">
        <v>62</v>
      </c>
      <c r="H105" s="115">
        <v>80</v>
      </c>
      <c r="J105" s="115">
        <v>87</v>
      </c>
      <c r="L105" s="173">
        <v>46120</v>
      </c>
      <c r="M105" s="20"/>
    </row>
    <row r="106" spans="1:13" s="13" customFormat="1" ht="13.2" customHeight="1" x14ac:dyDescent="0.25">
      <c r="A106" s="179"/>
      <c r="B106" s="180"/>
      <c r="C106" s="10">
        <f>D121+1</f>
        <v>10</v>
      </c>
      <c r="D106" s="10">
        <f>D130+1</f>
        <v>9</v>
      </c>
      <c r="E106" s="10">
        <f>E130+1</f>
        <v>8</v>
      </c>
      <c r="F106" s="10">
        <f>E112+1</f>
        <v>5</v>
      </c>
      <c r="G106" s="10">
        <f>J109+1</f>
        <v>12</v>
      </c>
      <c r="H106" s="10">
        <f>G148+1</f>
        <v>10</v>
      </c>
      <c r="J106" s="156">
        <f>J145+2</f>
        <v>9</v>
      </c>
      <c r="L106" s="173"/>
      <c r="M106" s="20"/>
    </row>
    <row r="107" spans="1:13" s="13" customFormat="1" ht="12.6" customHeight="1" x14ac:dyDescent="0.25">
      <c r="A107" s="177">
        <v>99</v>
      </c>
      <c r="B107" s="180">
        <v>36</v>
      </c>
      <c r="C107" s="14">
        <f>A107-A122-1</f>
        <v>4</v>
      </c>
      <c r="D107" s="14">
        <f>A107-A122-1</f>
        <v>4</v>
      </c>
      <c r="E107" s="14">
        <f>A107-A167-1</f>
        <v>19</v>
      </c>
      <c r="F107" s="14">
        <f>A107-A131-1</f>
        <v>7</v>
      </c>
      <c r="G107" s="14">
        <f>A107-A185-1</f>
        <v>25</v>
      </c>
      <c r="H107" s="14">
        <f>A107-A239-1</f>
        <v>43</v>
      </c>
      <c r="J107" s="156">
        <f>A107-A167-1</f>
        <v>19</v>
      </c>
      <c r="L107" s="15"/>
      <c r="M107" s="20"/>
    </row>
    <row r="108" spans="1:13" s="13" customFormat="1" ht="12.6" customHeight="1" x14ac:dyDescent="0.25">
      <c r="A108" s="178"/>
      <c r="B108" s="180"/>
      <c r="C108" s="114">
        <v>40</v>
      </c>
      <c r="D108" s="115">
        <v>43</v>
      </c>
      <c r="E108" s="115">
        <v>50</v>
      </c>
      <c r="F108" s="115">
        <v>55</v>
      </c>
      <c r="G108" s="115">
        <v>69</v>
      </c>
      <c r="H108" s="115">
        <v>75</v>
      </c>
      <c r="J108" s="115">
        <v>62</v>
      </c>
      <c r="L108" s="173">
        <v>46118</v>
      </c>
      <c r="M108" s="20"/>
    </row>
    <row r="109" spans="1:13" s="13" customFormat="1" ht="13.2" customHeight="1" x14ac:dyDescent="0.25">
      <c r="A109" s="179"/>
      <c r="B109" s="180"/>
      <c r="C109" s="10">
        <f>E124+1</f>
        <v>11</v>
      </c>
      <c r="D109" s="10">
        <f>G124+1</f>
        <v>9</v>
      </c>
      <c r="E109" s="10">
        <f>E169+1</f>
        <v>9</v>
      </c>
      <c r="F109" s="10">
        <f>G133+1</f>
        <v>8</v>
      </c>
      <c r="G109" s="10">
        <f>H187+2</f>
        <v>5</v>
      </c>
      <c r="H109" s="10">
        <v>6</v>
      </c>
      <c r="J109" s="157">
        <f>G169+1</f>
        <v>11</v>
      </c>
      <c r="L109" s="173"/>
      <c r="M109" s="20"/>
    </row>
    <row r="110" spans="1:13" s="13" customFormat="1" ht="12.6" customHeight="1" x14ac:dyDescent="0.25">
      <c r="A110" s="177">
        <v>98</v>
      </c>
      <c r="B110" s="180">
        <v>37</v>
      </c>
      <c r="C110" s="14">
        <f>A110-A122-1</f>
        <v>3</v>
      </c>
      <c r="D110" s="14">
        <f>A110-A113-1</f>
        <v>0</v>
      </c>
      <c r="E110" s="14">
        <f>A110-A155-1</f>
        <v>14</v>
      </c>
      <c r="F110" s="14">
        <f>A110-A191-1</f>
        <v>26</v>
      </c>
      <c r="G110" s="14">
        <f>A110-A119-1</f>
        <v>2</v>
      </c>
      <c r="H110" s="14">
        <f>A110-A146-1</f>
        <v>11</v>
      </c>
      <c r="J110" s="156">
        <f>A110-A158-1</f>
        <v>15</v>
      </c>
      <c r="L110" s="15"/>
      <c r="M110" s="20"/>
    </row>
    <row r="111" spans="1:13" s="13" customFormat="1" ht="12.6" customHeight="1" x14ac:dyDescent="0.25">
      <c r="A111" s="178"/>
      <c r="B111" s="180"/>
      <c r="C111" s="114">
        <v>19</v>
      </c>
      <c r="D111" s="115">
        <v>29</v>
      </c>
      <c r="E111" s="115">
        <v>42</v>
      </c>
      <c r="F111" s="115">
        <v>59</v>
      </c>
      <c r="G111" s="115">
        <v>72</v>
      </c>
      <c r="H111" s="115">
        <v>82</v>
      </c>
      <c r="J111" s="115">
        <v>27</v>
      </c>
      <c r="L111" s="173">
        <v>46116</v>
      </c>
      <c r="M111" s="20"/>
    </row>
    <row r="112" spans="1:13" s="13" customFormat="1" ht="13.2" customHeight="1" x14ac:dyDescent="0.25">
      <c r="A112" s="179"/>
      <c r="B112" s="180"/>
      <c r="C112" s="10">
        <f>D124+1</f>
        <v>8</v>
      </c>
      <c r="D112" s="10">
        <f>D115+1</f>
        <v>14</v>
      </c>
      <c r="E112" s="10">
        <f>J157+1</f>
        <v>4</v>
      </c>
      <c r="F112" s="10">
        <f>G193+1</f>
        <v>7</v>
      </c>
      <c r="G112" s="10">
        <f>H121+1</f>
        <v>9</v>
      </c>
      <c r="H112" s="10">
        <f>H148+1</f>
        <v>12</v>
      </c>
      <c r="J112" s="156">
        <f>E160+1</f>
        <v>11</v>
      </c>
      <c r="L112" s="173"/>
      <c r="M112" s="20"/>
    </row>
    <row r="113" spans="1:13" s="13" customFormat="1" ht="12.6" customHeight="1" x14ac:dyDescent="0.25">
      <c r="A113" s="177">
        <v>97</v>
      </c>
      <c r="B113" s="180">
        <v>38</v>
      </c>
      <c r="C113" s="14">
        <f>A113-A200-1</f>
        <v>28</v>
      </c>
      <c r="D113" s="14">
        <f>A113-A140-1</f>
        <v>8</v>
      </c>
      <c r="E113" s="14">
        <f>A113-A158-1</f>
        <v>14</v>
      </c>
      <c r="F113" s="14">
        <f>A113-A242-1</f>
        <v>42</v>
      </c>
      <c r="G113" s="14">
        <f>A113-A140-1</f>
        <v>8</v>
      </c>
      <c r="H113" s="14">
        <f>A113-A173-1</f>
        <v>19</v>
      </c>
      <c r="J113" s="156">
        <f>A113-A131-1</f>
        <v>5</v>
      </c>
      <c r="L113" s="15"/>
      <c r="M113" s="20"/>
    </row>
    <row r="114" spans="1:13" s="13" customFormat="1" ht="12.6" customHeight="1" x14ac:dyDescent="0.25">
      <c r="A114" s="178"/>
      <c r="B114" s="180"/>
      <c r="C114" s="114">
        <v>9</v>
      </c>
      <c r="D114" s="115">
        <v>29</v>
      </c>
      <c r="E114" s="115">
        <v>33</v>
      </c>
      <c r="F114" s="115">
        <v>56</v>
      </c>
      <c r="G114" s="115">
        <v>64</v>
      </c>
      <c r="H114" s="115">
        <v>74</v>
      </c>
      <c r="J114" s="115">
        <v>12</v>
      </c>
      <c r="L114" s="173">
        <v>46113</v>
      </c>
      <c r="M114" s="20"/>
    </row>
    <row r="115" spans="1:13" s="13" customFormat="1" ht="13.2" customHeight="1" x14ac:dyDescent="0.25">
      <c r="A115" s="179"/>
      <c r="B115" s="180"/>
      <c r="C115" s="10">
        <f>J202+1</f>
        <v>3</v>
      </c>
      <c r="D115" s="10">
        <f>D142+1</f>
        <v>13</v>
      </c>
      <c r="E115" s="10">
        <f>F160+1</f>
        <v>11</v>
      </c>
      <c r="F115" s="10">
        <f>G244+1</f>
        <v>7</v>
      </c>
      <c r="G115" s="10">
        <f>G142+1</f>
        <v>8</v>
      </c>
      <c r="H115" s="10">
        <f>G175+2</f>
        <v>13</v>
      </c>
      <c r="J115" s="156">
        <f>D133+1</f>
        <v>10</v>
      </c>
      <c r="L115" s="173"/>
      <c r="M115" s="20"/>
    </row>
    <row r="116" spans="1:13" s="13" customFormat="1" ht="12.6" customHeight="1" x14ac:dyDescent="0.25">
      <c r="A116" s="177">
        <v>96</v>
      </c>
      <c r="B116" s="180">
        <v>39</v>
      </c>
      <c r="C116" s="14">
        <f>A116-A119-1</f>
        <v>0</v>
      </c>
      <c r="D116" s="14">
        <f>A116-A191-1</f>
        <v>24</v>
      </c>
      <c r="E116" s="14">
        <f>A116-A134-1</f>
        <v>5</v>
      </c>
      <c r="F116" s="14">
        <f>A116-A119-1</f>
        <v>0</v>
      </c>
      <c r="G116" s="14">
        <f>A116-A164-1</f>
        <v>15</v>
      </c>
      <c r="H116" s="14">
        <f>A116-A173-1</f>
        <v>18</v>
      </c>
      <c r="J116" s="156">
        <f>A116-A155-1</f>
        <v>12</v>
      </c>
      <c r="L116" s="15"/>
      <c r="M116" s="20"/>
    </row>
    <row r="117" spans="1:13" s="13" customFormat="1" ht="12.6" customHeight="1" x14ac:dyDescent="0.25">
      <c r="A117" s="178"/>
      <c r="B117" s="180"/>
      <c r="C117" s="114">
        <v>4</v>
      </c>
      <c r="D117" s="115">
        <v>16</v>
      </c>
      <c r="E117" s="115">
        <v>23</v>
      </c>
      <c r="F117" s="115">
        <v>63</v>
      </c>
      <c r="G117" s="115">
        <v>66</v>
      </c>
      <c r="H117" s="115">
        <v>76</v>
      </c>
      <c r="J117" s="115">
        <v>48</v>
      </c>
      <c r="L117" s="173">
        <v>46111</v>
      </c>
      <c r="M117" s="20"/>
    </row>
    <row r="118" spans="1:13" s="13" customFormat="1" ht="13.2" customHeight="1" x14ac:dyDescent="0.25">
      <c r="A118" s="179"/>
      <c r="B118" s="180"/>
      <c r="C118" s="10">
        <f>C121+1</f>
        <v>11</v>
      </c>
      <c r="D118" s="10">
        <f>C193+1</f>
        <v>6</v>
      </c>
      <c r="E118" s="10">
        <f>C136+1</f>
        <v>15</v>
      </c>
      <c r="F118" s="10">
        <f>G121+1</f>
        <v>6</v>
      </c>
      <c r="G118" s="10">
        <f>E166+1</f>
        <v>5</v>
      </c>
      <c r="H118" s="10">
        <f>H175+1</f>
        <v>7</v>
      </c>
      <c r="J118" s="156">
        <f>G157+1</f>
        <v>6</v>
      </c>
      <c r="L118" s="173"/>
    </row>
    <row r="119" spans="1:13" s="13" customFormat="1" ht="12.6" customHeight="1" x14ac:dyDescent="0.25">
      <c r="A119" s="177">
        <v>95</v>
      </c>
      <c r="B119" s="180">
        <v>40</v>
      </c>
      <c r="C119" s="14">
        <f>A119-A158-1</f>
        <v>12</v>
      </c>
      <c r="D119" s="14">
        <f>A119-A212-1</f>
        <v>30</v>
      </c>
      <c r="E119" s="14">
        <f>A119-A143-1</f>
        <v>7</v>
      </c>
      <c r="F119" s="14">
        <f>A119-A251-1</f>
        <v>43</v>
      </c>
      <c r="G119" s="14">
        <f>A119-A200-1</f>
        <v>26</v>
      </c>
      <c r="H119" s="14">
        <f>A119-A182-1</f>
        <v>20</v>
      </c>
      <c r="J119" s="156">
        <f>A119-A131-1</f>
        <v>3</v>
      </c>
      <c r="L119" s="15"/>
    </row>
    <row r="120" spans="1:13" s="13" customFormat="1" ht="12.6" customHeight="1" x14ac:dyDescent="0.25">
      <c r="A120" s="178"/>
      <c r="B120" s="180"/>
      <c r="C120" s="114">
        <v>4</v>
      </c>
      <c r="D120" s="115">
        <v>5</v>
      </c>
      <c r="E120" s="115">
        <v>7</v>
      </c>
      <c r="F120" s="115">
        <v>17</v>
      </c>
      <c r="G120" s="115">
        <v>63</v>
      </c>
      <c r="H120" s="115">
        <v>72</v>
      </c>
      <c r="J120" s="115">
        <v>86</v>
      </c>
      <c r="L120" s="173">
        <v>46109</v>
      </c>
    </row>
    <row r="121" spans="1:13" s="13" customFormat="1" ht="13.2" customHeight="1" x14ac:dyDescent="0.25">
      <c r="A121" s="179"/>
      <c r="B121" s="180"/>
      <c r="C121" s="10">
        <f>C160+1</f>
        <v>10</v>
      </c>
      <c r="D121" s="10">
        <f>J214+1</f>
        <v>9</v>
      </c>
      <c r="E121" s="10">
        <f>C145+1</f>
        <v>11</v>
      </c>
      <c r="F121" s="10">
        <f>J139+1</f>
        <v>5</v>
      </c>
      <c r="G121" s="10">
        <f>G202+1</f>
        <v>5</v>
      </c>
      <c r="H121" s="10">
        <f>G184+1</f>
        <v>8</v>
      </c>
      <c r="J121" s="156">
        <f>H133+1</f>
        <v>7</v>
      </c>
      <c r="L121" s="173"/>
    </row>
    <row r="122" spans="1:13" s="13" customFormat="1" ht="12.6" customHeight="1" x14ac:dyDescent="0.25">
      <c r="A122" s="177">
        <v>94</v>
      </c>
      <c r="B122" s="180">
        <v>41</v>
      </c>
      <c r="C122" s="14">
        <f>A122-A158-1</f>
        <v>11</v>
      </c>
      <c r="D122" s="14">
        <f>A122-A167-1</f>
        <v>14</v>
      </c>
      <c r="E122" s="14">
        <f>A122-A137-1</f>
        <v>4</v>
      </c>
      <c r="F122" s="14">
        <f>A122-A158-1</f>
        <v>11</v>
      </c>
      <c r="G122" s="14">
        <f>A122-A137-1</f>
        <v>4</v>
      </c>
      <c r="H122" s="14">
        <f>A122-A134-1</f>
        <v>3</v>
      </c>
      <c r="J122" s="156">
        <f>A122-A137-1</f>
        <v>4</v>
      </c>
      <c r="L122" s="15"/>
    </row>
    <row r="123" spans="1:13" s="13" customFormat="1" ht="12.6" customHeight="1" x14ac:dyDescent="0.25">
      <c r="A123" s="178"/>
      <c r="B123" s="180"/>
      <c r="C123" s="114">
        <v>14</v>
      </c>
      <c r="D123" s="115">
        <v>19</v>
      </c>
      <c r="E123" s="115">
        <v>40</v>
      </c>
      <c r="F123" s="115">
        <v>41</v>
      </c>
      <c r="G123" s="115">
        <v>43</v>
      </c>
      <c r="H123" s="115">
        <v>78</v>
      </c>
      <c r="J123" s="115">
        <v>46</v>
      </c>
      <c r="L123" s="173">
        <v>46106</v>
      </c>
    </row>
    <row r="124" spans="1:13" s="13" customFormat="1" ht="13.2" customHeight="1" x14ac:dyDescent="0.25">
      <c r="A124" s="179"/>
      <c r="B124" s="180"/>
      <c r="C124" s="10">
        <f>D160+1</f>
        <v>14</v>
      </c>
      <c r="D124" s="10">
        <f>D169+1</f>
        <v>7</v>
      </c>
      <c r="E124" s="10">
        <f>E139+1</f>
        <v>10</v>
      </c>
      <c r="F124" s="10">
        <f>G160+1</f>
        <v>12</v>
      </c>
      <c r="G124" s="10">
        <f>F139+1</f>
        <v>8</v>
      </c>
      <c r="H124" s="10">
        <f>G136+1</f>
        <v>5</v>
      </c>
      <c r="J124" s="156">
        <f>G139+1</f>
        <v>6</v>
      </c>
      <c r="L124" s="173"/>
    </row>
    <row r="125" spans="1:13" s="13" customFormat="1" ht="13.2" customHeight="1" x14ac:dyDescent="0.25">
      <c r="A125" s="177">
        <v>93</v>
      </c>
      <c r="B125" s="180">
        <v>42</v>
      </c>
      <c r="C125" s="14">
        <f>A125-A272-1</f>
        <v>48</v>
      </c>
      <c r="D125" s="14">
        <f>A125-A191-1</f>
        <v>21</v>
      </c>
      <c r="E125" s="14">
        <f>A125-A191-1</f>
        <v>21</v>
      </c>
      <c r="F125" s="14">
        <f>A125-A176-1</f>
        <v>16</v>
      </c>
      <c r="G125" s="14">
        <f>A125-A128-1</f>
        <v>0</v>
      </c>
      <c r="H125" s="14">
        <f>A125-A164-1</f>
        <v>12</v>
      </c>
      <c r="J125" s="156">
        <f>A125-A137-1</f>
        <v>3</v>
      </c>
      <c r="L125" s="182">
        <v>46104</v>
      </c>
    </row>
    <row r="126" spans="1:13" s="13" customFormat="1" ht="13.2" customHeight="1" x14ac:dyDescent="0.25">
      <c r="A126" s="178"/>
      <c r="B126" s="180"/>
      <c r="C126" s="114">
        <v>20</v>
      </c>
      <c r="D126" s="115">
        <v>28</v>
      </c>
      <c r="E126" s="115">
        <v>31</v>
      </c>
      <c r="F126" s="115">
        <v>45</v>
      </c>
      <c r="G126" s="115">
        <v>67</v>
      </c>
      <c r="H126" s="115">
        <v>68</v>
      </c>
      <c r="J126" s="115">
        <v>24</v>
      </c>
      <c r="L126" s="182"/>
    </row>
    <row r="127" spans="1:13" s="13" customFormat="1" ht="13.2" customHeight="1" x14ac:dyDescent="0.25">
      <c r="A127" s="179"/>
      <c r="B127" s="180"/>
      <c r="C127" s="10">
        <f>D274+2</f>
        <v>5</v>
      </c>
      <c r="D127" s="10">
        <f>D193+1</f>
        <v>5</v>
      </c>
      <c r="E127" s="10">
        <f>E193+1</f>
        <v>7</v>
      </c>
      <c r="F127" s="10">
        <f>D178+1</f>
        <v>8</v>
      </c>
      <c r="G127" s="10">
        <f>G130+1</f>
        <v>10</v>
      </c>
      <c r="H127" s="10">
        <f>F166+1</f>
        <v>10</v>
      </c>
      <c r="J127" s="156">
        <f>C139+1</f>
        <v>12</v>
      </c>
      <c r="L127" s="182"/>
    </row>
    <row r="128" spans="1:13" s="13" customFormat="1" ht="13.2" customHeight="1" x14ac:dyDescent="0.25">
      <c r="A128" s="177">
        <v>92</v>
      </c>
      <c r="B128" s="180">
        <v>43</v>
      </c>
      <c r="C128" s="14">
        <f>A128-A161-1</f>
        <v>10</v>
      </c>
      <c r="D128" s="14">
        <f>A128-A167-1</f>
        <v>12</v>
      </c>
      <c r="E128" s="14">
        <f>A128-A152-1</f>
        <v>7</v>
      </c>
      <c r="F128" s="14">
        <f>A128-A134-1</f>
        <v>1</v>
      </c>
      <c r="G128" s="14">
        <f>A128-A146-1</f>
        <v>5</v>
      </c>
      <c r="H128" s="14">
        <f>A128-A140-1</f>
        <v>3</v>
      </c>
      <c r="J128" s="156">
        <f>A128-A131-1</f>
        <v>0</v>
      </c>
      <c r="L128" s="182">
        <v>46102</v>
      </c>
    </row>
    <row r="129" spans="1:13" s="13" customFormat="1" ht="13.2" customHeight="1" x14ac:dyDescent="0.25">
      <c r="A129" s="178"/>
      <c r="B129" s="180"/>
      <c r="C129" s="114">
        <v>6</v>
      </c>
      <c r="D129" s="115">
        <v>13</v>
      </c>
      <c r="E129" s="115">
        <v>26</v>
      </c>
      <c r="F129" s="115">
        <v>47</v>
      </c>
      <c r="G129" s="115">
        <v>67</v>
      </c>
      <c r="H129" s="115">
        <v>71</v>
      </c>
      <c r="J129" s="115">
        <v>89</v>
      </c>
      <c r="L129" s="182"/>
    </row>
    <row r="130" spans="1:13" s="13" customFormat="1" ht="13.2" customHeight="1" x14ac:dyDescent="0.25">
      <c r="A130" s="179"/>
      <c r="B130" s="180"/>
      <c r="C130" s="10">
        <f>C163+1</f>
        <v>14</v>
      </c>
      <c r="D130" s="10">
        <f>C169+2</f>
        <v>8</v>
      </c>
      <c r="E130" s="10">
        <f>D154+2</f>
        <v>7</v>
      </c>
      <c r="F130" s="10">
        <f>E136+1</f>
        <v>7</v>
      </c>
      <c r="G130" s="10">
        <f>F148+1</f>
        <v>9</v>
      </c>
      <c r="H130" s="10">
        <f>H142+1</f>
        <v>10</v>
      </c>
      <c r="J130" s="156">
        <f>J133+3</f>
        <v>8</v>
      </c>
      <c r="L130" s="182"/>
    </row>
    <row r="131" spans="1:13" s="13" customFormat="1" ht="13.2" customHeight="1" x14ac:dyDescent="0.25">
      <c r="A131" s="177">
        <v>91</v>
      </c>
      <c r="B131" s="180">
        <v>44</v>
      </c>
      <c r="C131" s="14">
        <f>A131-A161-1</f>
        <v>9</v>
      </c>
      <c r="D131" s="14">
        <f>A131-A146-1</f>
        <v>4</v>
      </c>
      <c r="E131" s="14">
        <f>A131-A164-1</f>
        <v>10</v>
      </c>
      <c r="F131" s="14">
        <f>A131-A140-1</f>
        <v>2</v>
      </c>
      <c r="G131" s="14">
        <f>A131-A143-1</f>
        <v>3</v>
      </c>
      <c r="H131" s="14">
        <f>A131-A254-1</f>
        <v>40</v>
      </c>
      <c r="J131" s="156">
        <f>A131-A179-1</f>
        <v>15</v>
      </c>
      <c r="L131" s="182">
        <v>46099</v>
      </c>
    </row>
    <row r="132" spans="1:13" s="13" customFormat="1" ht="13.2" customHeight="1" x14ac:dyDescent="0.25">
      <c r="A132" s="178"/>
      <c r="B132" s="180"/>
      <c r="C132" s="114">
        <v>10</v>
      </c>
      <c r="D132" s="115">
        <v>12</v>
      </c>
      <c r="E132" s="115">
        <v>35</v>
      </c>
      <c r="F132" s="115">
        <v>53</v>
      </c>
      <c r="G132" s="115">
        <v>55</v>
      </c>
      <c r="H132" s="115">
        <v>86</v>
      </c>
      <c r="J132" s="115">
        <v>89</v>
      </c>
      <c r="L132" s="182"/>
    </row>
    <row r="133" spans="1:13" s="13" customFormat="1" ht="13.2" customHeight="1" x14ac:dyDescent="0.25">
      <c r="A133" s="179"/>
      <c r="B133" s="180"/>
      <c r="C133" s="10">
        <f>E163+2</f>
        <v>8</v>
      </c>
      <c r="D133" s="10">
        <f>C148+3</f>
        <v>9</v>
      </c>
      <c r="E133" s="10">
        <f>D166+1</f>
        <v>8</v>
      </c>
      <c r="F133" s="10">
        <f>J142</f>
        <v>9</v>
      </c>
      <c r="G133" s="10">
        <f>F145+1</f>
        <v>7</v>
      </c>
      <c r="H133" s="10">
        <f>H256+1</f>
        <v>6</v>
      </c>
      <c r="J133" s="156">
        <f>H181+1</f>
        <v>5</v>
      </c>
      <c r="L133" s="182"/>
    </row>
    <row r="134" spans="1:13" s="13" customFormat="1" ht="13.2" customHeight="1" x14ac:dyDescent="0.25">
      <c r="A134" s="177">
        <v>90</v>
      </c>
      <c r="B134" s="180">
        <v>45</v>
      </c>
      <c r="C134" s="14">
        <f>A134-A143-1</f>
        <v>2</v>
      </c>
      <c r="D134" s="14">
        <f>A134-A143-1</f>
        <v>2</v>
      </c>
      <c r="E134" s="14">
        <f>A134-A227-1</f>
        <v>30</v>
      </c>
      <c r="F134" s="14">
        <f>A134-A269-1</f>
        <v>44</v>
      </c>
      <c r="G134" s="14">
        <f>A134-A194-1</f>
        <v>19</v>
      </c>
      <c r="H134" s="14">
        <f>A134-A194-1</f>
        <v>19</v>
      </c>
      <c r="J134" s="156">
        <f>A134-A155-1</f>
        <v>6</v>
      </c>
      <c r="L134" s="182">
        <v>46097</v>
      </c>
    </row>
    <row r="135" spans="1:13" s="13" customFormat="1" ht="13.2" customHeight="1" x14ac:dyDescent="0.25">
      <c r="A135" s="178"/>
      <c r="B135" s="180"/>
      <c r="C135" s="114">
        <v>23</v>
      </c>
      <c r="D135" s="115">
        <v>38</v>
      </c>
      <c r="E135" s="115">
        <v>47</v>
      </c>
      <c r="F135" s="115">
        <v>61</v>
      </c>
      <c r="G135" s="115">
        <v>78</v>
      </c>
      <c r="H135" s="115">
        <v>83</v>
      </c>
      <c r="J135" s="115">
        <v>81</v>
      </c>
      <c r="L135" s="182"/>
    </row>
    <row r="136" spans="1:13" s="13" customFormat="1" ht="13.2" customHeight="1" x14ac:dyDescent="0.25">
      <c r="A136" s="179"/>
      <c r="B136" s="180"/>
      <c r="C136" s="10">
        <f>D145+1</f>
        <v>14</v>
      </c>
      <c r="D136" s="10">
        <f>E145+1</f>
        <v>7</v>
      </c>
      <c r="E136" s="10">
        <f>D229+1</f>
        <v>6</v>
      </c>
      <c r="F136" s="10">
        <f>E271+1</f>
        <v>7</v>
      </c>
      <c r="G136" s="10">
        <f>G196+1</f>
        <v>4</v>
      </c>
      <c r="H136" s="10">
        <f>H196+1</f>
        <v>7</v>
      </c>
      <c r="J136" s="156">
        <f>H157+2</f>
        <v>5</v>
      </c>
      <c r="L136" s="182"/>
    </row>
    <row r="137" spans="1:13" s="13" customFormat="1" ht="13.2" customHeight="1" x14ac:dyDescent="0.25">
      <c r="A137" s="177">
        <v>89</v>
      </c>
      <c r="B137" s="180">
        <v>46</v>
      </c>
      <c r="C137" s="14">
        <f>A137-A140-1</f>
        <v>0</v>
      </c>
      <c r="D137" s="14">
        <f>A137-A146-1</f>
        <v>2</v>
      </c>
      <c r="E137" s="14">
        <f>A137-A197-1</f>
        <v>19</v>
      </c>
      <c r="F137" s="14">
        <f>A137-A257-1</f>
        <v>39</v>
      </c>
      <c r="G137" s="14">
        <f>A137-A149-1</f>
        <v>3</v>
      </c>
      <c r="H137" s="14">
        <f>A137-A179-1</f>
        <v>13</v>
      </c>
      <c r="J137" s="156">
        <f>A137-A248-1</f>
        <v>36</v>
      </c>
      <c r="L137" s="182">
        <v>46095</v>
      </c>
    </row>
    <row r="138" spans="1:13" s="13" customFormat="1" ht="13.2" customHeight="1" x14ac:dyDescent="0.25">
      <c r="A138" s="178"/>
      <c r="B138" s="180"/>
      <c r="C138" s="114">
        <v>24</v>
      </c>
      <c r="D138" s="115">
        <v>32</v>
      </c>
      <c r="E138" s="115">
        <v>40</v>
      </c>
      <c r="F138" s="115">
        <v>43</v>
      </c>
      <c r="G138" s="115">
        <v>46</v>
      </c>
      <c r="H138" s="115">
        <v>77</v>
      </c>
      <c r="J138" s="115">
        <v>17</v>
      </c>
      <c r="L138" s="182"/>
    </row>
    <row r="139" spans="1:13" s="13" customFormat="1" ht="13.2" customHeight="1" x14ac:dyDescent="0.25">
      <c r="A139" s="179"/>
      <c r="B139" s="180"/>
      <c r="C139" s="10">
        <f>C142+1</f>
        <v>11</v>
      </c>
      <c r="D139" s="10">
        <f>D148+1</f>
        <v>11</v>
      </c>
      <c r="E139" s="10">
        <f>F199+3</f>
        <v>9</v>
      </c>
      <c r="F139" s="10">
        <f>E259+2</f>
        <v>7</v>
      </c>
      <c r="G139" s="10">
        <f>D151+1</f>
        <v>5</v>
      </c>
      <c r="H139" s="10">
        <f>F181+1</f>
        <v>6</v>
      </c>
      <c r="J139" s="156">
        <f>J250+1</f>
        <v>4</v>
      </c>
      <c r="L139" s="182"/>
    </row>
    <row r="140" spans="1:13" s="13" customFormat="1" ht="13.2" customHeight="1" x14ac:dyDescent="0.25">
      <c r="A140" s="177">
        <v>88</v>
      </c>
      <c r="B140" s="180">
        <v>47</v>
      </c>
      <c r="C140" s="14">
        <f>A140-A200-1</f>
        <v>19</v>
      </c>
      <c r="D140" s="14">
        <f>A140-A152-1</f>
        <v>3</v>
      </c>
      <c r="E140" s="14">
        <f>A140-A185-1</f>
        <v>14</v>
      </c>
      <c r="F140" s="14">
        <f>A140-A143-1</f>
        <v>0</v>
      </c>
      <c r="G140" s="14">
        <f>A140-A170-1</f>
        <v>9</v>
      </c>
      <c r="H140" s="14">
        <f>A140-A164-1</f>
        <v>7</v>
      </c>
      <c r="J140" s="156">
        <f>A140-A188-1</f>
        <v>15</v>
      </c>
      <c r="L140" s="182">
        <v>46092</v>
      </c>
    </row>
    <row r="141" spans="1:13" s="13" customFormat="1" ht="13.2" customHeight="1" x14ac:dyDescent="0.25">
      <c r="A141" s="178"/>
      <c r="B141" s="180"/>
      <c r="C141" s="114">
        <v>24</v>
      </c>
      <c r="D141" s="115">
        <v>29</v>
      </c>
      <c r="E141" s="115">
        <v>52</v>
      </c>
      <c r="F141" s="115">
        <v>57</v>
      </c>
      <c r="G141" s="115">
        <v>64</v>
      </c>
      <c r="H141" s="115">
        <v>71</v>
      </c>
      <c r="J141" s="115">
        <v>53</v>
      </c>
      <c r="L141" s="182"/>
    </row>
    <row r="142" spans="1:13" s="13" customFormat="1" ht="13.2" customHeight="1" x14ac:dyDescent="0.25">
      <c r="A142" s="179"/>
      <c r="B142" s="180"/>
      <c r="C142" s="10">
        <f>D202+1</f>
        <v>10</v>
      </c>
      <c r="D142" s="10">
        <f>E154+3</f>
        <v>12</v>
      </c>
      <c r="E142" s="10">
        <f>F187+1</f>
        <v>3</v>
      </c>
      <c r="F142" s="10">
        <f>G145+1</f>
        <v>13</v>
      </c>
      <c r="G142" s="10">
        <f>J172+1</f>
        <v>7</v>
      </c>
      <c r="H142" s="10">
        <f>G166+3</f>
        <v>9</v>
      </c>
      <c r="J142" s="156">
        <f>F190+1</f>
        <v>9</v>
      </c>
      <c r="L142" s="182"/>
    </row>
    <row r="143" spans="1:13" s="13" customFormat="1" ht="13.2" customHeight="1" x14ac:dyDescent="0.25">
      <c r="A143" s="177">
        <v>87</v>
      </c>
      <c r="B143" s="180">
        <v>48</v>
      </c>
      <c r="C143" s="14">
        <f>A143-A161-1</f>
        <v>5</v>
      </c>
      <c r="D143" s="14">
        <f>A143-A203-1</f>
        <v>19</v>
      </c>
      <c r="E143" s="14">
        <f>A143-A215-1</f>
        <v>23</v>
      </c>
      <c r="F143" s="14">
        <f>A143-A161-1</f>
        <v>5</v>
      </c>
      <c r="G143" s="14">
        <f>A143-A146-1</f>
        <v>0</v>
      </c>
      <c r="H143" s="14">
        <f>A143-A167-1</f>
        <v>7</v>
      </c>
      <c r="J143" s="156">
        <f>A143-A149-1</f>
        <v>1</v>
      </c>
      <c r="L143" s="182">
        <v>46090</v>
      </c>
    </row>
    <row r="144" spans="1:13" s="13" customFormat="1" ht="13.2" customHeight="1" x14ac:dyDescent="0.25">
      <c r="A144" s="178"/>
      <c r="B144" s="180"/>
      <c r="C144" s="114">
        <v>7</v>
      </c>
      <c r="D144" s="115">
        <v>23</v>
      </c>
      <c r="E144" s="115">
        <v>38</v>
      </c>
      <c r="F144" s="115">
        <v>55</v>
      </c>
      <c r="G144" s="115">
        <v>57</v>
      </c>
      <c r="H144" s="115">
        <v>90</v>
      </c>
      <c r="I144" s="20"/>
      <c r="J144" s="115">
        <v>87</v>
      </c>
      <c r="K144" s="20"/>
      <c r="L144" s="182"/>
      <c r="M144" s="20"/>
    </row>
    <row r="145" spans="1:13" s="13" customFormat="1" ht="13.2" customHeight="1" x14ac:dyDescent="0.25">
      <c r="A145" s="179"/>
      <c r="B145" s="180"/>
      <c r="C145" s="10">
        <f>D163+1</f>
        <v>10</v>
      </c>
      <c r="D145" s="10">
        <f>D205+4</f>
        <v>13</v>
      </c>
      <c r="E145" s="10">
        <f>E217+1</f>
        <v>6</v>
      </c>
      <c r="F145" s="10">
        <f>H163+1</f>
        <v>6</v>
      </c>
      <c r="G145" s="10">
        <f>E148+1</f>
        <v>12</v>
      </c>
      <c r="H145" s="10">
        <f>J169+1</f>
        <v>8</v>
      </c>
      <c r="I145" s="20"/>
      <c r="J145" s="156">
        <f>G151+1</f>
        <v>7</v>
      </c>
      <c r="K145" s="20"/>
      <c r="L145" s="182"/>
      <c r="M145" s="20"/>
    </row>
    <row r="146" spans="1:13" s="13" customFormat="1" ht="13.2" customHeight="1" x14ac:dyDescent="0.25">
      <c r="A146" s="177">
        <v>86</v>
      </c>
      <c r="B146" s="180">
        <v>49</v>
      </c>
      <c r="C146" s="14">
        <f>A146-A224-1</f>
        <v>25</v>
      </c>
      <c r="D146" s="14">
        <f>A146-A230-1</f>
        <v>27</v>
      </c>
      <c r="E146" s="14">
        <f>A146-A188-1</f>
        <v>13</v>
      </c>
      <c r="F146" s="14">
        <f>A146-A149-1</f>
        <v>0</v>
      </c>
      <c r="G146" s="14">
        <f>A146-A152-1</f>
        <v>1</v>
      </c>
      <c r="H146" s="14">
        <f>A146-A164-1</f>
        <v>5</v>
      </c>
      <c r="I146" s="20"/>
      <c r="J146" s="156">
        <f>A146-A155-1</f>
        <v>2</v>
      </c>
      <c r="K146" s="20"/>
      <c r="L146" s="182">
        <v>46088</v>
      </c>
      <c r="M146" s="20"/>
    </row>
    <row r="147" spans="1:13" s="13" customFormat="1" ht="13.2" customHeight="1" x14ac:dyDescent="0.25">
      <c r="A147" s="178"/>
      <c r="B147" s="180"/>
      <c r="C147" s="114">
        <v>12</v>
      </c>
      <c r="D147" s="115">
        <v>32</v>
      </c>
      <c r="E147" s="115">
        <v>57</v>
      </c>
      <c r="F147" s="115">
        <v>67</v>
      </c>
      <c r="G147" s="115">
        <v>80</v>
      </c>
      <c r="H147" s="115">
        <v>82</v>
      </c>
      <c r="I147" s="20"/>
      <c r="J147" s="115">
        <v>22</v>
      </c>
      <c r="K147" s="20"/>
      <c r="L147" s="182"/>
      <c r="M147" s="20"/>
    </row>
    <row r="148" spans="1:13" s="13" customFormat="1" ht="13.2" customHeight="1" x14ac:dyDescent="0.25">
      <c r="A148" s="179"/>
      <c r="B148" s="180"/>
      <c r="C148" s="10">
        <f>D226+1</f>
        <v>6</v>
      </c>
      <c r="D148" s="10">
        <f>G232+2</f>
        <v>10</v>
      </c>
      <c r="E148" s="10">
        <f>G190+1</f>
        <v>11</v>
      </c>
      <c r="F148" s="10">
        <f>F151+1</f>
        <v>8</v>
      </c>
      <c r="G148" s="10">
        <f>H154+3</f>
        <v>9</v>
      </c>
      <c r="H148" s="10">
        <f>H169+3</f>
        <v>11</v>
      </c>
      <c r="I148" s="20"/>
      <c r="J148" s="156">
        <f>E157+1</f>
        <v>4</v>
      </c>
      <c r="K148" s="20"/>
      <c r="L148" s="182"/>
      <c r="M148" s="20"/>
    </row>
    <row r="149" spans="1:13" s="13" customFormat="1" ht="13.2" customHeight="1" x14ac:dyDescent="0.25">
      <c r="A149" s="177">
        <v>85</v>
      </c>
      <c r="B149" s="180">
        <v>50</v>
      </c>
      <c r="C149" s="14">
        <f>A149-A155-1</f>
        <v>1</v>
      </c>
      <c r="D149" s="14">
        <f>A149-A185-1</f>
        <v>11</v>
      </c>
      <c r="E149" s="14">
        <f>A149-A239-1</f>
        <v>29</v>
      </c>
      <c r="F149" s="14">
        <f>A149-A179-1</f>
        <v>9</v>
      </c>
      <c r="G149" s="14">
        <f>A149-A179-1</f>
        <v>9</v>
      </c>
      <c r="H149" s="14">
        <f>A149-A215-1</f>
        <v>21</v>
      </c>
      <c r="I149" s="35"/>
      <c r="J149" s="156">
        <f>A149-A152-1</f>
        <v>0</v>
      </c>
      <c r="K149" s="35"/>
      <c r="L149" s="182">
        <v>46116</v>
      </c>
      <c r="M149" s="35"/>
    </row>
    <row r="150" spans="1:13" s="13" customFormat="1" ht="13.2" customHeight="1" x14ac:dyDescent="0.25">
      <c r="A150" s="178"/>
      <c r="B150" s="180"/>
      <c r="C150" s="114">
        <v>44</v>
      </c>
      <c r="D150" s="115">
        <v>46</v>
      </c>
      <c r="E150" s="115">
        <v>60</v>
      </c>
      <c r="F150" s="115">
        <v>67</v>
      </c>
      <c r="G150" s="115">
        <v>87</v>
      </c>
      <c r="H150" s="115">
        <v>88</v>
      </c>
      <c r="I150" s="35"/>
      <c r="J150" s="115">
        <v>21</v>
      </c>
      <c r="K150" s="35"/>
      <c r="L150" s="182"/>
      <c r="M150" s="35"/>
    </row>
    <row r="151" spans="1:13" s="13" customFormat="1" ht="13.2" customHeight="1" x14ac:dyDescent="0.25">
      <c r="A151" s="179"/>
      <c r="B151" s="180"/>
      <c r="C151" s="10">
        <f>F157+1</f>
        <v>8</v>
      </c>
      <c r="D151" s="10">
        <f>D187+1</f>
        <v>4</v>
      </c>
      <c r="E151" s="10">
        <v>8</v>
      </c>
      <c r="F151" s="10">
        <f>D181+1</f>
        <v>7</v>
      </c>
      <c r="G151" s="10">
        <f>G181</f>
        <v>6</v>
      </c>
      <c r="H151" s="10">
        <f>J217+2</f>
        <v>6</v>
      </c>
      <c r="I151" s="35"/>
      <c r="J151" s="156">
        <f>J154+1</f>
        <v>5</v>
      </c>
      <c r="K151" s="35"/>
      <c r="L151" s="182"/>
      <c r="M151" s="35"/>
    </row>
    <row r="152" spans="1:13" s="13" customFormat="1" ht="13.2" customHeight="1" x14ac:dyDescent="0.25">
      <c r="A152" s="177">
        <v>84</v>
      </c>
      <c r="B152" s="180">
        <v>51</v>
      </c>
      <c r="C152" s="14">
        <f>A152-A281-1</f>
        <v>42</v>
      </c>
      <c r="D152" s="14">
        <f>A152-A173-1</f>
        <v>6</v>
      </c>
      <c r="E152" s="14">
        <f>A152--1</f>
        <v>85</v>
      </c>
      <c r="F152" s="14">
        <f>A152-A227-1</f>
        <v>24</v>
      </c>
      <c r="G152" s="14">
        <f>A152-A182-1</f>
        <v>9</v>
      </c>
      <c r="H152" s="14">
        <f>A152-A182-1</f>
        <v>9</v>
      </c>
      <c r="I152" s="35"/>
      <c r="J152" s="156">
        <f>A152-A155-1</f>
        <v>0</v>
      </c>
      <c r="K152" s="35"/>
      <c r="L152" s="182">
        <v>46083</v>
      </c>
      <c r="M152" s="35"/>
    </row>
    <row r="153" spans="1:13" s="13" customFormat="1" ht="13.2" customHeight="1" x14ac:dyDescent="0.25">
      <c r="A153" s="178"/>
      <c r="B153" s="180"/>
      <c r="C153" s="114">
        <v>18</v>
      </c>
      <c r="D153" s="115">
        <v>26</v>
      </c>
      <c r="E153" s="115">
        <v>29</v>
      </c>
      <c r="F153" s="115">
        <v>58</v>
      </c>
      <c r="G153" s="115">
        <v>65</v>
      </c>
      <c r="H153" s="115">
        <v>80</v>
      </c>
      <c r="I153" s="35"/>
      <c r="J153" s="115">
        <v>21</v>
      </c>
      <c r="K153" s="35"/>
      <c r="L153" s="182"/>
      <c r="M153" s="35"/>
    </row>
    <row r="154" spans="1:13" s="13" customFormat="1" ht="13.2" customHeight="1" x14ac:dyDescent="0.25">
      <c r="A154" s="179"/>
      <c r="B154" s="180"/>
      <c r="C154" s="10">
        <f>C283+2</f>
        <v>7</v>
      </c>
      <c r="D154" s="10">
        <f>D175+1</f>
        <v>5</v>
      </c>
      <c r="E154" s="10">
        <f>J178+1</f>
        <v>9</v>
      </c>
      <c r="F154" s="10">
        <v>5</v>
      </c>
      <c r="G154" s="10">
        <f>E184+1</f>
        <v>8</v>
      </c>
      <c r="H154" s="10">
        <f>H184+1</f>
        <v>6</v>
      </c>
      <c r="I154" s="35"/>
      <c r="J154" s="156">
        <f>D157+1</f>
        <v>4</v>
      </c>
      <c r="K154" s="35"/>
      <c r="L154" s="182"/>
      <c r="M154" s="35"/>
    </row>
    <row r="155" spans="1:13" s="13" customFormat="1" ht="12.6" customHeight="1" x14ac:dyDescent="0.25">
      <c r="A155" s="177">
        <v>83</v>
      </c>
      <c r="B155" s="180">
        <v>52</v>
      </c>
      <c r="C155" s="14">
        <f>A155-A206-1</f>
        <v>16</v>
      </c>
      <c r="D155" s="14">
        <f>A155-A188-1</f>
        <v>10</v>
      </c>
      <c r="E155" s="14">
        <f>A155-A197-1</f>
        <v>13</v>
      </c>
      <c r="F155" s="14">
        <f>A155-A221-1</f>
        <v>21</v>
      </c>
      <c r="G155" s="14">
        <f>A155-A251-1</f>
        <v>31</v>
      </c>
      <c r="H155" s="14">
        <f>A155-A206-1</f>
        <v>16</v>
      </c>
      <c r="I155" s="35"/>
      <c r="J155" s="156">
        <f>A155-A188-1</f>
        <v>10</v>
      </c>
      <c r="K155" s="35"/>
      <c r="L155" s="182">
        <v>46081</v>
      </c>
      <c r="M155" s="35"/>
    </row>
    <row r="156" spans="1:13" s="13" customFormat="1" ht="13.2" customHeight="1" x14ac:dyDescent="0.25">
      <c r="A156" s="178"/>
      <c r="B156" s="180"/>
      <c r="C156" s="114">
        <v>2</v>
      </c>
      <c r="D156" s="115">
        <v>21</v>
      </c>
      <c r="E156" s="115">
        <v>22</v>
      </c>
      <c r="F156" s="115">
        <v>44</v>
      </c>
      <c r="G156" s="115">
        <v>48</v>
      </c>
      <c r="H156" s="115">
        <v>81</v>
      </c>
      <c r="I156" s="35"/>
      <c r="J156" s="115">
        <v>42</v>
      </c>
      <c r="K156" s="35"/>
      <c r="L156" s="182"/>
      <c r="M156" s="35"/>
    </row>
    <row r="157" spans="1:13" s="13" customFormat="1" ht="13.2" customHeight="1" x14ac:dyDescent="0.25">
      <c r="A157" s="179"/>
      <c r="B157" s="180"/>
      <c r="C157" s="10">
        <f>J196+1</f>
        <v>11</v>
      </c>
      <c r="D157" s="10">
        <f>C190+1</f>
        <v>3</v>
      </c>
      <c r="E157" s="10">
        <f>D199+1</f>
        <v>3</v>
      </c>
      <c r="F157" s="10">
        <f>E223+1</f>
        <v>7</v>
      </c>
      <c r="G157" s="10">
        <f>F253+1</f>
        <v>5</v>
      </c>
      <c r="H157" s="10">
        <f>H208+1</f>
        <v>3</v>
      </c>
      <c r="I157" s="35"/>
      <c r="J157" s="156">
        <f>D190+1</f>
        <v>3</v>
      </c>
      <c r="K157" s="35"/>
      <c r="L157" s="182"/>
      <c r="M157" s="35"/>
    </row>
    <row r="158" spans="1:13" s="13" customFormat="1" ht="13.2" customHeight="1" x14ac:dyDescent="0.25">
      <c r="A158" s="177">
        <v>82</v>
      </c>
      <c r="B158" s="180">
        <v>53</v>
      </c>
      <c r="C158" s="14">
        <f>A158-A203-1</f>
        <v>14</v>
      </c>
      <c r="D158" s="14">
        <f>A158-A197-1</f>
        <v>12</v>
      </c>
      <c r="E158" s="14">
        <f>A158-A197-1</f>
        <v>12</v>
      </c>
      <c r="F158" s="14">
        <f>A158-A170-1</f>
        <v>3</v>
      </c>
      <c r="G158" s="14">
        <f>A158-A173-1</f>
        <v>4</v>
      </c>
      <c r="H158" s="14">
        <f>A158-A269-1</f>
        <v>36</v>
      </c>
      <c r="I158" s="35"/>
      <c r="J158" s="156">
        <f>A158-A164-1</f>
        <v>1</v>
      </c>
      <c r="K158" s="35"/>
      <c r="L158" s="182">
        <v>46078</v>
      </c>
      <c r="M158" s="35"/>
    </row>
    <row r="159" spans="1:13" s="13" customFormat="1" ht="13.2" customHeight="1" x14ac:dyDescent="0.25">
      <c r="A159" s="178"/>
      <c r="B159" s="180"/>
      <c r="C159" s="116">
        <v>4</v>
      </c>
      <c r="D159" s="116">
        <v>14</v>
      </c>
      <c r="E159" s="116">
        <v>27</v>
      </c>
      <c r="F159" s="116">
        <v>33</v>
      </c>
      <c r="G159" s="116">
        <v>41</v>
      </c>
      <c r="H159" s="116">
        <v>84</v>
      </c>
      <c r="I159" s="35"/>
      <c r="J159" s="116">
        <v>68</v>
      </c>
      <c r="K159" s="35"/>
      <c r="L159" s="182"/>
      <c r="M159" s="35"/>
    </row>
    <row r="160" spans="1:13" s="13" customFormat="1" ht="13.2" customHeight="1" x14ac:dyDescent="0.25">
      <c r="A160" s="179"/>
      <c r="B160" s="180"/>
      <c r="C160" s="10">
        <f>J205+1</f>
        <v>9</v>
      </c>
      <c r="D160" s="10">
        <f>C199+1</f>
        <v>13</v>
      </c>
      <c r="E160" s="10">
        <f>E199+1</f>
        <v>10</v>
      </c>
      <c r="F160" s="10">
        <f>F172+1</f>
        <v>10</v>
      </c>
      <c r="G160" s="10">
        <f>E175+1</f>
        <v>11</v>
      </c>
      <c r="H160" s="10">
        <f>H271+2</f>
        <v>3</v>
      </c>
      <c r="I160" s="35"/>
      <c r="J160" s="156">
        <f>F166+1</f>
        <v>10</v>
      </c>
      <c r="K160" s="35"/>
      <c r="L160" s="182"/>
      <c r="M160" s="35"/>
    </row>
    <row r="161" spans="1:13" s="13" customFormat="1" ht="13.2" customHeight="1" x14ac:dyDescent="0.25">
      <c r="A161" s="177">
        <v>81</v>
      </c>
      <c r="B161" s="180">
        <v>54</v>
      </c>
      <c r="C161" s="14">
        <f>A161-A194-1</f>
        <v>10</v>
      </c>
      <c r="D161" s="14">
        <f>A161-A254-1</f>
        <v>30</v>
      </c>
      <c r="E161" s="14">
        <f>A161-A209-1</f>
        <v>15</v>
      </c>
      <c r="F161" s="14">
        <f>A161-A304-1</f>
        <v>80</v>
      </c>
      <c r="G161" s="14">
        <f>A161-A221-1</f>
        <v>19</v>
      </c>
      <c r="H161" s="14">
        <f>A161-A167-1</f>
        <v>1</v>
      </c>
      <c r="I161" s="35"/>
      <c r="J161" s="156">
        <f>A161-A197-1</f>
        <v>11</v>
      </c>
      <c r="K161" s="35"/>
      <c r="L161" s="182">
        <v>46076</v>
      </c>
      <c r="M161" s="35"/>
    </row>
    <row r="162" spans="1:13" s="13" customFormat="1" ht="13.2" customHeight="1" x14ac:dyDescent="0.25">
      <c r="A162" s="178"/>
      <c r="B162" s="180"/>
      <c r="C162" s="117">
        <v>6</v>
      </c>
      <c r="D162" s="117">
        <v>7</v>
      </c>
      <c r="E162" s="117">
        <v>8</v>
      </c>
      <c r="F162" s="117">
        <v>11</v>
      </c>
      <c r="G162" s="117">
        <v>39</v>
      </c>
      <c r="H162" s="117">
        <v>55</v>
      </c>
      <c r="I162" s="35"/>
      <c r="J162" s="117">
        <v>70</v>
      </c>
      <c r="K162" s="35"/>
      <c r="L162" s="182"/>
      <c r="M162" s="35"/>
    </row>
    <row r="163" spans="1:13" s="13" customFormat="1" ht="13.2" customHeight="1" x14ac:dyDescent="0.25">
      <c r="A163" s="179"/>
      <c r="B163" s="180"/>
      <c r="C163" s="10">
        <f>C196+1</f>
        <v>13</v>
      </c>
      <c r="D163" s="10">
        <f>C256+1</f>
        <v>9</v>
      </c>
      <c r="E163" s="10">
        <f>C211+1</f>
        <v>6</v>
      </c>
      <c r="F163" s="10">
        <v>2</v>
      </c>
      <c r="G163" s="10">
        <f>J223+2</f>
        <v>10</v>
      </c>
      <c r="H163" s="10">
        <f>F169+1</f>
        <v>5</v>
      </c>
      <c r="I163" s="20"/>
      <c r="J163" s="156">
        <f>H199+1</f>
        <v>8</v>
      </c>
      <c r="K163" s="20"/>
      <c r="L163" s="182"/>
      <c r="M163" s="20"/>
    </row>
    <row r="164" spans="1:13" s="13" customFormat="1" ht="13.2" customHeight="1" x14ac:dyDescent="0.25">
      <c r="A164" s="177">
        <v>80</v>
      </c>
      <c r="B164" s="180">
        <v>55</v>
      </c>
      <c r="C164" s="14">
        <f>A164-A191-1</f>
        <v>8</v>
      </c>
      <c r="D164" s="14">
        <f>A164-A281-1</f>
        <v>38</v>
      </c>
      <c r="E164" s="14">
        <f>A164-A176-1</f>
        <v>3</v>
      </c>
      <c r="F164" s="14">
        <f>A164-A212-1</f>
        <v>15</v>
      </c>
      <c r="G164" s="14">
        <f>A164-A170-1</f>
        <v>1</v>
      </c>
      <c r="H164" s="14">
        <f>A164-A167-1</f>
        <v>0</v>
      </c>
      <c r="I164" s="20"/>
      <c r="J164" s="156">
        <f>A164-A173-1</f>
        <v>2</v>
      </c>
      <c r="K164" s="20"/>
      <c r="L164" s="182">
        <v>46074</v>
      </c>
      <c r="M164" s="20"/>
    </row>
    <row r="165" spans="1:13" s="13" customFormat="1" ht="12.6" customHeight="1" x14ac:dyDescent="0.25">
      <c r="A165" s="178"/>
      <c r="B165" s="180"/>
      <c r="C165" s="118">
        <v>31</v>
      </c>
      <c r="D165" s="118">
        <v>35</v>
      </c>
      <c r="E165" s="118">
        <v>66</v>
      </c>
      <c r="F165" s="118">
        <v>68</v>
      </c>
      <c r="G165" s="118">
        <v>71</v>
      </c>
      <c r="H165" s="118">
        <v>82</v>
      </c>
      <c r="I165" s="20"/>
      <c r="J165" s="118">
        <v>15</v>
      </c>
      <c r="K165" s="20"/>
      <c r="L165" s="182"/>
      <c r="M165" s="20"/>
    </row>
    <row r="166" spans="1:13" s="13" customFormat="1" ht="13.2" customHeight="1" x14ac:dyDescent="0.25">
      <c r="A166" s="179"/>
      <c r="B166" s="180"/>
      <c r="C166" s="10">
        <f>E193+1</f>
        <v>7</v>
      </c>
      <c r="D166" s="10">
        <f>J193+1</f>
        <v>7</v>
      </c>
      <c r="E166" s="10">
        <f>E178+1</f>
        <v>4</v>
      </c>
      <c r="F166" s="10">
        <f>G214+1</f>
        <v>9</v>
      </c>
      <c r="G166" s="10">
        <f>H172+1</f>
        <v>6</v>
      </c>
      <c r="H166" s="10">
        <f>H169+1</f>
        <v>9</v>
      </c>
      <c r="I166" s="20"/>
      <c r="J166" s="156">
        <f>C175+1</f>
        <v>6</v>
      </c>
      <c r="K166" s="20"/>
      <c r="L166" s="182"/>
      <c r="M166" s="20"/>
    </row>
    <row r="167" spans="1:13" s="13" customFormat="1" ht="13.2" customHeight="1" x14ac:dyDescent="0.25">
      <c r="A167" s="177">
        <v>79</v>
      </c>
      <c r="B167" s="180">
        <v>56</v>
      </c>
      <c r="C167" s="14">
        <f>A167-A221-1</f>
        <v>17</v>
      </c>
      <c r="D167" s="14">
        <f>A167-A230-1</f>
        <v>20</v>
      </c>
      <c r="E167" s="14">
        <f>A167-A173-1</f>
        <v>1</v>
      </c>
      <c r="F167" s="14">
        <f>A167-A218-1</f>
        <v>16</v>
      </c>
      <c r="G167" s="14">
        <f>A167-A206-1</f>
        <v>12</v>
      </c>
      <c r="H167" s="14">
        <f>A167-A209-1</f>
        <v>13</v>
      </c>
      <c r="I167" s="20"/>
      <c r="J167" s="156">
        <f>A167-A212-1</f>
        <v>14</v>
      </c>
      <c r="K167" s="20"/>
      <c r="L167" s="182">
        <v>46071</v>
      </c>
      <c r="M167" s="20"/>
    </row>
    <row r="168" spans="1:13" s="13" customFormat="1" ht="13.2" customHeight="1" x14ac:dyDescent="0.25">
      <c r="A168" s="178"/>
      <c r="B168" s="180"/>
      <c r="C168" s="118">
        <v>13</v>
      </c>
      <c r="D168" s="118">
        <v>19</v>
      </c>
      <c r="E168" s="118">
        <v>50</v>
      </c>
      <c r="F168" s="118">
        <v>55</v>
      </c>
      <c r="G168" s="118">
        <v>62</v>
      </c>
      <c r="H168" s="118">
        <v>82</v>
      </c>
      <c r="I168" s="20"/>
      <c r="J168" s="118">
        <v>90</v>
      </c>
      <c r="K168" s="20"/>
      <c r="L168" s="182"/>
      <c r="M168" s="20"/>
    </row>
    <row r="169" spans="1:13" s="13" customFormat="1" ht="13.2" customHeight="1" x14ac:dyDescent="0.25">
      <c r="A169" s="179"/>
      <c r="B169" s="180"/>
      <c r="C169" s="10">
        <f>C223+1</f>
        <v>6</v>
      </c>
      <c r="D169" s="10">
        <f>E232+1</f>
        <v>6</v>
      </c>
      <c r="E169" s="10">
        <f>F175+1</f>
        <v>8</v>
      </c>
      <c r="F169" s="10">
        <f>E220+1</f>
        <v>4</v>
      </c>
      <c r="G169" s="10">
        <f>F208+4</f>
        <v>10</v>
      </c>
      <c r="H169" s="10">
        <f>H211+1</f>
        <v>8</v>
      </c>
      <c r="I169" s="20"/>
      <c r="J169" s="156">
        <f>H214+2</f>
        <v>7</v>
      </c>
      <c r="K169" s="20"/>
      <c r="L169" s="182"/>
      <c r="M169" s="20"/>
    </row>
    <row r="170" spans="1:13" s="13" customFormat="1" ht="13.2" customHeight="1" x14ac:dyDescent="0.25">
      <c r="A170" s="177">
        <v>78</v>
      </c>
      <c r="B170" s="180">
        <v>57</v>
      </c>
      <c r="C170" s="14">
        <f>A170-A173-1</f>
        <v>0</v>
      </c>
      <c r="D170" s="14">
        <f>A170-A212</f>
        <v>14</v>
      </c>
      <c r="E170" s="14">
        <f>A170-A182</f>
        <v>4</v>
      </c>
      <c r="F170" s="14">
        <f>A170-A206</f>
        <v>12</v>
      </c>
      <c r="G170" s="14">
        <f>A170-A275</f>
        <v>35</v>
      </c>
      <c r="H170" s="14">
        <f>A170-A203</f>
        <v>11</v>
      </c>
      <c r="I170" s="20"/>
      <c r="J170" s="156">
        <f>A170-A185-1</f>
        <v>4</v>
      </c>
      <c r="K170" s="20"/>
      <c r="L170" s="181">
        <v>46069</v>
      </c>
      <c r="M170" s="20"/>
    </row>
    <row r="171" spans="1:13" s="13" customFormat="1" ht="13.2" customHeight="1" x14ac:dyDescent="0.25">
      <c r="A171" s="178"/>
      <c r="B171" s="180"/>
      <c r="C171" s="118">
        <v>1</v>
      </c>
      <c r="D171" s="118">
        <v>3</v>
      </c>
      <c r="E171" s="118">
        <v>8</v>
      </c>
      <c r="F171" s="118">
        <v>33</v>
      </c>
      <c r="G171" s="118">
        <v>49</v>
      </c>
      <c r="H171" s="118">
        <v>71</v>
      </c>
      <c r="I171" s="20"/>
      <c r="J171" s="118">
        <v>64</v>
      </c>
      <c r="K171" s="20"/>
      <c r="L171" s="181"/>
      <c r="M171" s="20"/>
    </row>
    <row r="172" spans="1:13" s="13" customFormat="1" ht="13.2" customHeight="1" x14ac:dyDescent="0.25">
      <c r="A172" s="179"/>
      <c r="B172" s="180"/>
      <c r="C172" s="10">
        <f>J175+1</f>
        <v>5</v>
      </c>
      <c r="D172" s="10">
        <f>D214+1</f>
        <v>6</v>
      </c>
      <c r="E172" s="10">
        <f>C184+1</f>
        <v>8</v>
      </c>
      <c r="F172" s="10">
        <f>J208+1</f>
        <v>9</v>
      </c>
      <c r="G172" s="10">
        <f>G277+1</f>
        <v>6</v>
      </c>
      <c r="H172" s="10">
        <f>G205+1</f>
        <v>5</v>
      </c>
      <c r="I172" s="20"/>
      <c r="J172" s="156">
        <f>J187+1</f>
        <v>6</v>
      </c>
      <c r="K172" s="20"/>
      <c r="L172" s="181"/>
      <c r="M172" s="20"/>
    </row>
    <row r="173" spans="1:13" s="13" customFormat="1" ht="13.2" customHeight="1" x14ac:dyDescent="0.25">
      <c r="A173" s="177">
        <v>77</v>
      </c>
      <c r="B173" s="180">
        <v>58</v>
      </c>
      <c r="C173" s="14">
        <f>A173-A284-1</f>
        <v>36</v>
      </c>
      <c r="D173" s="14">
        <f>A173-A182-1</f>
        <v>2</v>
      </c>
      <c r="E173" s="14">
        <f>A173-A191-1</f>
        <v>5</v>
      </c>
      <c r="F173" s="14">
        <f>A173-A185-1</f>
        <v>3</v>
      </c>
      <c r="G173" s="14">
        <f>A173-A176-1</f>
        <v>0</v>
      </c>
      <c r="H173" s="14">
        <f>A173-A260-1</f>
        <v>28</v>
      </c>
      <c r="I173" s="20"/>
      <c r="J173" s="156">
        <f>A173-A293-1</f>
        <v>39</v>
      </c>
      <c r="K173" s="20"/>
      <c r="L173" s="181">
        <v>46067</v>
      </c>
      <c r="M173" s="20"/>
    </row>
    <row r="174" spans="1:13" s="13" customFormat="1" ht="13.2" customHeight="1" x14ac:dyDescent="0.25">
      <c r="A174" s="178"/>
      <c r="B174" s="180"/>
      <c r="C174" s="115">
        <v>15</v>
      </c>
      <c r="D174" s="118">
        <v>26</v>
      </c>
      <c r="E174" s="118">
        <v>41</v>
      </c>
      <c r="F174" s="118">
        <v>50</v>
      </c>
      <c r="G174" s="118">
        <v>74</v>
      </c>
      <c r="H174" s="118">
        <v>76</v>
      </c>
      <c r="I174" s="20"/>
      <c r="J174" s="118">
        <v>1</v>
      </c>
      <c r="K174" s="20"/>
      <c r="L174" s="181"/>
      <c r="M174" s="20"/>
    </row>
    <row r="175" spans="1:13" s="13" customFormat="1" ht="13.2" customHeight="1" x14ac:dyDescent="0.25">
      <c r="A175" s="179"/>
      <c r="B175" s="180"/>
      <c r="C175" s="10">
        <f>D286+1</f>
        <v>5</v>
      </c>
      <c r="D175" s="10">
        <f>J184+1</f>
        <v>4</v>
      </c>
      <c r="E175" s="10">
        <f>F193+1</f>
        <v>10</v>
      </c>
      <c r="F175" s="10">
        <f>E187+1</f>
        <v>7</v>
      </c>
      <c r="G175" s="10">
        <f>G178+1</f>
        <v>11</v>
      </c>
      <c r="H175" s="10">
        <f>G262+1</f>
        <v>6</v>
      </c>
      <c r="I175" s="20"/>
      <c r="J175" s="156">
        <f>C295+1</f>
        <v>4</v>
      </c>
      <c r="K175" s="20"/>
      <c r="L175" s="181"/>
      <c r="M175" s="20"/>
    </row>
    <row r="176" spans="1:13" s="13" customFormat="1" ht="13.2" customHeight="1" x14ac:dyDescent="0.25">
      <c r="A176" s="177">
        <v>76</v>
      </c>
      <c r="B176" s="180">
        <v>59</v>
      </c>
      <c r="C176" s="14">
        <f>A176-A209-1</f>
        <v>10</v>
      </c>
      <c r="D176" s="14">
        <f>A176-A179</f>
        <v>1</v>
      </c>
      <c r="E176" s="14">
        <f>A176-A215</f>
        <v>13</v>
      </c>
      <c r="F176" s="14">
        <f>A176-A245</f>
        <v>23</v>
      </c>
      <c r="G176" s="14">
        <f>A176-A179</f>
        <v>1</v>
      </c>
      <c r="H176" s="14">
        <f>A176-A221</f>
        <v>15</v>
      </c>
      <c r="I176" s="20"/>
      <c r="J176" s="156">
        <f>A176-A236-1</f>
        <v>19</v>
      </c>
      <c r="K176" s="20"/>
      <c r="L176" s="181">
        <v>46064</v>
      </c>
      <c r="M176" s="20"/>
    </row>
    <row r="177" spans="1:13" s="13" customFormat="1" ht="13.2" customHeight="1" x14ac:dyDescent="0.25">
      <c r="A177" s="178"/>
      <c r="B177" s="180"/>
      <c r="C177" s="118">
        <v>34</v>
      </c>
      <c r="D177" s="118">
        <v>45</v>
      </c>
      <c r="E177" s="118">
        <v>66</v>
      </c>
      <c r="F177" s="118">
        <v>73</v>
      </c>
      <c r="G177" s="118">
        <v>74</v>
      </c>
      <c r="H177" s="118">
        <v>79</v>
      </c>
      <c r="I177" s="20"/>
      <c r="J177" s="118">
        <v>29</v>
      </c>
      <c r="K177" s="20"/>
      <c r="L177" s="181"/>
      <c r="M177" s="20"/>
    </row>
    <row r="178" spans="1:13" s="13" customFormat="1" ht="13.2" customHeight="1" x14ac:dyDescent="0.25">
      <c r="A178" s="179"/>
      <c r="B178" s="180"/>
      <c r="C178" s="10">
        <f>J211+1</f>
        <v>5</v>
      </c>
      <c r="D178" s="10">
        <f>C181+1</f>
        <v>7</v>
      </c>
      <c r="E178" s="10">
        <f>G217+1</f>
        <v>3</v>
      </c>
      <c r="F178" s="10">
        <f>G247+1</f>
        <v>7</v>
      </c>
      <c r="G178" s="10">
        <f>E181+1</f>
        <v>10</v>
      </c>
      <c r="H178" s="10">
        <f>F223+1</f>
        <v>5</v>
      </c>
      <c r="I178" s="20"/>
      <c r="J178" s="156">
        <f>E238+1</f>
        <v>8</v>
      </c>
      <c r="K178" s="20"/>
      <c r="L178" s="181"/>
      <c r="M178" s="20"/>
    </row>
    <row r="179" spans="1:13" s="13" customFormat="1" ht="13.2" customHeight="1" x14ac:dyDescent="0.25">
      <c r="A179" s="177">
        <v>75</v>
      </c>
      <c r="B179" s="180">
        <v>60</v>
      </c>
      <c r="C179" s="14">
        <f>A179-A230</f>
        <v>17</v>
      </c>
      <c r="D179" s="14">
        <f>A179-A182</f>
        <v>1</v>
      </c>
      <c r="E179" s="14">
        <f>A179-A188</f>
        <v>3</v>
      </c>
      <c r="F179" s="14">
        <f>A179-A293</f>
        <v>38</v>
      </c>
      <c r="G179" s="14">
        <f>A179-A263</f>
        <v>28</v>
      </c>
      <c r="H179" s="14">
        <f>A179-A203</f>
        <v>8</v>
      </c>
      <c r="I179" s="20"/>
      <c r="J179" s="156">
        <f>A179-A224-1</f>
        <v>14</v>
      </c>
      <c r="K179" s="20"/>
      <c r="L179" s="181">
        <v>46062</v>
      </c>
      <c r="M179" s="20"/>
    </row>
    <row r="180" spans="1:13" s="13" customFormat="1" ht="13.2" customHeight="1" x14ac:dyDescent="0.25">
      <c r="A180" s="178"/>
      <c r="B180" s="180"/>
      <c r="C180" s="118">
        <v>45</v>
      </c>
      <c r="D180" s="118">
        <v>67</v>
      </c>
      <c r="E180" s="118">
        <v>74</v>
      </c>
      <c r="F180" s="118">
        <v>77</v>
      </c>
      <c r="G180" s="118">
        <v>87</v>
      </c>
      <c r="H180" s="118">
        <v>89</v>
      </c>
      <c r="I180" s="20"/>
      <c r="J180" s="118">
        <v>37</v>
      </c>
      <c r="K180" s="20"/>
      <c r="L180" s="181"/>
      <c r="M180" s="20"/>
    </row>
    <row r="181" spans="1:13" s="13" customFormat="1" ht="13.2" customHeight="1" x14ac:dyDescent="0.25">
      <c r="A181" s="179"/>
      <c r="B181" s="180"/>
      <c r="C181" s="10">
        <f>H232+1</f>
        <v>6</v>
      </c>
      <c r="D181" s="10">
        <f>F184+1</f>
        <v>6</v>
      </c>
      <c r="E181" s="10">
        <f>H190+1</f>
        <v>9</v>
      </c>
      <c r="F181" s="10">
        <f>G331+1</f>
        <v>5</v>
      </c>
      <c r="G181" s="10">
        <f>H265+1</f>
        <v>6</v>
      </c>
      <c r="H181" s="10">
        <f>H205+1</f>
        <v>4</v>
      </c>
      <c r="I181" s="20"/>
      <c r="J181" s="156">
        <f>E226+1</f>
        <v>5</v>
      </c>
      <c r="K181" s="20"/>
      <c r="L181" s="181"/>
      <c r="M181" s="20"/>
    </row>
    <row r="182" spans="1:13" s="13" customFormat="1" ht="13.2" customHeight="1" x14ac:dyDescent="0.25">
      <c r="A182" s="177">
        <v>74</v>
      </c>
      <c r="B182" s="180">
        <v>61</v>
      </c>
      <c r="C182" s="14">
        <f>A182-A185</f>
        <v>1</v>
      </c>
      <c r="D182" s="14">
        <f>A182-A200</f>
        <v>6</v>
      </c>
      <c r="E182" s="14">
        <f>A182-A209</f>
        <v>9</v>
      </c>
      <c r="F182" s="14">
        <f>A182-A185</f>
        <v>1</v>
      </c>
      <c r="G182" s="14">
        <f>A182-A269</f>
        <v>29</v>
      </c>
      <c r="H182" s="14">
        <f>A182-A221</f>
        <v>13</v>
      </c>
      <c r="I182" s="20"/>
      <c r="J182" s="156">
        <f>A182-A209-1</f>
        <v>8</v>
      </c>
      <c r="K182" s="20"/>
      <c r="L182" s="181">
        <v>46060</v>
      </c>
      <c r="M182" s="20"/>
    </row>
    <row r="183" spans="1:13" s="13" customFormat="1" ht="13.2" customHeight="1" x14ac:dyDescent="0.25">
      <c r="A183" s="178"/>
      <c r="B183" s="180"/>
      <c r="C183" s="118">
        <v>8</v>
      </c>
      <c r="D183" s="118">
        <v>30</v>
      </c>
      <c r="E183" s="118">
        <v>65</v>
      </c>
      <c r="F183" s="118">
        <v>67</v>
      </c>
      <c r="G183" s="118">
        <v>72</v>
      </c>
      <c r="H183" s="118">
        <v>80</v>
      </c>
      <c r="I183" s="20"/>
      <c r="J183" s="118">
        <v>26</v>
      </c>
      <c r="K183" s="20"/>
      <c r="L183" s="181"/>
      <c r="M183" s="20"/>
    </row>
    <row r="184" spans="1:13" s="13" customFormat="1" ht="13.2" customHeight="1" x14ac:dyDescent="0.25">
      <c r="A184" s="179"/>
      <c r="B184" s="180"/>
      <c r="C184" s="10">
        <f>C187+1</f>
        <v>7</v>
      </c>
      <c r="D184" s="10">
        <f>E202+1</f>
        <v>6</v>
      </c>
      <c r="E184" s="10">
        <f>G211+1</f>
        <v>7</v>
      </c>
      <c r="F184" s="10">
        <f>G187+1</f>
        <v>5</v>
      </c>
      <c r="G184" s="10">
        <f>G271+1</f>
        <v>7</v>
      </c>
      <c r="H184" s="10">
        <f>G223+1</f>
        <v>5</v>
      </c>
      <c r="I184" s="20"/>
      <c r="J184" s="156">
        <f>D211+1</f>
        <v>3</v>
      </c>
      <c r="K184" s="20"/>
      <c r="L184" s="181"/>
      <c r="M184" s="20"/>
    </row>
    <row r="185" spans="1:13" s="13" customFormat="1" ht="13.2" customHeight="1" x14ac:dyDescent="0.25">
      <c r="A185" s="177">
        <v>73</v>
      </c>
      <c r="B185" s="180">
        <v>62</v>
      </c>
      <c r="C185" s="14">
        <f>A185--1</f>
        <v>74</v>
      </c>
      <c r="D185" s="14">
        <f>A185-A290-1</f>
        <v>34</v>
      </c>
      <c r="E185" s="14">
        <f>A185-A203-1</f>
        <v>5</v>
      </c>
      <c r="F185" s="14">
        <f>A185-A245-1</f>
        <v>19</v>
      </c>
      <c r="G185" s="14">
        <f>A185-A194-1</f>
        <v>2</v>
      </c>
      <c r="H185" s="14">
        <f>A185-A188-1</f>
        <v>0</v>
      </c>
      <c r="I185" s="20"/>
      <c r="J185" s="156">
        <f>A185-A224-1</f>
        <v>12</v>
      </c>
      <c r="K185" s="20"/>
      <c r="L185" s="181">
        <v>46057</v>
      </c>
      <c r="M185" s="20"/>
    </row>
    <row r="186" spans="1:13" s="13" customFormat="1" ht="13.2" customHeight="1" x14ac:dyDescent="0.25">
      <c r="A186" s="178"/>
      <c r="B186" s="180"/>
      <c r="C186" s="118">
        <v>8</v>
      </c>
      <c r="D186" s="118">
        <v>46</v>
      </c>
      <c r="E186" s="118">
        <v>50</v>
      </c>
      <c r="F186" s="118">
        <v>52</v>
      </c>
      <c r="G186" s="118">
        <v>67</v>
      </c>
      <c r="H186" s="118">
        <v>69</v>
      </c>
      <c r="I186" s="20"/>
      <c r="J186" s="118">
        <v>64</v>
      </c>
      <c r="K186" s="20"/>
      <c r="L186" s="181"/>
      <c r="M186" s="20"/>
    </row>
    <row r="187" spans="1:13" s="13" customFormat="1" ht="13.2" customHeight="1" x14ac:dyDescent="0.25">
      <c r="A187" s="179"/>
      <c r="B187" s="180"/>
      <c r="C187" s="10">
        <f>E214+1</f>
        <v>6</v>
      </c>
      <c r="D187" s="10">
        <f>E292+1</f>
        <v>3</v>
      </c>
      <c r="E187" s="10">
        <f>F205+1</f>
        <v>6</v>
      </c>
      <c r="F187" s="10">
        <f>E247+1</f>
        <v>2</v>
      </c>
      <c r="G187" s="10">
        <f>E196+1</f>
        <v>4</v>
      </c>
      <c r="H187" s="10">
        <f>J190+1</f>
        <v>3</v>
      </c>
      <c r="I187" s="20"/>
      <c r="J187" s="156">
        <f>G226+1</f>
        <v>5</v>
      </c>
      <c r="K187" s="20"/>
      <c r="L187" s="181"/>
      <c r="M187" s="20"/>
    </row>
    <row r="188" spans="1:13" s="13" customFormat="1" ht="13.2" customHeight="1" x14ac:dyDescent="0.25">
      <c r="A188" s="177">
        <v>72</v>
      </c>
      <c r="B188" s="180">
        <v>63</v>
      </c>
      <c r="C188" s="14">
        <f>A188-A206</f>
        <v>6</v>
      </c>
      <c r="D188" s="14">
        <f>A188-A194</f>
        <v>2</v>
      </c>
      <c r="E188" s="14">
        <f>A188-A197</f>
        <v>3</v>
      </c>
      <c r="F188" s="14">
        <f>A188-A266</f>
        <v>26</v>
      </c>
      <c r="G188" s="14">
        <f>A188-A197</f>
        <v>3</v>
      </c>
      <c r="H188" s="14">
        <f>A188-A191</f>
        <v>1</v>
      </c>
      <c r="I188" s="20"/>
      <c r="J188" s="156">
        <f>A188-A218-1</f>
        <v>9</v>
      </c>
      <c r="K188" s="20"/>
      <c r="L188" s="181">
        <v>46055</v>
      </c>
      <c r="M188" s="20"/>
    </row>
    <row r="189" spans="1:13" ht="12" customHeight="1" x14ac:dyDescent="0.25">
      <c r="A189" s="178"/>
      <c r="B189" s="180"/>
      <c r="C189" s="118">
        <v>21</v>
      </c>
      <c r="D189" s="118">
        <v>42</v>
      </c>
      <c r="E189" s="118">
        <v>51</v>
      </c>
      <c r="F189" s="118">
        <v>53</v>
      </c>
      <c r="G189" s="118">
        <v>57</v>
      </c>
      <c r="H189" s="118">
        <v>74</v>
      </c>
      <c r="I189" s="20"/>
      <c r="J189" s="118">
        <v>69</v>
      </c>
      <c r="K189" s="20"/>
      <c r="L189" s="181"/>
      <c r="M189" s="20"/>
    </row>
    <row r="190" spans="1:13" s="13" customFormat="1" ht="13.2" customHeight="1" x14ac:dyDescent="0.25">
      <c r="A190" s="179"/>
      <c r="B190" s="180"/>
      <c r="C190" s="10">
        <f>D208+1</f>
        <v>2</v>
      </c>
      <c r="D190" s="10">
        <f>D196+1</f>
        <v>2</v>
      </c>
      <c r="E190" s="10">
        <f>G199+1</f>
        <v>4</v>
      </c>
      <c r="F190" s="10">
        <f>G268+1</f>
        <v>8</v>
      </c>
      <c r="G190" s="10">
        <f>J199+1</f>
        <v>10</v>
      </c>
      <c r="H190" s="10">
        <f>H193+1</f>
        <v>8</v>
      </c>
      <c r="I190" s="20"/>
      <c r="J190" s="156">
        <f>G220+1</f>
        <v>2</v>
      </c>
      <c r="K190" s="20"/>
      <c r="L190" s="181"/>
      <c r="M190" s="20"/>
    </row>
    <row r="191" spans="1:13" s="13" customFormat="1" ht="13.2" customHeight="1" x14ac:dyDescent="0.25">
      <c r="A191" s="177">
        <v>71</v>
      </c>
      <c r="B191" s="180">
        <v>64</v>
      </c>
      <c r="C191" s="14">
        <f>A191-A269</f>
        <v>26</v>
      </c>
      <c r="D191" s="14">
        <f>A191-A209</f>
        <v>6</v>
      </c>
      <c r="E191" s="14">
        <f>A191-A215</f>
        <v>8</v>
      </c>
      <c r="F191" s="14">
        <f>A191-A212</f>
        <v>7</v>
      </c>
      <c r="G191" s="14">
        <f>A191-A218</f>
        <v>9</v>
      </c>
      <c r="H191" s="14">
        <f>A191-A194</f>
        <v>1</v>
      </c>
      <c r="I191" s="20"/>
      <c r="J191" s="156">
        <f>A191-A281-1</f>
        <v>29</v>
      </c>
      <c r="K191" s="20"/>
      <c r="L191" s="181">
        <v>46053</v>
      </c>
      <c r="M191" s="20"/>
    </row>
    <row r="192" spans="1:13" s="13" customFormat="1" ht="13.2" customHeight="1" x14ac:dyDescent="0.25">
      <c r="A192" s="178"/>
      <c r="B192" s="180"/>
      <c r="C192" s="118">
        <v>16</v>
      </c>
      <c r="D192" s="118">
        <v>28</v>
      </c>
      <c r="E192" s="118">
        <v>31</v>
      </c>
      <c r="F192" s="118">
        <v>41</v>
      </c>
      <c r="G192" s="118">
        <v>59</v>
      </c>
      <c r="H192" s="118">
        <v>74</v>
      </c>
      <c r="I192" s="20"/>
      <c r="J192" s="118">
        <v>35</v>
      </c>
      <c r="K192" s="20"/>
      <c r="L192" s="181"/>
      <c r="M192" s="20"/>
    </row>
    <row r="193" spans="1:13" s="13" customFormat="1" ht="13.2" customHeight="1" x14ac:dyDescent="0.25">
      <c r="A193" s="179"/>
      <c r="B193" s="180"/>
      <c r="C193" s="10">
        <f>C271+1</f>
        <v>5</v>
      </c>
      <c r="D193" s="10">
        <f>E211+1</f>
        <v>4</v>
      </c>
      <c r="E193" s="10">
        <f>D217+3</f>
        <v>6</v>
      </c>
      <c r="F193" s="10">
        <f>F214+1</f>
        <v>9</v>
      </c>
      <c r="G193" s="10">
        <f>F220+1</f>
        <v>6</v>
      </c>
      <c r="H193" s="10">
        <f>F196+1</f>
        <v>7</v>
      </c>
      <c r="I193" s="20"/>
      <c r="J193" s="156">
        <f>E283+1</f>
        <v>6</v>
      </c>
      <c r="K193" s="20"/>
      <c r="L193" s="181"/>
      <c r="M193" s="20"/>
    </row>
    <row r="194" spans="1:13" s="13" customFormat="1" ht="13.2" customHeight="1" x14ac:dyDescent="0.25">
      <c r="A194" s="177">
        <v>70</v>
      </c>
      <c r="B194" s="180">
        <v>65</v>
      </c>
      <c r="C194" s="14">
        <f>A194-A200</f>
        <v>2</v>
      </c>
      <c r="D194" s="14">
        <f>A194-A404</f>
        <v>70</v>
      </c>
      <c r="E194" s="14">
        <f>A194-A233</f>
        <v>13</v>
      </c>
      <c r="F194" s="14">
        <f>A194-A206</f>
        <v>4</v>
      </c>
      <c r="G194" s="14">
        <f>A194-A200</f>
        <v>2</v>
      </c>
      <c r="H194" s="14">
        <f>A194-A245</f>
        <v>17</v>
      </c>
      <c r="I194" s="20"/>
      <c r="J194" s="156">
        <f>A194-A206-1</f>
        <v>3</v>
      </c>
      <c r="K194" s="20"/>
      <c r="L194" s="181">
        <v>46050</v>
      </c>
      <c r="M194" s="20"/>
    </row>
    <row r="195" spans="1:13" s="13" customFormat="1" ht="13.2" customHeight="1" x14ac:dyDescent="0.25">
      <c r="A195" s="178"/>
      <c r="B195" s="180"/>
      <c r="C195" s="118">
        <v>6</v>
      </c>
      <c r="D195" s="118">
        <v>42</v>
      </c>
      <c r="E195" s="118">
        <v>67</v>
      </c>
      <c r="F195" s="118">
        <v>74</v>
      </c>
      <c r="G195" s="118">
        <v>78</v>
      </c>
      <c r="H195" s="118">
        <v>83</v>
      </c>
      <c r="I195" s="20"/>
      <c r="J195" s="118">
        <v>2</v>
      </c>
      <c r="K195" s="20"/>
      <c r="L195" s="181"/>
      <c r="M195" s="20"/>
    </row>
    <row r="196" spans="1:13" s="13" customFormat="1" ht="13.2" customHeight="1" x14ac:dyDescent="0.25">
      <c r="A196" s="179"/>
      <c r="B196" s="180"/>
      <c r="C196" s="10">
        <f>C202+1</f>
        <v>12</v>
      </c>
      <c r="D196" s="10">
        <v>1</v>
      </c>
      <c r="E196" s="10">
        <f>F235+1</f>
        <v>3</v>
      </c>
      <c r="F196" s="10">
        <f>G208+1</f>
        <v>6</v>
      </c>
      <c r="G196" s="10">
        <f>H202+1</f>
        <v>3</v>
      </c>
      <c r="H196" s="10">
        <f>H247+1</f>
        <v>6</v>
      </c>
      <c r="I196" s="20"/>
      <c r="J196" s="156">
        <f>C208+1</f>
        <v>10</v>
      </c>
      <c r="K196" s="20"/>
      <c r="L196" s="181"/>
      <c r="M196" s="20"/>
    </row>
    <row r="197" spans="1:13" s="13" customFormat="1" ht="13.2" customHeight="1" x14ac:dyDescent="0.25">
      <c r="A197" s="177">
        <v>69</v>
      </c>
      <c r="B197" s="180">
        <v>66</v>
      </c>
      <c r="C197" s="14">
        <f>A197-A230</f>
        <v>11</v>
      </c>
      <c r="D197" s="14">
        <f>A197-A275</f>
        <v>26</v>
      </c>
      <c r="E197" s="14">
        <f>A197-A206</f>
        <v>3</v>
      </c>
      <c r="F197" s="14">
        <f>A197-A200</f>
        <v>1</v>
      </c>
      <c r="G197" s="14">
        <f>A197-A215</f>
        <v>6</v>
      </c>
      <c r="H197" s="14">
        <f>A197-A227</f>
        <v>10</v>
      </c>
      <c r="I197" s="20"/>
      <c r="J197" s="156">
        <f>A197-A209-1</f>
        <v>3</v>
      </c>
      <c r="K197" s="20"/>
      <c r="L197" s="181">
        <v>46048</v>
      </c>
      <c r="M197" s="20"/>
    </row>
    <row r="198" spans="1:13" s="13" customFormat="1" ht="13.2" customHeight="1" x14ac:dyDescent="0.25">
      <c r="A198" s="178"/>
      <c r="B198" s="180"/>
      <c r="C198" s="118">
        <v>14</v>
      </c>
      <c r="D198" s="118">
        <v>22</v>
      </c>
      <c r="E198" s="118">
        <v>27</v>
      </c>
      <c r="F198" s="118">
        <v>40</v>
      </c>
      <c r="G198" s="118">
        <v>51</v>
      </c>
      <c r="H198" s="118">
        <v>70</v>
      </c>
      <c r="I198" s="20"/>
      <c r="J198" s="118">
        <v>57</v>
      </c>
      <c r="K198" s="20"/>
      <c r="L198" s="181"/>
      <c r="M198" s="20"/>
    </row>
    <row r="199" spans="1:13" s="13" customFormat="1" ht="13.2" customHeight="1" x14ac:dyDescent="0.25">
      <c r="A199" s="179"/>
      <c r="B199" s="180"/>
      <c r="C199" s="10">
        <f>D232+4</f>
        <v>12</v>
      </c>
      <c r="D199" s="10">
        <f>J277+1</f>
        <v>2</v>
      </c>
      <c r="E199" s="10">
        <f>E208+1</f>
        <v>9</v>
      </c>
      <c r="F199" s="10">
        <f>F202+1</f>
        <v>6</v>
      </c>
      <c r="G199" s="10">
        <f>F217+1</f>
        <v>3</v>
      </c>
      <c r="H199" s="10">
        <f>G229+1</f>
        <v>7</v>
      </c>
      <c r="I199" s="20"/>
      <c r="J199" s="156">
        <f>F211+1</f>
        <v>9</v>
      </c>
      <c r="K199" s="20"/>
      <c r="L199" s="181"/>
      <c r="M199" s="20"/>
    </row>
    <row r="200" spans="1:13" s="13" customFormat="1" ht="13.2" customHeight="1" x14ac:dyDescent="0.25">
      <c r="A200" s="177">
        <v>68</v>
      </c>
      <c r="B200" s="180">
        <v>67</v>
      </c>
      <c r="C200" s="14">
        <f>A200-A203</f>
        <v>1</v>
      </c>
      <c r="D200" s="14">
        <f>A200-A221</f>
        <v>7</v>
      </c>
      <c r="E200" s="14">
        <f>A200-A227</f>
        <v>9</v>
      </c>
      <c r="F200" s="14">
        <f>A200-A203</f>
        <v>1</v>
      </c>
      <c r="G200" s="14">
        <f>A200-A269</f>
        <v>23</v>
      </c>
      <c r="H200" s="14">
        <f>A200-A227</f>
        <v>9</v>
      </c>
      <c r="I200" s="20"/>
      <c r="J200" s="156">
        <f>A200-A236-1</f>
        <v>11</v>
      </c>
      <c r="K200" s="20"/>
      <c r="L200" s="181">
        <v>46046</v>
      </c>
      <c r="M200" s="20"/>
    </row>
    <row r="201" spans="1:13" s="13" customFormat="1" ht="13.2" customHeight="1" x14ac:dyDescent="0.25">
      <c r="A201" s="178"/>
      <c r="B201" s="180"/>
      <c r="C201" s="118">
        <v>6</v>
      </c>
      <c r="D201" s="118">
        <v>24</v>
      </c>
      <c r="E201" s="118">
        <v>30</v>
      </c>
      <c r="F201" s="118">
        <v>40</v>
      </c>
      <c r="G201" s="118">
        <v>63</v>
      </c>
      <c r="H201" s="118">
        <v>78</v>
      </c>
      <c r="I201" s="20"/>
      <c r="J201" s="118">
        <v>9</v>
      </c>
      <c r="K201" s="20"/>
      <c r="L201" s="181"/>
      <c r="M201" s="20"/>
    </row>
    <row r="202" spans="1:13" s="13" customFormat="1" ht="13.2" customHeight="1" x14ac:dyDescent="0.25">
      <c r="A202" s="179"/>
      <c r="B202" s="180"/>
      <c r="C202" s="10">
        <f>C205+1</f>
        <v>11</v>
      </c>
      <c r="D202" s="10">
        <f>D223+1</f>
        <v>9</v>
      </c>
      <c r="E202" s="10">
        <f>C229+1</f>
        <v>5</v>
      </c>
      <c r="F202" s="10">
        <f>F241+1</f>
        <v>5</v>
      </c>
      <c r="G202" s="10">
        <f>F271+1</f>
        <v>4</v>
      </c>
      <c r="H202" s="10">
        <f>H229+1</f>
        <v>2</v>
      </c>
      <c r="I202" s="20"/>
      <c r="J202" s="156">
        <f>C238+1</f>
        <v>2</v>
      </c>
      <c r="K202" s="20"/>
      <c r="L202" s="181"/>
      <c r="M202" s="20"/>
    </row>
    <row r="203" spans="1:13" s="13" customFormat="1" ht="13.2" customHeight="1" x14ac:dyDescent="0.25">
      <c r="A203" s="177">
        <v>67</v>
      </c>
      <c r="B203" s="180">
        <v>68</v>
      </c>
      <c r="C203" s="14">
        <f>A203-A215</f>
        <v>4</v>
      </c>
      <c r="D203" s="14">
        <f>A203-A218</f>
        <v>5</v>
      </c>
      <c r="E203" s="14">
        <f>A203-A239</f>
        <v>12</v>
      </c>
      <c r="F203" s="14">
        <f>A203-A224</f>
        <v>7</v>
      </c>
      <c r="G203" s="14">
        <f>A203-A242</f>
        <v>13</v>
      </c>
      <c r="H203" s="14">
        <f>A203-A221</f>
        <v>6</v>
      </c>
      <c r="I203" s="20"/>
      <c r="J203" s="156">
        <f>A203-A224-1</f>
        <v>6</v>
      </c>
      <c r="K203" s="20"/>
      <c r="L203" s="181">
        <v>46043</v>
      </c>
      <c r="M203" s="20"/>
    </row>
    <row r="204" spans="1:13" s="13" customFormat="1" ht="13.2" customHeight="1" x14ac:dyDescent="0.25">
      <c r="A204" s="178"/>
      <c r="B204" s="180"/>
      <c r="C204" s="118">
        <v>6</v>
      </c>
      <c r="D204" s="118">
        <v>23</v>
      </c>
      <c r="E204" s="118">
        <v>40</v>
      </c>
      <c r="F204" s="118">
        <v>50</v>
      </c>
      <c r="G204" s="118">
        <v>71</v>
      </c>
      <c r="H204" s="118">
        <v>89</v>
      </c>
      <c r="I204" s="20"/>
      <c r="J204" s="118">
        <v>4</v>
      </c>
      <c r="K204" s="20"/>
      <c r="L204" s="181"/>
      <c r="M204" s="20"/>
    </row>
    <row r="205" spans="1:13" s="13" customFormat="1" ht="13.2" customHeight="1" x14ac:dyDescent="0.25">
      <c r="A205" s="179"/>
      <c r="B205" s="180"/>
      <c r="C205" s="10">
        <f>C217+1</f>
        <v>10</v>
      </c>
      <c r="D205" s="10">
        <f>D220+1</f>
        <v>9</v>
      </c>
      <c r="E205" s="10">
        <f>F241+1</f>
        <v>5</v>
      </c>
      <c r="F205" s="10">
        <f>F226+1</f>
        <v>5</v>
      </c>
      <c r="G205" s="10">
        <f>H244+1</f>
        <v>4</v>
      </c>
      <c r="H205" s="10">
        <f>H223+1</f>
        <v>3</v>
      </c>
      <c r="I205" s="20"/>
      <c r="J205" s="156">
        <f>C226+1</f>
        <v>8</v>
      </c>
      <c r="K205" s="20"/>
      <c r="L205" s="181"/>
      <c r="M205" s="20"/>
    </row>
    <row r="206" spans="1:13" s="13" customFormat="1" ht="13.2" customHeight="1" x14ac:dyDescent="0.25">
      <c r="A206" s="177">
        <v>66</v>
      </c>
      <c r="B206" s="180">
        <v>69</v>
      </c>
      <c r="C206" s="14">
        <f>A206-A212</f>
        <v>2</v>
      </c>
      <c r="D206" s="14">
        <f>A206-A404</f>
        <v>66</v>
      </c>
      <c r="E206" s="14">
        <f>A206-A245</f>
        <v>13</v>
      </c>
      <c r="F206" s="14">
        <f>A206-A257</f>
        <v>17</v>
      </c>
      <c r="G206" s="14">
        <f>A206-A236</f>
        <v>10</v>
      </c>
      <c r="H206" s="14">
        <f>A206-A302</f>
        <v>32</v>
      </c>
      <c r="I206" s="20"/>
      <c r="J206" s="156">
        <f>A206-A269-1</f>
        <v>20</v>
      </c>
      <c r="K206" s="20"/>
      <c r="L206" s="181">
        <v>46041</v>
      </c>
      <c r="M206" s="20"/>
    </row>
    <row r="207" spans="1:13" s="13" customFormat="1" ht="13.2" customHeight="1" x14ac:dyDescent="0.25">
      <c r="A207" s="178"/>
      <c r="B207" s="180"/>
      <c r="C207" s="118">
        <v>2</v>
      </c>
      <c r="D207" s="118">
        <v>21</v>
      </c>
      <c r="E207" s="118">
        <v>27</v>
      </c>
      <c r="F207" s="118">
        <v>62</v>
      </c>
      <c r="G207" s="118">
        <v>74</v>
      </c>
      <c r="H207" s="118">
        <v>81</v>
      </c>
      <c r="I207" s="20"/>
      <c r="J207" s="118">
        <v>33</v>
      </c>
      <c r="K207" s="20"/>
      <c r="L207" s="181"/>
      <c r="M207" s="20"/>
    </row>
    <row r="208" spans="1:13" ht="13.2" customHeight="1" x14ac:dyDescent="0.25">
      <c r="A208" s="179"/>
      <c r="B208" s="180"/>
      <c r="C208" s="10">
        <f>C214+1</f>
        <v>9</v>
      </c>
      <c r="D208" s="10">
        <v>1</v>
      </c>
      <c r="E208" s="10">
        <f>D247+1</f>
        <v>8</v>
      </c>
      <c r="F208" s="10">
        <f>G259+1</f>
        <v>6</v>
      </c>
      <c r="G208" s="10">
        <f>G238+1</f>
        <v>5</v>
      </c>
      <c r="H208" s="10">
        <f>H304+1</f>
        <v>2</v>
      </c>
      <c r="I208" s="20"/>
      <c r="J208" s="156">
        <f>D271+1</f>
        <v>8</v>
      </c>
      <c r="K208" s="20"/>
      <c r="L208" s="181"/>
      <c r="M208" s="20"/>
    </row>
    <row r="209" spans="1:13" ht="13.2" customHeight="1" x14ac:dyDescent="0.25">
      <c r="A209" s="177">
        <v>65</v>
      </c>
      <c r="B209" s="180">
        <v>70</v>
      </c>
      <c r="C209" s="14">
        <f>A209-A320</f>
        <v>37</v>
      </c>
      <c r="D209" s="14">
        <f>A209-A386</f>
        <v>59</v>
      </c>
      <c r="E209" s="14">
        <f>A209-A248</f>
        <v>13</v>
      </c>
      <c r="F209" s="14">
        <f>A209-A233</f>
        <v>8</v>
      </c>
      <c r="G209" s="14">
        <f>A209-A287</f>
        <v>26</v>
      </c>
      <c r="H209" s="14">
        <f>A209-A218</f>
        <v>3</v>
      </c>
      <c r="I209" s="20"/>
      <c r="J209" s="156">
        <f>A209-A278-1</f>
        <v>22</v>
      </c>
      <c r="K209" s="20"/>
      <c r="L209" s="181">
        <v>46039</v>
      </c>
      <c r="M209" s="20"/>
    </row>
    <row r="210" spans="1:13" s="13" customFormat="1" ht="13.2" customHeight="1" x14ac:dyDescent="0.25">
      <c r="A210" s="178"/>
      <c r="B210" s="180"/>
      <c r="C210" s="118">
        <v>10</v>
      </c>
      <c r="D210" s="118">
        <v>26</v>
      </c>
      <c r="E210" s="118">
        <v>28</v>
      </c>
      <c r="F210" s="118">
        <v>57</v>
      </c>
      <c r="G210" s="118">
        <v>65</v>
      </c>
      <c r="H210" s="118">
        <v>82</v>
      </c>
      <c r="I210" s="20"/>
      <c r="J210" s="118">
        <v>34</v>
      </c>
      <c r="K210" s="20"/>
      <c r="L210" s="181"/>
      <c r="M210" s="20"/>
    </row>
    <row r="211" spans="1:13" s="13" customFormat="1" ht="13.2" customHeight="1" x14ac:dyDescent="0.25">
      <c r="A211" s="179"/>
      <c r="B211" s="180"/>
      <c r="C211" s="10">
        <f>E322+1</f>
        <v>5</v>
      </c>
      <c r="D211" s="10">
        <f>G388+1</f>
        <v>2</v>
      </c>
      <c r="E211" s="10">
        <f>F250+1</f>
        <v>3</v>
      </c>
      <c r="F211" s="10">
        <f>D235+1</f>
        <v>8</v>
      </c>
      <c r="G211" s="10">
        <f>H289+1</f>
        <v>6</v>
      </c>
      <c r="H211" s="10">
        <f>H220+1</f>
        <v>7</v>
      </c>
      <c r="I211" s="20"/>
      <c r="J211" s="156">
        <f>D280+1</f>
        <v>4</v>
      </c>
      <c r="K211" s="20"/>
      <c r="L211" s="181"/>
      <c r="M211" s="20"/>
    </row>
    <row r="212" spans="1:13" s="13" customFormat="1" ht="13.2" customHeight="1" x14ac:dyDescent="0.25">
      <c r="A212" s="177">
        <v>64</v>
      </c>
      <c r="B212" s="180">
        <v>71</v>
      </c>
      <c r="C212" s="14">
        <f>A212-A251</f>
        <v>13</v>
      </c>
      <c r="D212" s="14">
        <f>A212-A218</f>
        <v>2</v>
      </c>
      <c r="E212" s="14">
        <f>A212-A248</f>
        <v>12</v>
      </c>
      <c r="F212" s="14">
        <f>A212-A224</f>
        <v>4</v>
      </c>
      <c r="G212" s="14">
        <f>A212-A215</f>
        <v>1</v>
      </c>
      <c r="H212" s="14">
        <f>A212-A290</f>
        <v>26</v>
      </c>
      <c r="I212" s="20"/>
      <c r="J212" s="156">
        <f>A212-A245-1</f>
        <v>10</v>
      </c>
      <c r="K212" s="20"/>
      <c r="L212" s="181">
        <v>46036</v>
      </c>
      <c r="M212" s="20"/>
    </row>
    <row r="213" spans="1:13" s="13" customFormat="1" ht="13.2" customHeight="1" x14ac:dyDescent="0.25">
      <c r="A213" s="178"/>
      <c r="B213" s="180"/>
      <c r="C213" s="118">
        <v>2</v>
      </c>
      <c r="D213" s="118">
        <v>3</v>
      </c>
      <c r="E213" s="118">
        <v>8</v>
      </c>
      <c r="F213" s="118">
        <v>41</v>
      </c>
      <c r="G213" s="118">
        <v>68</v>
      </c>
      <c r="H213" s="118">
        <v>90</v>
      </c>
      <c r="I213" s="20"/>
      <c r="J213" s="118">
        <v>5</v>
      </c>
      <c r="K213" s="20"/>
      <c r="L213" s="181"/>
      <c r="M213" s="20"/>
    </row>
    <row r="214" spans="1:13" s="13" customFormat="1" ht="13.2" customHeight="1" x14ac:dyDescent="0.25">
      <c r="A214" s="179"/>
      <c r="B214" s="180"/>
      <c r="C214" s="10">
        <f>C253+1</f>
        <v>8</v>
      </c>
      <c r="D214" s="10">
        <f>C220+1</f>
        <v>5</v>
      </c>
      <c r="E214" s="10">
        <f>E250+1</f>
        <v>5</v>
      </c>
      <c r="F214" s="10">
        <f>J226+1</f>
        <v>8</v>
      </c>
      <c r="G214" s="10">
        <f>H217+1</f>
        <v>8</v>
      </c>
      <c r="H214" s="10">
        <f>H292+1</f>
        <v>5</v>
      </c>
      <c r="I214" s="20"/>
      <c r="J214" s="156">
        <f>C247+1</f>
        <v>8</v>
      </c>
      <c r="K214" s="20"/>
      <c r="L214" s="181"/>
      <c r="M214" s="20"/>
    </row>
    <row r="215" spans="1:13" s="13" customFormat="1" ht="13.2" customHeight="1" x14ac:dyDescent="0.25">
      <c r="A215" s="177">
        <v>63</v>
      </c>
      <c r="B215" s="180">
        <v>72</v>
      </c>
      <c r="C215" s="14">
        <f>A215-A248</f>
        <v>11</v>
      </c>
      <c r="D215" s="14">
        <f>A215-A287</f>
        <v>24</v>
      </c>
      <c r="E215" s="14">
        <f>A215-A257</f>
        <v>14</v>
      </c>
      <c r="F215" s="14">
        <f>A215-A389</f>
        <v>58</v>
      </c>
      <c r="G215" s="14">
        <f>A215-A290</f>
        <v>25</v>
      </c>
      <c r="H215" s="14">
        <f>A215-A227</f>
        <v>4</v>
      </c>
      <c r="I215" s="20"/>
      <c r="J215" s="156">
        <f>A215-A260-1</f>
        <v>14</v>
      </c>
      <c r="K215" s="20"/>
      <c r="L215" s="181">
        <v>46034</v>
      </c>
      <c r="M215" s="20"/>
    </row>
    <row r="216" spans="1:13" s="13" customFormat="1" ht="13.2" customHeight="1" x14ac:dyDescent="0.25">
      <c r="A216" s="178"/>
      <c r="B216" s="180"/>
      <c r="C216" s="118">
        <v>6</v>
      </c>
      <c r="D216" s="118">
        <v>31</v>
      </c>
      <c r="E216" s="118">
        <v>38</v>
      </c>
      <c r="F216" s="118">
        <v>51</v>
      </c>
      <c r="G216" s="118">
        <v>66</v>
      </c>
      <c r="H216" s="118">
        <v>68</v>
      </c>
      <c r="I216" s="20"/>
      <c r="J216" s="118">
        <v>88</v>
      </c>
      <c r="K216" s="20"/>
      <c r="L216" s="181"/>
      <c r="M216" s="20"/>
    </row>
    <row r="217" spans="1:13" s="13" customFormat="1" ht="13.2" customHeight="1" x14ac:dyDescent="0.25">
      <c r="A217" s="179"/>
      <c r="B217" s="180"/>
      <c r="C217" s="10">
        <f>D250+2</f>
        <v>9</v>
      </c>
      <c r="D217" s="10">
        <f>E289+1</f>
        <v>3</v>
      </c>
      <c r="E217" s="10">
        <f>D259+1</f>
        <v>5</v>
      </c>
      <c r="F217" s="10">
        <f>E391+1</f>
        <v>2</v>
      </c>
      <c r="G217" s="10">
        <f>F292+1</f>
        <v>2</v>
      </c>
      <c r="H217" s="10">
        <f>F229+1</f>
        <v>7</v>
      </c>
      <c r="I217" s="20"/>
      <c r="J217" s="156">
        <f>H262+1</f>
        <v>4</v>
      </c>
      <c r="K217" s="20"/>
      <c r="L217" s="181"/>
      <c r="M217" s="20"/>
    </row>
    <row r="218" spans="1:13" s="13" customFormat="1" ht="13.2" customHeight="1" x14ac:dyDescent="0.25">
      <c r="A218" s="177">
        <v>62</v>
      </c>
      <c r="B218" s="180">
        <v>73</v>
      </c>
      <c r="C218" s="14">
        <f>A218-A248</f>
        <v>10</v>
      </c>
      <c r="D218" s="14">
        <f>A218-A230-1</f>
        <v>3</v>
      </c>
      <c r="E218" s="14">
        <f>A218-A248</f>
        <v>10</v>
      </c>
      <c r="F218" s="14">
        <f>A218-A233</f>
        <v>5</v>
      </c>
      <c r="G218" s="14">
        <f>A218-A404</f>
        <v>62</v>
      </c>
      <c r="H218" s="17">
        <f>A218-A248</f>
        <v>10</v>
      </c>
      <c r="I218" s="20"/>
      <c r="J218" s="156">
        <f>A218-A233-1</f>
        <v>4</v>
      </c>
      <c r="K218" s="20"/>
      <c r="L218" s="181">
        <v>46032</v>
      </c>
      <c r="M218" s="20"/>
    </row>
    <row r="219" spans="1:13" s="13" customFormat="1" ht="13.2" customHeight="1" x14ac:dyDescent="0.25">
      <c r="A219" s="178"/>
      <c r="B219" s="180"/>
      <c r="C219" s="118">
        <v>3</v>
      </c>
      <c r="D219" s="118">
        <v>23</v>
      </c>
      <c r="E219" s="118">
        <v>55</v>
      </c>
      <c r="F219" s="118">
        <v>59</v>
      </c>
      <c r="G219" s="118">
        <v>69</v>
      </c>
      <c r="H219" s="114">
        <v>82</v>
      </c>
      <c r="I219" s="20"/>
      <c r="J219" s="114">
        <v>36</v>
      </c>
      <c r="K219" s="20"/>
      <c r="L219" s="181"/>
      <c r="M219" s="20"/>
    </row>
    <row r="220" spans="1:13" s="13" customFormat="1" ht="13.2" customHeight="1" x14ac:dyDescent="0.25">
      <c r="A220" s="179"/>
      <c r="B220" s="180"/>
      <c r="C220" s="10">
        <f>C250+1</f>
        <v>4</v>
      </c>
      <c r="D220" s="10">
        <f>J232+1</f>
        <v>8</v>
      </c>
      <c r="E220" s="10">
        <f>G250+1</f>
        <v>3</v>
      </c>
      <c r="F220" s="10">
        <f>E235+1</f>
        <v>5</v>
      </c>
      <c r="G220" s="10">
        <v>1</v>
      </c>
      <c r="H220" s="18">
        <f>H250+1</f>
        <v>6</v>
      </c>
      <c r="I220" s="20"/>
      <c r="J220" s="158">
        <f>C235+1</f>
        <v>9</v>
      </c>
      <c r="K220" s="20"/>
      <c r="L220" s="181"/>
      <c r="M220" s="20"/>
    </row>
    <row r="221" spans="1:13" s="13" customFormat="1" ht="12" customHeight="1" x14ac:dyDescent="0.25">
      <c r="A221" s="177">
        <v>61</v>
      </c>
      <c r="B221" s="180">
        <v>74</v>
      </c>
      <c r="C221" s="14">
        <f>A221-A230</f>
        <v>3</v>
      </c>
      <c r="D221" s="14">
        <f>A221-A239</f>
        <v>6</v>
      </c>
      <c r="E221" s="14">
        <f>A221-A242</f>
        <v>7</v>
      </c>
      <c r="F221" s="14">
        <f>A221-A293</f>
        <v>24</v>
      </c>
      <c r="G221" s="14">
        <f>A221-A233</f>
        <v>4</v>
      </c>
      <c r="H221" s="14">
        <f>A221-A224</f>
        <v>1</v>
      </c>
      <c r="I221" s="20"/>
      <c r="J221" s="156">
        <f>A221-A236-1</f>
        <v>4</v>
      </c>
      <c r="K221" s="20"/>
      <c r="L221" s="181">
        <v>46029</v>
      </c>
      <c r="M221" s="20"/>
    </row>
    <row r="222" spans="1:13" s="13" customFormat="1" ht="13.2" customHeight="1" x14ac:dyDescent="0.25">
      <c r="A222" s="178"/>
      <c r="B222" s="180"/>
      <c r="C222" s="118">
        <v>13</v>
      </c>
      <c r="D222" s="118">
        <v>24</v>
      </c>
      <c r="E222" s="118">
        <v>44</v>
      </c>
      <c r="F222" s="118">
        <v>79</v>
      </c>
      <c r="G222" s="118">
        <v>80</v>
      </c>
      <c r="H222" s="118">
        <v>89</v>
      </c>
      <c r="I222" s="20"/>
      <c r="J222" s="118">
        <v>39</v>
      </c>
      <c r="K222" s="20"/>
      <c r="L222" s="181"/>
      <c r="M222" s="20"/>
    </row>
    <row r="223" spans="1:13" s="13" customFormat="1" ht="13.2" customHeight="1" x14ac:dyDescent="0.25">
      <c r="A223" s="179"/>
      <c r="B223" s="180"/>
      <c r="C223" s="10">
        <f>D238+1</f>
        <v>5</v>
      </c>
      <c r="D223" s="10">
        <f>D241+1</f>
        <v>8</v>
      </c>
      <c r="E223" s="10">
        <f>F244+1</f>
        <v>6</v>
      </c>
      <c r="F223" s="10">
        <f>G304+1</f>
        <v>4</v>
      </c>
      <c r="G223" s="10">
        <f>G235+1</f>
        <v>4</v>
      </c>
      <c r="H223" s="10">
        <f>H226+1</f>
        <v>2</v>
      </c>
      <c r="I223" s="20"/>
      <c r="J223" s="156">
        <f>J238+1</f>
        <v>8</v>
      </c>
      <c r="K223" s="20"/>
      <c r="L223" s="181"/>
      <c r="M223" s="20"/>
    </row>
    <row r="224" spans="1:13" s="13" customFormat="1" ht="13.2" customHeight="1" x14ac:dyDescent="0.25">
      <c r="A224" s="177">
        <v>60</v>
      </c>
      <c r="B224" s="180">
        <v>75</v>
      </c>
      <c r="C224" s="14">
        <f>A224-A254-1</f>
        <v>9</v>
      </c>
      <c r="D224" s="14">
        <f>A224-A311</f>
        <v>29</v>
      </c>
      <c r="E224" s="14">
        <f>A224-A227</f>
        <v>1</v>
      </c>
      <c r="F224" s="14">
        <f>A224-A308</f>
        <v>28</v>
      </c>
      <c r="G224" s="14">
        <f>A224-A245</f>
        <v>7</v>
      </c>
      <c r="H224" s="14">
        <f>A224-A404</f>
        <v>60</v>
      </c>
      <c r="I224" s="20"/>
      <c r="J224" s="156">
        <f>A224-A236-1</f>
        <v>3</v>
      </c>
      <c r="K224" s="20"/>
      <c r="L224" s="181">
        <v>46027</v>
      </c>
      <c r="M224" s="20"/>
    </row>
    <row r="225" spans="1:13" s="13" customFormat="1" ht="13.2" customHeight="1" x14ac:dyDescent="0.25">
      <c r="A225" s="178"/>
      <c r="B225" s="180"/>
      <c r="C225" s="118">
        <v>4</v>
      </c>
      <c r="D225" s="118">
        <v>12</v>
      </c>
      <c r="E225" s="118">
        <v>37</v>
      </c>
      <c r="F225" s="118">
        <v>50</v>
      </c>
      <c r="G225" s="118">
        <v>64</v>
      </c>
      <c r="H225" s="118">
        <v>89</v>
      </c>
      <c r="I225" s="20"/>
      <c r="J225" s="118">
        <v>41</v>
      </c>
      <c r="K225" s="20"/>
      <c r="L225" s="181"/>
      <c r="M225" s="20"/>
    </row>
    <row r="226" spans="1:13" s="13" customFormat="1" ht="13.2" customHeight="1" x14ac:dyDescent="0.25">
      <c r="A226" s="179"/>
      <c r="B226" s="180"/>
      <c r="C226" s="10">
        <f>J256+1</f>
        <v>7</v>
      </c>
      <c r="D226" s="10">
        <f>E313+1</f>
        <v>5</v>
      </c>
      <c r="E226" s="10">
        <f>J229+1</f>
        <v>4</v>
      </c>
      <c r="F226" s="10">
        <f>F310+1</f>
        <v>4</v>
      </c>
      <c r="G226" s="10">
        <f>F247+1</f>
        <v>4</v>
      </c>
      <c r="H226" s="10">
        <v>1</v>
      </c>
      <c r="I226" s="20"/>
      <c r="J226" s="156">
        <f>F238+1</f>
        <v>7</v>
      </c>
      <c r="K226" s="20"/>
      <c r="L226" s="181"/>
      <c r="M226" s="20"/>
    </row>
    <row r="227" spans="1:13" s="13" customFormat="1" ht="13.2" customHeight="1" x14ac:dyDescent="0.25">
      <c r="A227" s="177">
        <v>59</v>
      </c>
      <c r="B227" s="180">
        <v>76</v>
      </c>
      <c r="C227" s="14">
        <f>A227-A239</f>
        <v>4</v>
      </c>
      <c r="D227" s="14">
        <f>A227-A239</f>
        <v>4</v>
      </c>
      <c r="E227" s="14">
        <f>A227-A341</f>
        <v>38</v>
      </c>
      <c r="F227" s="14">
        <f>A227-A251</f>
        <v>8</v>
      </c>
      <c r="G227" s="14">
        <f>A227-A254</f>
        <v>9</v>
      </c>
      <c r="H227" s="14">
        <f>A227-A404</f>
        <v>59</v>
      </c>
      <c r="I227" s="20"/>
      <c r="J227" s="156">
        <f>A227-A338-1</f>
        <v>36</v>
      </c>
      <c r="K227" s="20"/>
      <c r="L227" s="181">
        <v>46025</v>
      </c>
      <c r="M227" s="20"/>
    </row>
    <row r="228" spans="1:13" s="13" customFormat="1" ht="13.2" customHeight="1" x14ac:dyDescent="0.25">
      <c r="A228" s="178"/>
      <c r="B228" s="180"/>
      <c r="C228" s="118">
        <v>30</v>
      </c>
      <c r="D228" s="118">
        <v>47</v>
      </c>
      <c r="E228" s="118">
        <v>58</v>
      </c>
      <c r="F228" s="118">
        <v>68</v>
      </c>
      <c r="G228" s="118">
        <v>70</v>
      </c>
      <c r="H228" s="118">
        <v>78</v>
      </c>
      <c r="I228" s="20"/>
      <c r="J228" s="118">
        <v>37</v>
      </c>
      <c r="K228" s="20"/>
      <c r="L228" s="181"/>
      <c r="M228" s="20"/>
    </row>
    <row r="229" spans="1:13" s="13" customFormat="1" ht="13.2" customHeight="1" x14ac:dyDescent="0.25">
      <c r="A229" s="179"/>
      <c r="B229" s="180"/>
      <c r="C229" s="10">
        <f>E241+1</f>
        <v>4</v>
      </c>
      <c r="D229" s="10">
        <f>J241+1</f>
        <v>5</v>
      </c>
      <c r="E229" s="10">
        <f>G343+1</f>
        <v>3</v>
      </c>
      <c r="F229" s="10">
        <f>G253+1</f>
        <v>6</v>
      </c>
      <c r="G229" s="10">
        <f>F256+1</f>
        <v>6</v>
      </c>
      <c r="H229" s="10">
        <v>1</v>
      </c>
      <c r="I229" s="20"/>
      <c r="J229" s="156">
        <f>E340+1</f>
        <v>3</v>
      </c>
      <c r="K229" s="20"/>
      <c r="L229" s="181"/>
      <c r="M229" s="20"/>
    </row>
    <row r="230" spans="1:13" s="13" customFormat="1" ht="13.2" customHeight="1" x14ac:dyDescent="0.25">
      <c r="A230" s="177">
        <v>58</v>
      </c>
      <c r="B230" s="180">
        <v>77</v>
      </c>
      <c r="C230" s="14">
        <f>A230-A236</f>
        <v>2</v>
      </c>
      <c r="D230" s="14">
        <f>A230-A263</f>
        <v>11</v>
      </c>
      <c r="E230" s="14">
        <f>A230-A242</f>
        <v>4</v>
      </c>
      <c r="F230" s="14">
        <f>A230-A293</f>
        <v>21</v>
      </c>
      <c r="G230" s="14">
        <f>A230-A272</f>
        <v>14</v>
      </c>
      <c r="H230" s="14">
        <f>A230-A302</f>
        <v>24</v>
      </c>
      <c r="I230" s="20"/>
      <c r="J230" s="156">
        <f>A230-A242-1</f>
        <v>3</v>
      </c>
      <c r="K230" s="20"/>
      <c r="L230" s="181">
        <v>46022</v>
      </c>
      <c r="M230" s="20"/>
    </row>
    <row r="231" spans="1:13" s="13" customFormat="1" ht="13.2" customHeight="1" x14ac:dyDescent="0.25">
      <c r="A231" s="178"/>
      <c r="B231" s="180"/>
      <c r="C231" s="114">
        <v>13</v>
      </c>
      <c r="D231" s="115">
        <v>14</v>
      </c>
      <c r="E231" s="115">
        <v>19</v>
      </c>
      <c r="F231" s="115">
        <v>25</v>
      </c>
      <c r="G231" s="115">
        <v>32</v>
      </c>
      <c r="H231" s="115">
        <v>45</v>
      </c>
      <c r="I231" s="20"/>
      <c r="J231" s="115">
        <v>23</v>
      </c>
      <c r="K231" s="20"/>
      <c r="L231" s="181"/>
      <c r="M231" s="20"/>
    </row>
    <row r="232" spans="1:13" s="13" customFormat="1" ht="13.2" customHeight="1" x14ac:dyDescent="0.25">
      <c r="A232" s="179"/>
      <c r="B232" s="180"/>
      <c r="C232" s="10">
        <f>D238+1</f>
        <v>5</v>
      </c>
      <c r="D232" s="10">
        <f>C265+1</f>
        <v>8</v>
      </c>
      <c r="E232" s="10">
        <f>C244+1</f>
        <v>5</v>
      </c>
      <c r="F232" s="10">
        <f>E295+1</f>
        <v>4</v>
      </c>
      <c r="G232" s="10">
        <f>E274+1</f>
        <v>8</v>
      </c>
      <c r="H232" s="10">
        <f>D304+1</f>
        <v>5</v>
      </c>
      <c r="I232" s="20"/>
      <c r="J232" s="156">
        <f>J244+1</f>
        <v>7</v>
      </c>
      <c r="K232" s="20"/>
      <c r="L232" s="181"/>
      <c r="M232" s="20"/>
    </row>
    <row r="233" spans="1:13" s="13" customFormat="1" ht="13.2" customHeight="1" x14ac:dyDescent="0.25">
      <c r="A233" s="177">
        <v>57</v>
      </c>
      <c r="B233" s="180">
        <v>78</v>
      </c>
      <c r="C233" s="14">
        <f>A233-A311</f>
        <v>26</v>
      </c>
      <c r="D233" s="14">
        <f>A233-A254</f>
        <v>7</v>
      </c>
      <c r="E233" s="14">
        <f>A233-A278</f>
        <v>15</v>
      </c>
      <c r="F233" s="14">
        <f>A233-A254</f>
        <v>7</v>
      </c>
      <c r="G233" s="14">
        <f>A233-A281</f>
        <v>16</v>
      </c>
      <c r="H233" s="14">
        <f>A233-A275</f>
        <v>14</v>
      </c>
      <c r="I233" s="20"/>
      <c r="J233" s="156">
        <f>A233-A281-1</f>
        <v>15</v>
      </c>
      <c r="K233" s="20"/>
      <c r="L233" s="182">
        <v>46020</v>
      </c>
      <c r="M233" s="20"/>
    </row>
    <row r="234" spans="1:13" s="13" customFormat="1" ht="13.2" customHeight="1" x14ac:dyDescent="0.25">
      <c r="A234" s="178"/>
      <c r="B234" s="180"/>
      <c r="C234" s="114">
        <v>36</v>
      </c>
      <c r="D234" s="115">
        <v>57</v>
      </c>
      <c r="E234" s="115">
        <v>59</v>
      </c>
      <c r="F234" s="115">
        <v>67</v>
      </c>
      <c r="G234" s="115">
        <v>80</v>
      </c>
      <c r="H234" s="115">
        <v>85</v>
      </c>
      <c r="I234" s="20"/>
      <c r="J234" s="115">
        <v>18</v>
      </c>
      <c r="K234" s="20"/>
      <c r="L234" s="182"/>
      <c r="M234" s="20"/>
    </row>
    <row r="235" spans="1:13" s="13" customFormat="1" ht="13.2" customHeight="1" x14ac:dyDescent="0.25">
      <c r="A235" s="179"/>
      <c r="B235" s="180"/>
      <c r="C235" s="10">
        <f>G313+2</f>
        <v>8</v>
      </c>
      <c r="D235" s="10">
        <f>D256+1</f>
        <v>7</v>
      </c>
      <c r="E235" s="10">
        <f>E280+1</f>
        <v>4</v>
      </c>
      <c r="F235" s="10">
        <f>E256+1</f>
        <v>2</v>
      </c>
      <c r="G235" s="10">
        <f>G283+1</f>
        <v>3</v>
      </c>
      <c r="H235" s="10">
        <f>H277+1</f>
        <v>5</v>
      </c>
      <c r="I235" s="20"/>
      <c r="J235" s="156">
        <f>C283+1</f>
        <v>6</v>
      </c>
      <c r="K235" s="20"/>
      <c r="L235" s="182"/>
      <c r="M235" s="20"/>
    </row>
    <row r="236" spans="1:13" s="13" customFormat="1" ht="13.2" customHeight="1" x14ac:dyDescent="0.25">
      <c r="A236" s="177">
        <v>56</v>
      </c>
      <c r="B236" s="180">
        <v>79</v>
      </c>
      <c r="C236" s="14">
        <f>A236-A404</f>
        <v>56</v>
      </c>
      <c r="D236" s="14">
        <f>A236-A239</f>
        <v>1</v>
      </c>
      <c r="E236" s="14">
        <f>A236-A260</f>
        <v>8</v>
      </c>
      <c r="F236" s="14">
        <f>A236-A242</f>
        <v>2</v>
      </c>
      <c r="G236" s="14">
        <f>A236-A254</f>
        <v>6</v>
      </c>
      <c r="H236" s="14">
        <f>A236-A275</f>
        <v>13</v>
      </c>
      <c r="I236" s="20"/>
      <c r="J236" s="156">
        <f>A236-A299-1</f>
        <v>20</v>
      </c>
      <c r="K236" s="20"/>
      <c r="L236" s="181">
        <v>46018</v>
      </c>
      <c r="M236" s="20"/>
    </row>
    <row r="237" spans="1:13" s="13" customFormat="1" ht="13.2" customHeight="1" x14ac:dyDescent="0.25">
      <c r="A237" s="178"/>
      <c r="B237" s="180"/>
      <c r="C237" s="114">
        <v>9</v>
      </c>
      <c r="D237" s="115">
        <v>13</v>
      </c>
      <c r="E237" s="115">
        <v>29</v>
      </c>
      <c r="F237" s="115">
        <v>41</v>
      </c>
      <c r="G237" s="115">
        <v>74</v>
      </c>
      <c r="H237" s="115">
        <v>82</v>
      </c>
      <c r="I237" s="20"/>
      <c r="J237" s="115">
        <v>39</v>
      </c>
      <c r="K237" s="20"/>
      <c r="L237" s="181"/>
      <c r="M237" s="20"/>
    </row>
    <row r="238" spans="1:13" s="13" customFormat="1" ht="13.2" customHeight="1" x14ac:dyDescent="0.25">
      <c r="A238" s="179"/>
      <c r="B238" s="180"/>
      <c r="C238" s="10">
        <v>1</v>
      </c>
      <c r="D238" s="10">
        <f>C241+1</f>
        <v>4</v>
      </c>
      <c r="E238" s="10">
        <f>J253+1</f>
        <v>7</v>
      </c>
      <c r="F238" s="10">
        <f>E244+1</f>
        <v>6</v>
      </c>
      <c r="G238" s="10">
        <f>G256+1</f>
        <v>4</v>
      </c>
      <c r="H238" s="10">
        <f>H277+1</f>
        <v>5</v>
      </c>
      <c r="I238" s="20"/>
      <c r="J238" s="156">
        <f>E301+1</f>
        <v>7</v>
      </c>
      <c r="K238" s="20"/>
      <c r="L238" s="181"/>
      <c r="M238" s="20"/>
    </row>
    <row r="239" spans="1:13" s="13" customFormat="1" ht="13.2" customHeight="1" x14ac:dyDescent="0.25">
      <c r="A239" s="177">
        <v>55</v>
      </c>
      <c r="B239" s="180">
        <v>80</v>
      </c>
      <c r="C239" s="14">
        <f>A239-A260-1</f>
        <v>6</v>
      </c>
      <c r="D239" s="14">
        <f>A239-A242-1</f>
        <v>0</v>
      </c>
      <c r="E239" s="14">
        <f>A239-A257</f>
        <v>6</v>
      </c>
      <c r="F239" s="14">
        <f>A239-A347</f>
        <v>36</v>
      </c>
      <c r="G239" s="14">
        <f>A239-A269</f>
        <v>10</v>
      </c>
      <c r="H239" s="14">
        <f>A239-A296-1</f>
        <v>18</v>
      </c>
      <c r="I239" s="20"/>
      <c r="J239" s="156">
        <f>A239-A266-1</f>
        <v>8</v>
      </c>
      <c r="K239" s="20"/>
      <c r="L239" s="181">
        <v>46015</v>
      </c>
      <c r="M239" s="20"/>
    </row>
    <row r="240" spans="1:13" s="13" customFormat="1" ht="13.2" customHeight="1" x14ac:dyDescent="0.25">
      <c r="A240" s="178"/>
      <c r="B240" s="180"/>
      <c r="C240" s="116">
        <v>13</v>
      </c>
      <c r="D240" s="116">
        <v>24</v>
      </c>
      <c r="E240" s="116">
        <v>30</v>
      </c>
      <c r="F240" s="116">
        <v>40</v>
      </c>
      <c r="G240" s="116">
        <v>60</v>
      </c>
      <c r="H240" s="116">
        <v>75</v>
      </c>
      <c r="I240" s="20"/>
      <c r="J240" s="116">
        <v>47</v>
      </c>
      <c r="K240" s="20"/>
      <c r="L240" s="181"/>
      <c r="M240" s="20"/>
    </row>
    <row r="241" spans="1:13" s="13" customFormat="1" ht="13.2" customHeight="1" x14ac:dyDescent="0.25">
      <c r="A241" s="179"/>
      <c r="B241" s="180"/>
      <c r="C241" s="10">
        <f>J262+1</f>
        <v>3</v>
      </c>
      <c r="D241" s="10">
        <f>D244+1</f>
        <v>7</v>
      </c>
      <c r="E241" s="10">
        <f>C259+1</f>
        <v>3</v>
      </c>
      <c r="F241" s="10">
        <f>E349+1</f>
        <v>4</v>
      </c>
      <c r="G241" s="10">
        <f>J271+1</f>
        <v>4</v>
      </c>
      <c r="H241" s="10">
        <f>F298+1</f>
        <v>4</v>
      </c>
      <c r="I241" s="20"/>
      <c r="J241" s="156">
        <f>F268+1</f>
        <v>4</v>
      </c>
      <c r="K241" s="20"/>
      <c r="L241" s="181"/>
      <c r="M241" s="20"/>
    </row>
    <row r="242" spans="1:13" s="13" customFormat="1" ht="13.2" customHeight="1" x14ac:dyDescent="0.25">
      <c r="A242" s="177">
        <v>54</v>
      </c>
      <c r="B242" s="180">
        <v>81</v>
      </c>
      <c r="C242" s="14">
        <f>A242-A266</f>
        <v>8</v>
      </c>
      <c r="D242" s="14">
        <f>A242-A275</f>
        <v>11</v>
      </c>
      <c r="E242" s="14">
        <f>A242-A272</f>
        <v>10</v>
      </c>
      <c r="F242" s="14">
        <f>A242-A245-1</f>
        <v>0</v>
      </c>
      <c r="G242" s="14">
        <f>A242-A263</f>
        <v>7</v>
      </c>
      <c r="H242" s="14">
        <f>A242-A257</f>
        <v>5</v>
      </c>
      <c r="I242" s="20"/>
      <c r="J242" s="156">
        <f>A242-A275-1</f>
        <v>10</v>
      </c>
      <c r="K242" s="20"/>
      <c r="L242" s="181">
        <v>46013</v>
      </c>
      <c r="M242" s="20"/>
    </row>
    <row r="243" spans="1:13" s="13" customFormat="1" ht="13.2" customHeight="1" x14ac:dyDescent="0.25">
      <c r="A243" s="178"/>
      <c r="B243" s="180"/>
      <c r="C243" s="117">
        <v>19</v>
      </c>
      <c r="D243" s="117">
        <v>24</v>
      </c>
      <c r="E243" s="117">
        <v>41</v>
      </c>
      <c r="F243" s="117">
        <v>44</v>
      </c>
      <c r="G243" s="117">
        <v>56</v>
      </c>
      <c r="H243" s="117">
        <v>71</v>
      </c>
      <c r="I243" s="20"/>
      <c r="J243" s="117">
        <v>23</v>
      </c>
      <c r="K243" s="20"/>
      <c r="L243" s="181"/>
      <c r="M243" s="20"/>
    </row>
    <row r="244" spans="1:13" s="13" customFormat="1" ht="13.2" customHeight="1" x14ac:dyDescent="0.25">
      <c r="A244" s="179"/>
      <c r="B244" s="180"/>
      <c r="C244" s="10">
        <f>E268+1</f>
        <v>4</v>
      </c>
      <c r="D244" s="10">
        <f>E277+1</f>
        <v>6</v>
      </c>
      <c r="E244" s="10">
        <f>F274+1</f>
        <v>5</v>
      </c>
      <c r="F244" s="10">
        <f>J247+1</f>
        <v>5</v>
      </c>
      <c r="G244" s="10">
        <f>E265+1</f>
        <v>6</v>
      </c>
      <c r="H244" s="10">
        <f>H259+1</f>
        <v>3</v>
      </c>
      <c r="I244" s="20"/>
      <c r="J244" s="156">
        <f>D277+1</f>
        <v>6</v>
      </c>
      <c r="K244" s="20"/>
      <c r="L244" s="181"/>
      <c r="M244" s="20"/>
    </row>
    <row r="245" spans="1:13" s="13" customFormat="1" ht="13.2" customHeight="1" x14ac:dyDescent="0.25">
      <c r="A245" s="177">
        <v>53</v>
      </c>
      <c r="B245" s="180">
        <v>82</v>
      </c>
      <c r="C245" s="14">
        <f>A245-A284</f>
        <v>13</v>
      </c>
      <c r="D245" s="14">
        <f>A245-A275</f>
        <v>10</v>
      </c>
      <c r="E245" s="14">
        <f>A245-A404</f>
        <v>53</v>
      </c>
      <c r="F245" s="14">
        <f>A245-A356</f>
        <v>37</v>
      </c>
      <c r="G245" s="14">
        <f>A245-A260</f>
        <v>5</v>
      </c>
      <c r="H245" s="14">
        <f>A245-A293</f>
        <v>16</v>
      </c>
      <c r="I245" s="20"/>
      <c r="J245" s="156">
        <f>A245-A272-1</f>
        <v>8</v>
      </c>
      <c r="K245" s="20"/>
      <c r="L245" s="181">
        <v>46011</v>
      </c>
      <c r="M245" s="20"/>
    </row>
    <row r="246" spans="1:13" s="13" customFormat="1" ht="13.2" customHeight="1" x14ac:dyDescent="0.25">
      <c r="A246" s="178"/>
      <c r="B246" s="180"/>
      <c r="C246" s="118">
        <v>5</v>
      </c>
      <c r="D246" s="118">
        <v>27</v>
      </c>
      <c r="E246" s="118">
        <v>52</v>
      </c>
      <c r="F246" s="118">
        <v>64</v>
      </c>
      <c r="G246" s="118">
        <v>73</v>
      </c>
      <c r="H246" s="118">
        <v>83</v>
      </c>
      <c r="I246" s="20"/>
      <c r="J246" s="118">
        <v>44</v>
      </c>
      <c r="K246" s="20"/>
      <c r="L246" s="181"/>
      <c r="M246" s="20"/>
    </row>
    <row r="247" spans="1:13" s="13" customFormat="1" ht="13.2" customHeight="1" x14ac:dyDescent="0.25">
      <c r="A247" s="179"/>
      <c r="B247" s="180"/>
      <c r="C247" s="10">
        <f>C286+1</f>
        <v>7</v>
      </c>
      <c r="D247" s="10">
        <f>F277+1</f>
        <v>7</v>
      </c>
      <c r="E247" s="10">
        <v>1</v>
      </c>
      <c r="F247" s="10">
        <f>G358+1</f>
        <v>3</v>
      </c>
      <c r="G247" s="10">
        <f>F262+1</f>
        <v>6</v>
      </c>
      <c r="H247" s="10">
        <f>H295+1</f>
        <v>5</v>
      </c>
      <c r="I247" s="20"/>
      <c r="J247" s="156">
        <f>J274+1</f>
        <v>4</v>
      </c>
      <c r="K247" s="20"/>
      <c r="L247" s="181"/>
      <c r="M247" s="20"/>
    </row>
    <row r="248" spans="1:13" s="13" customFormat="1" ht="13.2" customHeight="1" x14ac:dyDescent="0.25">
      <c r="A248" s="177">
        <v>52</v>
      </c>
      <c r="B248" s="180">
        <v>83</v>
      </c>
      <c r="C248" s="14">
        <f>A248-A371</f>
        <v>41</v>
      </c>
      <c r="D248" s="14">
        <f>A248-A266</f>
        <v>6</v>
      </c>
      <c r="E248" s="14">
        <f>A248-A260</f>
        <v>4</v>
      </c>
      <c r="F248" s="14">
        <f>A248-A347</f>
        <v>33</v>
      </c>
      <c r="G248" s="14">
        <f>A248-A335</f>
        <v>29</v>
      </c>
      <c r="H248" s="14">
        <f>A248-A251</f>
        <v>1</v>
      </c>
      <c r="I248" s="20"/>
      <c r="J248" s="156">
        <f>A248-A251-1</f>
        <v>0</v>
      </c>
      <c r="K248" s="20"/>
      <c r="L248" s="181">
        <v>46008</v>
      </c>
      <c r="M248" s="20"/>
    </row>
    <row r="249" spans="1:13" s="13" customFormat="1" ht="13.2" customHeight="1" x14ac:dyDescent="0.25">
      <c r="A249" s="178"/>
      <c r="B249" s="180"/>
      <c r="C249" s="118">
        <v>3</v>
      </c>
      <c r="D249" s="118">
        <v>6</v>
      </c>
      <c r="E249" s="118">
        <v>8</v>
      </c>
      <c r="F249" s="118">
        <v>28</v>
      </c>
      <c r="G249" s="118">
        <v>55</v>
      </c>
      <c r="H249" s="118">
        <v>82</v>
      </c>
      <c r="I249" s="20"/>
      <c r="J249" s="118">
        <v>17</v>
      </c>
      <c r="K249" s="20"/>
      <c r="L249" s="181"/>
      <c r="M249" s="20"/>
    </row>
    <row r="250" spans="1:13" s="13" customFormat="1" ht="13.2" customHeight="1" x14ac:dyDescent="0.25">
      <c r="A250" s="179"/>
      <c r="B250" s="180"/>
      <c r="C250" s="10">
        <f>C373+1</f>
        <v>3</v>
      </c>
      <c r="D250" s="10">
        <f>D268+1</f>
        <v>7</v>
      </c>
      <c r="E250" s="10">
        <f>C262+1</f>
        <v>4</v>
      </c>
      <c r="F250" s="10">
        <f>D349+1</f>
        <v>2</v>
      </c>
      <c r="G250" s="10">
        <f>H337+1</f>
        <v>2</v>
      </c>
      <c r="H250" s="10">
        <f>H253+1</f>
        <v>5</v>
      </c>
      <c r="I250" s="20"/>
      <c r="J250" s="156">
        <f>E253+1</f>
        <v>3</v>
      </c>
      <c r="K250" s="20"/>
      <c r="L250" s="181"/>
      <c r="M250" s="20"/>
    </row>
    <row r="251" spans="1:13" s="13" customFormat="1" ht="13.2" customHeight="1" x14ac:dyDescent="0.25">
      <c r="A251" s="177">
        <v>51</v>
      </c>
      <c r="B251" s="180">
        <v>84</v>
      </c>
      <c r="C251" s="14">
        <f>A251-A266</f>
        <v>5</v>
      </c>
      <c r="D251" s="14">
        <f>A251-A381</f>
        <v>51</v>
      </c>
      <c r="E251" s="14">
        <f>A251-A287</f>
        <v>12</v>
      </c>
      <c r="F251" s="14">
        <f>A251-A338</f>
        <v>29</v>
      </c>
      <c r="G251" s="14">
        <f>A251-A302</f>
        <v>17</v>
      </c>
      <c r="H251" s="14">
        <f>A251-A284</f>
        <v>11</v>
      </c>
      <c r="I251" s="20"/>
      <c r="J251" s="156">
        <f>A251-A263-1</f>
        <v>3</v>
      </c>
      <c r="K251" s="20"/>
      <c r="L251" s="181">
        <v>46006</v>
      </c>
      <c r="M251" s="20"/>
    </row>
    <row r="252" spans="1:13" s="13" customFormat="1" ht="13.2" customHeight="1" x14ac:dyDescent="0.25">
      <c r="A252" s="178"/>
      <c r="B252" s="180"/>
      <c r="C252" s="118">
        <v>2</v>
      </c>
      <c r="D252" s="118">
        <v>3</v>
      </c>
      <c r="E252" s="118">
        <v>17</v>
      </c>
      <c r="F252" s="118">
        <v>48</v>
      </c>
      <c r="G252" s="118">
        <v>68</v>
      </c>
      <c r="H252" s="118">
        <v>82</v>
      </c>
      <c r="I252" s="20"/>
      <c r="J252" s="118">
        <v>29</v>
      </c>
      <c r="K252" s="20"/>
      <c r="L252" s="181"/>
      <c r="M252" s="20"/>
    </row>
    <row r="253" spans="1:13" s="13" customFormat="1" ht="13.2" customHeight="1" x14ac:dyDescent="0.25">
      <c r="A253" s="179"/>
      <c r="B253" s="180"/>
      <c r="C253" s="10">
        <f>C268+1</f>
        <v>7</v>
      </c>
      <c r="D253" s="10">
        <f>C373+1</f>
        <v>3</v>
      </c>
      <c r="E253" s="10">
        <f>C289+1</f>
        <v>2</v>
      </c>
      <c r="F253" s="10">
        <f>G340+1</f>
        <v>4</v>
      </c>
      <c r="G253" s="10">
        <f>F304+1</f>
        <v>5</v>
      </c>
      <c r="H253" s="10">
        <f>G286+1</f>
        <v>4</v>
      </c>
      <c r="I253" s="20"/>
      <c r="J253" s="156">
        <f>D262+1</f>
        <v>6</v>
      </c>
      <c r="K253" s="20"/>
      <c r="L253" s="181"/>
      <c r="M253" s="20"/>
    </row>
    <row r="254" spans="1:13" s="13" customFormat="1" ht="13.2" customHeight="1" x14ac:dyDescent="0.25">
      <c r="A254" s="177">
        <v>50</v>
      </c>
      <c r="B254" s="180">
        <v>85</v>
      </c>
      <c r="C254" s="14">
        <f>A254-A272</f>
        <v>6</v>
      </c>
      <c r="D254" s="14">
        <f>A254-A314</f>
        <v>20</v>
      </c>
      <c r="E254" s="14">
        <f>A254-A404</f>
        <v>50</v>
      </c>
      <c r="F254" s="14">
        <f>A254-A278</f>
        <v>8</v>
      </c>
      <c r="G254" s="14">
        <f>A254-A263</f>
        <v>3</v>
      </c>
      <c r="H254" s="14">
        <f>A254-A284</f>
        <v>10</v>
      </c>
      <c r="I254" s="20"/>
      <c r="J254" s="156">
        <f>A254-A299-1</f>
        <v>14</v>
      </c>
      <c r="K254" s="20"/>
      <c r="L254" s="181">
        <v>46004</v>
      </c>
      <c r="M254" s="20"/>
    </row>
    <row r="255" spans="1:13" s="13" customFormat="1" ht="13.2" customHeight="1" x14ac:dyDescent="0.25">
      <c r="A255" s="178"/>
      <c r="B255" s="180"/>
      <c r="C255" s="118">
        <v>7</v>
      </c>
      <c r="D255" s="118">
        <v>57</v>
      </c>
      <c r="E255" s="118">
        <v>67</v>
      </c>
      <c r="F255" s="118">
        <v>70</v>
      </c>
      <c r="G255" s="118">
        <v>74</v>
      </c>
      <c r="H255" s="118">
        <v>86</v>
      </c>
      <c r="I255" s="20"/>
      <c r="J255" s="118">
        <v>4</v>
      </c>
      <c r="K255" s="20"/>
      <c r="L255" s="181"/>
      <c r="M255" s="20"/>
    </row>
    <row r="256" spans="1:13" s="13" customFormat="1" ht="13.2" customHeight="1" x14ac:dyDescent="0.25">
      <c r="A256" s="179"/>
      <c r="B256" s="180"/>
      <c r="C256" s="10">
        <f>C274+1</f>
        <v>8</v>
      </c>
      <c r="D256" s="10">
        <f>G316+1</f>
        <v>6</v>
      </c>
      <c r="E256" s="10">
        <v>1</v>
      </c>
      <c r="F256" s="10">
        <f>H280+1</f>
        <v>5</v>
      </c>
      <c r="G256" s="10">
        <f>G265+1</f>
        <v>3</v>
      </c>
      <c r="H256" s="10">
        <f>H286+1</f>
        <v>5</v>
      </c>
      <c r="I256" s="20"/>
      <c r="J256" s="156">
        <f>C301+1</f>
        <v>6</v>
      </c>
      <c r="K256" s="20"/>
      <c r="L256" s="181"/>
      <c r="M256" s="20"/>
    </row>
    <row r="257" spans="1:13" s="13" customFormat="1" ht="13.2" customHeight="1" x14ac:dyDescent="0.25">
      <c r="A257" s="177">
        <v>49</v>
      </c>
      <c r="B257" s="180">
        <v>86</v>
      </c>
      <c r="C257" s="14">
        <f>A257-A380</f>
        <v>41</v>
      </c>
      <c r="D257" s="14">
        <f>A257-A260</f>
        <v>1</v>
      </c>
      <c r="E257" s="14">
        <f>A257-A287</f>
        <v>10</v>
      </c>
      <c r="F257" s="14">
        <f>A257-A347</f>
        <v>30</v>
      </c>
      <c r="G257" s="14">
        <f>A257-A266</f>
        <v>3</v>
      </c>
      <c r="H257" s="14">
        <f>A257-A320</f>
        <v>21</v>
      </c>
      <c r="I257" s="20"/>
      <c r="J257" s="156">
        <f>A257-A263-1</f>
        <v>1</v>
      </c>
      <c r="K257" s="20"/>
      <c r="L257" s="181">
        <v>46001</v>
      </c>
      <c r="M257" s="20"/>
    </row>
    <row r="258" spans="1:13" s="13" customFormat="1" ht="13.2" customHeight="1" x14ac:dyDescent="0.25">
      <c r="A258" s="178"/>
      <c r="B258" s="180"/>
      <c r="C258" s="118">
        <v>30</v>
      </c>
      <c r="D258" s="118">
        <v>38</v>
      </c>
      <c r="E258" s="118">
        <v>43</v>
      </c>
      <c r="F258" s="118">
        <v>54</v>
      </c>
      <c r="G258" s="118">
        <v>62</v>
      </c>
      <c r="H258" s="118">
        <v>71</v>
      </c>
      <c r="I258" s="20"/>
      <c r="J258" s="118">
        <v>74</v>
      </c>
      <c r="K258" s="20"/>
      <c r="L258" s="181"/>
      <c r="M258" s="20"/>
    </row>
    <row r="259" spans="1:13" s="13" customFormat="1" ht="13.2" customHeight="1" x14ac:dyDescent="0.25">
      <c r="A259" s="179"/>
      <c r="B259" s="180"/>
      <c r="C259" s="10">
        <f>F382+1</f>
        <v>2</v>
      </c>
      <c r="D259" s="10">
        <f>E262+1</f>
        <v>4</v>
      </c>
      <c r="E259" s="10">
        <f>G289+1</f>
        <v>5</v>
      </c>
      <c r="F259" s="10">
        <f>F349+1</f>
        <v>2</v>
      </c>
      <c r="G259" s="10">
        <f>H268+1</f>
        <v>5</v>
      </c>
      <c r="H259" s="10">
        <f>H322+1</f>
        <v>2</v>
      </c>
      <c r="I259" s="20"/>
      <c r="J259" s="156">
        <f>G265+1</f>
        <v>3</v>
      </c>
      <c r="K259" s="20"/>
      <c r="L259" s="181"/>
      <c r="M259" s="20"/>
    </row>
    <row r="260" spans="1:13" s="13" customFormat="1" ht="13.2" customHeight="1" x14ac:dyDescent="0.25">
      <c r="A260" s="177">
        <v>48</v>
      </c>
      <c r="B260" s="180">
        <v>87</v>
      </c>
      <c r="C260" s="14">
        <f>A260-A293</f>
        <v>11</v>
      </c>
      <c r="D260" s="14">
        <f>A260-A263-1</f>
        <v>0</v>
      </c>
      <c r="E260" s="14">
        <f>A260-A263</f>
        <v>1</v>
      </c>
      <c r="F260" s="14">
        <f>A260-A263</f>
        <v>1</v>
      </c>
      <c r="G260" s="14">
        <f>A260-A296</f>
        <v>12</v>
      </c>
      <c r="H260" s="14">
        <f>A260-A323</f>
        <v>21</v>
      </c>
      <c r="I260" s="20"/>
      <c r="J260" s="156">
        <f>A260-A326-1</f>
        <v>21</v>
      </c>
      <c r="K260" s="20"/>
      <c r="L260" s="181">
        <v>45999</v>
      </c>
      <c r="M260" s="20"/>
    </row>
    <row r="261" spans="1:13" s="13" customFormat="1" ht="13.2" customHeight="1" x14ac:dyDescent="0.25">
      <c r="A261" s="178"/>
      <c r="B261" s="180"/>
      <c r="C261" s="118">
        <v>8</v>
      </c>
      <c r="D261" s="118">
        <v>29</v>
      </c>
      <c r="E261" s="118">
        <v>38</v>
      </c>
      <c r="F261" s="118">
        <v>73</v>
      </c>
      <c r="G261" s="118">
        <v>76</v>
      </c>
      <c r="H261" s="118">
        <v>88</v>
      </c>
      <c r="I261" s="20"/>
      <c r="J261" s="118">
        <v>13</v>
      </c>
      <c r="K261" s="20"/>
      <c r="L261" s="181"/>
      <c r="M261" s="20"/>
    </row>
    <row r="262" spans="1:13" s="13" customFormat="1" ht="13.2" customHeight="1" x14ac:dyDescent="0.25">
      <c r="A262" s="179"/>
      <c r="B262" s="180"/>
      <c r="C262" s="10">
        <f>D295+1</f>
        <v>3</v>
      </c>
      <c r="D262" s="10">
        <f>J265+1</f>
        <v>5</v>
      </c>
      <c r="E262" s="10">
        <f>D265+1</f>
        <v>3</v>
      </c>
      <c r="F262" s="10">
        <f>F265+1</f>
        <v>5</v>
      </c>
      <c r="G262" s="10">
        <f>G298+1</f>
        <v>5</v>
      </c>
      <c r="H262" s="10">
        <f>H325+1</f>
        <v>3</v>
      </c>
      <c r="I262" s="20"/>
      <c r="J262" s="156">
        <f>D328+1</f>
        <v>2</v>
      </c>
      <c r="K262" s="20"/>
      <c r="L262" s="181"/>
      <c r="M262" s="20"/>
    </row>
    <row r="263" spans="1:13" s="13" customFormat="1" ht="13.2" customHeight="1" x14ac:dyDescent="0.25">
      <c r="A263" s="177">
        <v>47</v>
      </c>
      <c r="B263" s="180">
        <v>88</v>
      </c>
      <c r="C263" s="14">
        <f>A263-A275</f>
        <v>4</v>
      </c>
      <c r="D263" s="14">
        <f>A263-A293</f>
        <v>10</v>
      </c>
      <c r="E263" s="14">
        <f>A263-A272</f>
        <v>3</v>
      </c>
      <c r="F263" s="14">
        <f>A263-A329</f>
        <v>22</v>
      </c>
      <c r="G263" s="14">
        <f>A263-A365</f>
        <v>34</v>
      </c>
      <c r="H263" s="14">
        <f>A263-A281</f>
        <v>6</v>
      </c>
      <c r="I263" s="20"/>
      <c r="J263" s="156">
        <f>A263-A323-1</f>
        <v>19</v>
      </c>
      <c r="K263" s="20"/>
      <c r="L263" s="181">
        <v>45997</v>
      </c>
      <c r="M263" s="20"/>
    </row>
    <row r="264" spans="1:13" s="13" customFormat="1" ht="13.2" customHeight="1" x14ac:dyDescent="0.25">
      <c r="A264" s="178"/>
      <c r="B264" s="180"/>
      <c r="C264" s="118">
        <v>14</v>
      </c>
      <c r="D264" s="118">
        <v>38</v>
      </c>
      <c r="E264" s="118">
        <v>56</v>
      </c>
      <c r="F264" s="118">
        <v>73</v>
      </c>
      <c r="G264" s="118">
        <v>74</v>
      </c>
      <c r="H264" s="118">
        <v>87</v>
      </c>
      <c r="I264" s="20"/>
      <c r="J264" s="118">
        <v>29</v>
      </c>
      <c r="K264" s="20"/>
      <c r="L264" s="181"/>
      <c r="M264" s="20"/>
    </row>
    <row r="265" spans="1:13" s="13" customFormat="1" ht="13.2" customHeight="1" x14ac:dyDescent="0.25">
      <c r="A265" s="179"/>
      <c r="B265" s="180"/>
      <c r="C265" s="10">
        <f>C277+1</f>
        <v>7</v>
      </c>
      <c r="D265" s="10">
        <f>F295+1</f>
        <v>2</v>
      </c>
      <c r="E265" s="10">
        <f>J268+1</f>
        <v>5</v>
      </c>
      <c r="F265" s="10">
        <f>F331+1</f>
        <v>4</v>
      </c>
      <c r="G265" s="10">
        <f>G367+1</f>
        <v>2</v>
      </c>
      <c r="H265" s="10">
        <f>H283+1</f>
        <v>5</v>
      </c>
      <c r="I265" s="20"/>
      <c r="J265" s="156">
        <f>D325+1</f>
        <v>4</v>
      </c>
      <c r="K265" s="20"/>
      <c r="L265" s="181"/>
      <c r="M265" s="20"/>
    </row>
    <row r="266" spans="1:13" s="13" customFormat="1" ht="13.2" customHeight="1" x14ac:dyDescent="0.25">
      <c r="A266" s="177">
        <v>46</v>
      </c>
      <c r="B266" s="180">
        <v>89</v>
      </c>
      <c r="C266" s="14">
        <f>A266-A296</f>
        <v>10</v>
      </c>
      <c r="D266" s="14">
        <f>A266-A311</f>
        <v>15</v>
      </c>
      <c r="E266" s="14">
        <f>A266-A335</f>
        <v>23</v>
      </c>
      <c r="F266" s="14">
        <f>A266-A308</f>
        <v>14</v>
      </c>
      <c r="G266" s="14">
        <f>A266-A311</f>
        <v>15</v>
      </c>
      <c r="H266" s="14">
        <f>A266-A305</f>
        <v>13</v>
      </c>
      <c r="I266" s="20"/>
      <c r="J266" s="156">
        <f>A266-A272-1</f>
        <v>1</v>
      </c>
      <c r="K266" s="20"/>
      <c r="L266" s="181">
        <v>45994</v>
      </c>
      <c r="M266" s="20"/>
    </row>
    <row r="267" spans="1:13" s="13" customFormat="1" ht="13.2" customHeight="1" x14ac:dyDescent="0.25">
      <c r="A267" s="178"/>
      <c r="B267" s="180"/>
      <c r="C267" s="118">
        <v>2</v>
      </c>
      <c r="D267" s="118">
        <v>6</v>
      </c>
      <c r="E267" s="118">
        <v>19</v>
      </c>
      <c r="F267" s="118">
        <v>47</v>
      </c>
      <c r="G267" s="118">
        <v>53</v>
      </c>
      <c r="H267" s="118">
        <v>62</v>
      </c>
      <c r="I267" s="20"/>
      <c r="J267" s="118">
        <v>56</v>
      </c>
      <c r="K267" s="20"/>
      <c r="L267" s="181"/>
      <c r="M267" s="20"/>
    </row>
    <row r="268" spans="1:13" s="13" customFormat="1" ht="13.2" customHeight="1" x14ac:dyDescent="0.25">
      <c r="A268" s="179"/>
      <c r="B268" s="180"/>
      <c r="C268" s="10">
        <f>C298+1</f>
        <v>6</v>
      </c>
      <c r="D268" s="10">
        <f>D313+1</f>
        <v>6</v>
      </c>
      <c r="E268" s="10">
        <f>G337+1</f>
        <v>3</v>
      </c>
      <c r="F268" s="10">
        <f>E310+1</f>
        <v>3</v>
      </c>
      <c r="G268" s="10">
        <f>J280+1</f>
        <v>7</v>
      </c>
      <c r="H268" s="10">
        <f>H307+1</f>
        <v>4</v>
      </c>
      <c r="I268" s="20"/>
      <c r="J268" s="156">
        <f>G274+1</f>
        <v>4</v>
      </c>
      <c r="K268" s="20"/>
      <c r="L268" s="181"/>
      <c r="M268" s="20"/>
    </row>
    <row r="269" spans="1:13" s="13" customFormat="1" ht="13.2" customHeight="1" x14ac:dyDescent="0.25">
      <c r="A269" s="177">
        <v>45</v>
      </c>
      <c r="B269" s="180">
        <v>90</v>
      </c>
      <c r="C269" s="14">
        <f>A269-A296</f>
        <v>9</v>
      </c>
      <c r="D269" s="14">
        <f>A269-A290</f>
        <v>7</v>
      </c>
      <c r="E269" s="14">
        <f>A269-A278</f>
        <v>3</v>
      </c>
      <c r="F269" s="14">
        <f>A269-A326</f>
        <v>19</v>
      </c>
      <c r="G269" s="14">
        <f>A269-A272</f>
        <v>1</v>
      </c>
      <c r="H269" s="14">
        <f>A269-A404</f>
        <v>45</v>
      </c>
      <c r="I269" s="20"/>
      <c r="J269" s="156">
        <f>A269-A278-1</f>
        <v>2</v>
      </c>
      <c r="K269" s="20"/>
      <c r="L269" s="181">
        <v>45992</v>
      </c>
      <c r="M269" s="20"/>
    </row>
    <row r="270" spans="1:13" s="13" customFormat="1" ht="13.2" customHeight="1" x14ac:dyDescent="0.25">
      <c r="A270" s="178"/>
      <c r="B270" s="180"/>
      <c r="C270" s="118">
        <v>16</v>
      </c>
      <c r="D270" s="118">
        <v>33</v>
      </c>
      <c r="E270" s="118">
        <v>61</v>
      </c>
      <c r="F270" s="118">
        <v>63</v>
      </c>
      <c r="G270" s="118">
        <v>72</v>
      </c>
      <c r="H270" s="118">
        <v>84</v>
      </c>
      <c r="I270" s="20"/>
      <c r="J270" s="118">
        <v>60</v>
      </c>
      <c r="K270" s="20"/>
      <c r="L270" s="181"/>
      <c r="M270" s="20"/>
    </row>
    <row r="271" spans="1:13" s="13" customFormat="1" ht="13.2" customHeight="1" x14ac:dyDescent="0.25">
      <c r="A271" s="179"/>
      <c r="B271" s="180"/>
      <c r="C271" s="10">
        <f>D298+1</f>
        <v>4</v>
      </c>
      <c r="D271" s="10">
        <f>C292+1</f>
        <v>7</v>
      </c>
      <c r="E271" s="10">
        <f>G280+1</f>
        <v>6</v>
      </c>
      <c r="F271" s="10">
        <f>G328+1</f>
        <v>3</v>
      </c>
      <c r="G271" s="10">
        <f>H274+1</f>
        <v>6</v>
      </c>
      <c r="H271" s="10">
        <v>1</v>
      </c>
      <c r="I271" s="20"/>
      <c r="J271" s="156">
        <f>F280+1</f>
        <v>3</v>
      </c>
      <c r="K271" s="20"/>
      <c r="L271" s="181"/>
      <c r="M271" s="20"/>
    </row>
    <row r="272" spans="1:13" s="13" customFormat="1" ht="13.2" customHeight="1" x14ac:dyDescent="0.25">
      <c r="A272" s="177">
        <v>44</v>
      </c>
      <c r="B272" s="180">
        <v>91</v>
      </c>
      <c r="C272" s="14">
        <f>A272-A305</f>
        <v>11</v>
      </c>
      <c r="D272" s="14">
        <f>A272-A305</f>
        <v>11</v>
      </c>
      <c r="E272" s="14">
        <f>A272-A281</f>
        <v>3</v>
      </c>
      <c r="F272" s="14">
        <f>A272-A338</f>
        <v>22</v>
      </c>
      <c r="G272" s="14">
        <f>A272-A344</f>
        <v>24</v>
      </c>
      <c r="H272" s="14">
        <f>A272-A281</f>
        <v>3</v>
      </c>
      <c r="I272" s="20"/>
      <c r="J272" s="156">
        <f>A272-A392-1</f>
        <v>39</v>
      </c>
      <c r="K272" s="20"/>
      <c r="L272" s="181">
        <v>45990</v>
      </c>
      <c r="M272" s="20"/>
    </row>
    <row r="273" spans="1:13" s="13" customFormat="1" ht="13.2" customHeight="1" x14ac:dyDescent="0.25">
      <c r="A273" s="178"/>
      <c r="B273" s="180"/>
      <c r="C273" s="118">
        <v>7</v>
      </c>
      <c r="D273" s="118">
        <v>20</v>
      </c>
      <c r="E273" s="118">
        <v>32</v>
      </c>
      <c r="F273" s="118">
        <v>41</v>
      </c>
      <c r="G273" s="118">
        <v>56</v>
      </c>
      <c r="H273" s="118">
        <v>72</v>
      </c>
      <c r="I273" s="20"/>
      <c r="J273" s="118">
        <v>44</v>
      </c>
      <c r="K273" s="20"/>
      <c r="L273" s="181"/>
      <c r="M273" s="20"/>
    </row>
    <row r="274" spans="1:13" s="13" customFormat="1" ht="13.2" customHeight="1" x14ac:dyDescent="0.25">
      <c r="A274" s="179"/>
      <c r="B274" s="180"/>
      <c r="C274" s="10">
        <f>C307+1</f>
        <v>7</v>
      </c>
      <c r="D274" s="10">
        <f>F307+1</f>
        <v>3</v>
      </c>
      <c r="E274" s="10">
        <f>D283+1</f>
        <v>7</v>
      </c>
      <c r="F274" s="10">
        <f>F340+1</f>
        <v>4</v>
      </c>
      <c r="G274" s="10">
        <f>H346+1</f>
        <v>3</v>
      </c>
      <c r="H274" s="10">
        <f>F283+1</f>
        <v>5</v>
      </c>
      <c r="I274" s="20"/>
      <c r="J274" s="156">
        <f>F394+1</f>
        <v>3</v>
      </c>
      <c r="K274" s="20"/>
      <c r="L274" s="181"/>
      <c r="M274" s="20"/>
    </row>
    <row r="275" spans="1:13" s="13" customFormat="1" ht="13.2" customHeight="1" x14ac:dyDescent="0.25">
      <c r="A275" s="177">
        <v>43</v>
      </c>
      <c r="B275" s="180">
        <v>92</v>
      </c>
      <c r="C275" s="14">
        <f>A275-A302</f>
        <v>9</v>
      </c>
      <c r="D275" s="14">
        <f>A275-A341</f>
        <v>22</v>
      </c>
      <c r="E275" s="14">
        <f>A275-A278</f>
        <v>1</v>
      </c>
      <c r="F275" s="14">
        <f>A275-A287</f>
        <v>4</v>
      </c>
      <c r="G275" s="14">
        <f>A275-A302</f>
        <v>9</v>
      </c>
      <c r="H275" s="14">
        <f>A275-A281-1</f>
        <v>1</v>
      </c>
      <c r="I275" s="20"/>
      <c r="J275" s="156">
        <f>A275-A404-1</f>
        <v>42</v>
      </c>
      <c r="K275" s="20"/>
      <c r="L275" s="181">
        <v>45987</v>
      </c>
      <c r="M275" s="20"/>
    </row>
    <row r="276" spans="1:13" s="13" customFormat="1" ht="13.2" customHeight="1" x14ac:dyDescent="0.25">
      <c r="A276" s="178"/>
      <c r="B276" s="180"/>
      <c r="C276" s="118">
        <v>14</v>
      </c>
      <c r="D276" s="118">
        <v>23</v>
      </c>
      <c r="E276" s="118">
        <v>24</v>
      </c>
      <c r="F276" s="118">
        <v>27</v>
      </c>
      <c r="G276" s="118">
        <v>49</v>
      </c>
      <c r="H276" s="118">
        <v>85</v>
      </c>
      <c r="I276" s="20"/>
      <c r="J276" s="118">
        <v>22</v>
      </c>
      <c r="K276" s="20"/>
      <c r="L276" s="181"/>
      <c r="M276" s="20"/>
    </row>
    <row r="277" spans="1:13" s="13" customFormat="1" ht="13.2" customHeight="1" x14ac:dyDescent="0.25">
      <c r="A277" s="179"/>
      <c r="B277" s="180"/>
      <c r="C277" s="10">
        <f>C304+1</f>
        <v>6</v>
      </c>
      <c r="D277" s="10">
        <f>C343+1</f>
        <v>5</v>
      </c>
      <c r="E277" s="10">
        <f>C280+1</f>
        <v>5</v>
      </c>
      <c r="F277" s="10">
        <f>D289+1</f>
        <v>6</v>
      </c>
      <c r="G277" s="10">
        <f>E304+1</f>
        <v>5</v>
      </c>
      <c r="H277" s="10">
        <f>J283+1</f>
        <v>4</v>
      </c>
      <c r="I277" s="20"/>
      <c r="J277" s="156">
        <v>1</v>
      </c>
      <c r="K277" s="20"/>
      <c r="L277" s="181"/>
      <c r="M277" s="20"/>
    </row>
    <row r="278" spans="1:13" s="13" customFormat="1" ht="13.2" customHeight="1" x14ac:dyDescent="0.25">
      <c r="A278" s="177">
        <v>42</v>
      </c>
      <c r="B278" s="180">
        <v>93</v>
      </c>
      <c r="C278" s="14">
        <f>A278-A332</f>
        <v>18</v>
      </c>
      <c r="D278" s="14">
        <f>A278-A344</f>
        <v>22</v>
      </c>
      <c r="E278" s="14">
        <f>A278-A284</f>
        <v>2</v>
      </c>
      <c r="F278" s="14">
        <f>A278-A362</f>
        <v>28</v>
      </c>
      <c r="G278" s="14">
        <f>A278-A284</f>
        <v>2</v>
      </c>
      <c r="H278" s="14">
        <f>A278-A293</f>
        <v>5</v>
      </c>
      <c r="I278" s="20"/>
      <c r="J278" s="156">
        <f>A278-A317-1</f>
        <v>12</v>
      </c>
      <c r="K278" s="20"/>
      <c r="L278" s="181">
        <v>45985</v>
      </c>
      <c r="M278" s="20"/>
    </row>
    <row r="279" spans="1:13" s="13" customFormat="1" ht="13.2" customHeight="1" x14ac:dyDescent="0.25">
      <c r="A279" s="178"/>
      <c r="B279" s="180"/>
      <c r="C279" s="118">
        <v>24</v>
      </c>
      <c r="D279" s="118">
        <v>34</v>
      </c>
      <c r="E279" s="118">
        <v>59</v>
      </c>
      <c r="F279" s="118">
        <v>60</v>
      </c>
      <c r="G279" s="118">
        <v>61</v>
      </c>
      <c r="H279" s="118">
        <v>70</v>
      </c>
      <c r="I279" s="20"/>
      <c r="J279" s="118">
        <v>53</v>
      </c>
      <c r="K279" s="20"/>
      <c r="L279" s="181"/>
      <c r="M279" s="20"/>
    </row>
    <row r="280" spans="1:13" s="13" customFormat="1" ht="13.2" customHeight="1" x14ac:dyDescent="0.25">
      <c r="A280" s="179"/>
      <c r="B280" s="180"/>
      <c r="C280" s="10">
        <f>C334+1</f>
        <v>4</v>
      </c>
      <c r="D280" s="10">
        <f>G346+1</f>
        <v>3</v>
      </c>
      <c r="E280" s="10">
        <f>E286+1</f>
        <v>3</v>
      </c>
      <c r="F280" s="10">
        <f>F364+1</f>
        <v>2</v>
      </c>
      <c r="G280" s="10">
        <f>F286+1</f>
        <v>5</v>
      </c>
      <c r="H280" s="10">
        <f>G295+1</f>
        <v>4</v>
      </c>
      <c r="I280" s="20"/>
      <c r="J280" s="156">
        <f>J319+1</f>
        <v>6</v>
      </c>
      <c r="K280" s="20"/>
      <c r="L280" s="181"/>
      <c r="M280" s="20"/>
    </row>
    <row r="281" spans="1:13" s="13" customFormat="1" ht="13.2" customHeight="1" x14ac:dyDescent="0.25">
      <c r="A281" s="177">
        <v>41</v>
      </c>
      <c r="B281" s="180">
        <v>94</v>
      </c>
      <c r="C281" s="14">
        <f>A281-A299</f>
        <v>6</v>
      </c>
      <c r="D281" s="14">
        <f>A281-A287</f>
        <v>2</v>
      </c>
      <c r="E281" s="14">
        <f>A281-A290</f>
        <v>3</v>
      </c>
      <c r="F281" s="14">
        <f>A281-A290</f>
        <v>3</v>
      </c>
      <c r="G281" s="14">
        <f>A281-A389</f>
        <v>36</v>
      </c>
      <c r="H281" s="14">
        <f>A281-A299</f>
        <v>6</v>
      </c>
      <c r="I281" s="20"/>
      <c r="J281" s="156">
        <f>A281-A326-1</f>
        <v>14</v>
      </c>
      <c r="K281" s="20"/>
      <c r="L281" s="181">
        <v>45983</v>
      </c>
      <c r="M281" s="20"/>
    </row>
    <row r="282" spans="1:13" s="13" customFormat="1" ht="13.2" customHeight="1" x14ac:dyDescent="0.25">
      <c r="A282" s="178"/>
      <c r="B282" s="180"/>
      <c r="C282" s="118">
        <v>18</v>
      </c>
      <c r="D282" s="118">
        <v>32</v>
      </c>
      <c r="E282" s="118">
        <v>35</v>
      </c>
      <c r="F282" s="118">
        <v>72</v>
      </c>
      <c r="G282" s="118">
        <v>80</v>
      </c>
      <c r="H282" s="118">
        <v>87</v>
      </c>
      <c r="I282" s="20"/>
      <c r="J282" s="118">
        <v>85</v>
      </c>
      <c r="K282" s="20"/>
      <c r="L282" s="181"/>
      <c r="M282" s="20"/>
    </row>
    <row r="283" spans="1:13" s="13" customFormat="1" ht="13.2" customHeight="1" x14ac:dyDescent="0.25">
      <c r="A283" s="179"/>
      <c r="B283" s="180"/>
      <c r="C283" s="10">
        <f>D301+1</f>
        <v>5</v>
      </c>
      <c r="D283" s="10">
        <f>F289+1</f>
        <v>6</v>
      </c>
      <c r="E283" s="10">
        <f>J292+1</f>
        <v>5</v>
      </c>
      <c r="F283" s="10">
        <f>G292+1</f>
        <v>4</v>
      </c>
      <c r="G283" s="10">
        <f>H391+1</f>
        <v>2</v>
      </c>
      <c r="H283" s="10">
        <f>F301+1</f>
        <v>4</v>
      </c>
      <c r="I283" s="20"/>
      <c r="J283" s="156">
        <f>H328+1</f>
        <v>3</v>
      </c>
      <c r="K283" s="20"/>
      <c r="L283" s="181"/>
      <c r="M283" s="20"/>
    </row>
    <row r="284" spans="1:13" s="13" customFormat="1" ht="13.2" customHeight="1" x14ac:dyDescent="0.25">
      <c r="A284" s="177">
        <v>40</v>
      </c>
      <c r="B284" s="180">
        <v>95</v>
      </c>
      <c r="C284" s="14">
        <f>A284-A365</f>
        <v>27</v>
      </c>
      <c r="D284" s="14">
        <f>A284-A320</f>
        <v>12</v>
      </c>
      <c r="E284" s="14">
        <f>A284-A359</f>
        <v>25</v>
      </c>
      <c r="F284" s="14">
        <f>A284-A356</f>
        <v>24</v>
      </c>
      <c r="G284" s="14">
        <f>A284-A365</f>
        <v>27</v>
      </c>
      <c r="H284" s="14">
        <f>A284-A296</f>
        <v>4</v>
      </c>
      <c r="I284" s="20"/>
      <c r="J284" s="156"/>
      <c r="K284" s="20"/>
      <c r="L284" s="181">
        <v>45980</v>
      </c>
      <c r="M284" s="20"/>
    </row>
    <row r="285" spans="1:13" s="13" customFormat="1" ht="13.2" customHeight="1" x14ac:dyDescent="0.25">
      <c r="A285" s="178"/>
      <c r="B285" s="180"/>
      <c r="C285" s="118">
        <v>5</v>
      </c>
      <c r="D285" s="118">
        <v>15</v>
      </c>
      <c r="E285" s="118">
        <v>59</v>
      </c>
      <c r="F285" s="118">
        <v>61</v>
      </c>
      <c r="G285" s="118">
        <v>82</v>
      </c>
      <c r="H285" s="118">
        <v>86</v>
      </c>
      <c r="I285" s="20"/>
      <c r="J285" s="118"/>
      <c r="K285" s="20"/>
      <c r="L285" s="181"/>
      <c r="M285" s="20"/>
    </row>
    <row r="286" spans="1:13" s="13" customFormat="1" ht="13.2" customHeight="1" x14ac:dyDescent="0.25">
      <c r="A286" s="179"/>
      <c r="B286" s="180"/>
      <c r="C286" s="10">
        <f>C367+1</f>
        <v>6</v>
      </c>
      <c r="D286" s="10">
        <f>F322+1</f>
        <v>4</v>
      </c>
      <c r="E286" s="10">
        <f>D361+1</f>
        <v>2</v>
      </c>
      <c r="F286" s="10">
        <f>F358+1</f>
        <v>4</v>
      </c>
      <c r="G286" s="10">
        <f>H367+1</f>
        <v>3</v>
      </c>
      <c r="H286" s="10">
        <f>H298+1</f>
        <v>4</v>
      </c>
      <c r="I286" s="20"/>
      <c r="J286" s="156"/>
      <c r="K286" s="20"/>
      <c r="L286" s="181"/>
      <c r="M286" s="20"/>
    </row>
    <row r="287" spans="1:13" s="13" customFormat="1" ht="13.2" customHeight="1" x14ac:dyDescent="0.25">
      <c r="A287" s="177">
        <v>39</v>
      </c>
      <c r="B287" s="180">
        <v>96</v>
      </c>
      <c r="C287" s="14">
        <f>A287-A412</f>
        <v>39</v>
      </c>
      <c r="D287" s="14">
        <f>A287-A305</f>
        <v>6</v>
      </c>
      <c r="E287" s="14">
        <f>A287-A341</f>
        <v>18</v>
      </c>
      <c r="F287" s="14">
        <f>A287-A296</f>
        <v>3</v>
      </c>
      <c r="G287" s="14">
        <f>A287-A290</f>
        <v>1</v>
      </c>
      <c r="H287" s="14">
        <f>A287-A332</f>
        <v>15</v>
      </c>
      <c r="I287" s="20"/>
      <c r="J287" s="156"/>
      <c r="K287" s="20"/>
      <c r="L287" s="181">
        <v>45978</v>
      </c>
      <c r="M287" s="20"/>
    </row>
    <row r="288" spans="1:13" s="13" customFormat="1" ht="13.2" customHeight="1" x14ac:dyDescent="0.25">
      <c r="A288" s="178"/>
      <c r="B288" s="180"/>
      <c r="C288" s="118">
        <v>17</v>
      </c>
      <c r="D288" s="118">
        <v>27</v>
      </c>
      <c r="E288" s="118">
        <v>31</v>
      </c>
      <c r="F288" s="118">
        <v>32</v>
      </c>
      <c r="G288" s="118">
        <v>43</v>
      </c>
      <c r="H288" s="118">
        <v>65</v>
      </c>
      <c r="I288" s="20"/>
      <c r="J288" s="118"/>
      <c r="K288" s="20"/>
      <c r="L288" s="181"/>
      <c r="M288" s="20"/>
    </row>
    <row r="289" spans="1:13" s="13" customFormat="1" ht="13.2" customHeight="1" x14ac:dyDescent="0.25">
      <c r="A289" s="179"/>
      <c r="B289" s="180"/>
      <c r="C289" s="10">
        <v>1</v>
      </c>
      <c r="D289" s="10">
        <f>G307+1</f>
        <v>5</v>
      </c>
      <c r="E289" s="10">
        <f>D343+1</f>
        <v>2</v>
      </c>
      <c r="F289" s="10">
        <f>E298+1</f>
        <v>5</v>
      </c>
      <c r="G289" s="10">
        <f>D292+1</f>
        <v>4</v>
      </c>
      <c r="H289" s="10">
        <f>G334+1</f>
        <v>5</v>
      </c>
      <c r="I289" s="20"/>
      <c r="J289" s="156"/>
      <c r="K289" s="20"/>
      <c r="L289" s="181"/>
      <c r="M289" s="20"/>
    </row>
    <row r="290" spans="1:13" s="13" customFormat="1" ht="13.2" customHeight="1" x14ac:dyDescent="0.25">
      <c r="A290" s="177">
        <v>38</v>
      </c>
      <c r="B290" s="180">
        <v>97</v>
      </c>
      <c r="C290" s="14">
        <f>A290-A308</f>
        <v>6</v>
      </c>
      <c r="D290" s="14">
        <f>A290-A323</f>
        <v>11</v>
      </c>
      <c r="E290" s="14">
        <f>A290-A317</f>
        <v>9</v>
      </c>
      <c r="F290" s="14">
        <f>A290-A401</f>
        <v>37</v>
      </c>
      <c r="G290" s="14">
        <f>A290-A308</f>
        <v>6</v>
      </c>
      <c r="H290" s="14">
        <f>A290-A299</f>
        <v>3</v>
      </c>
      <c r="I290" s="20"/>
      <c r="J290" s="156">
        <f>A290-A350-1</f>
        <v>19</v>
      </c>
      <c r="K290" s="20"/>
      <c r="L290" s="181">
        <v>45976</v>
      </c>
      <c r="M290" s="20"/>
    </row>
    <row r="291" spans="1:13" s="13" customFormat="1" ht="13.2" customHeight="1" x14ac:dyDescent="0.25">
      <c r="A291" s="178"/>
      <c r="B291" s="180"/>
      <c r="C291" s="118">
        <v>33</v>
      </c>
      <c r="D291" s="118">
        <v>43</v>
      </c>
      <c r="E291" s="118">
        <v>46</v>
      </c>
      <c r="F291" s="118">
        <v>66</v>
      </c>
      <c r="G291" s="118">
        <v>72</v>
      </c>
      <c r="H291" s="118">
        <v>90</v>
      </c>
      <c r="I291" s="20"/>
      <c r="J291" s="118">
        <v>35</v>
      </c>
      <c r="K291" s="20"/>
      <c r="L291" s="181"/>
      <c r="M291" s="20"/>
    </row>
    <row r="292" spans="1:13" s="13" customFormat="1" ht="13.2" customHeight="1" x14ac:dyDescent="0.25">
      <c r="A292" s="179"/>
      <c r="B292" s="180"/>
      <c r="C292" s="10">
        <f>C310+1</f>
        <v>6</v>
      </c>
      <c r="D292" s="10">
        <f>E325+1</f>
        <v>3</v>
      </c>
      <c r="E292" s="10">
        <f>F319+1</f>
        <v>2</v>
      </c>
      <c r="F292" s="10">
        <v>1</v>
      </c>
      <c r="G292" s="10">
        <f>G310+1</f>
        <v>3</v>
      </c>
      <c r="H292" s="10">
        <f>H301+1</f>
        <v>4</v>
      </c>
      <c r="I292" s="20"/>
      <c r="J292" s="156">
        <f>D352+1</f>
        <v>4</v>
      </c>
      <c r="K292" s="20"/>
      <c r="L292" s="181"/>
      <c r="M292" s="20"/>
    </row>
    <row r="293" spans="1:13" s="13" customFormat="1" ht="13.2" customHeight="1" x14ac:dyDescent="0.25">
      <c r="A293" s="177">
        <v>37</v>
      </c>
      <c r="B293" s="180">
        <v>98</v>
      </c>
      <c r="C293" s="14">
        <f>A293-A320</f>
        <v>9</v>
      </c>
      <c r="D293" s="14">
        <f>A293-A344</f>
        <v>17</v>
      </c>
      <c r="E293" s="14">
        <f>A293-A314</f>
        <v>7</v>
      </c>
      <c r="F293" s="14">
        <f>A293-A398</f>
        <v>35</v>
      </c>
      <c r="G293" s="14">
        <f>A293-A350</f>
        <v>19</v>
      </c>
      <c r="H293" s="14">
        <f>A293-A350</f>
        <v>19</v>
      </c>
      <c r="I293" s="20"/>
      <c r="J293" s="156"/>
      <c r="K293" s="20"/>
      <c r="L293" s="181">
        <v>45973</v>
      </c>
      <c r="M293" s="20"/>
    </row>
    <row r="294" spans="1:13" s="13" customFormat="1" ht="13.2" customHeight="1" x14ac:dyDescent="0.25">
      <c r="A294" s="178"/>
      <c r="B294" s="180"/>
      <c r="C294" s="118">
        <v>1</v>
      </c>
      <c r="D294" s="118">
        <v>8</v>
      </c>
      <c r="E294" s="118">
        <v>25</v>
      </c>
      <c r="F294" s="118">
        <v>38</v>
      </c>
      <c r="G294" s="118">
        <v>70</v>
      </c>
      <c r="H294" s="118">
        <v>83</v>
      </c>
      <c r="I294" s="20"/>
      <c r="J294" s="118"/>
      <c r="K294" s="20"/>
      <c r="L294" s="181"/>
      <c r="M294" s="20"/>
    </row>
    <row r="295" spans="1:13" ht="13.2" customHeight="1" x14ac:dyDescent="0.25">
      <c r="A295" s="179"/>
      <c r="B295" s="180"/>
      <c r="C295" s="10">
        <f>C322+1</f>
        <v>3</v>
      </c>
      <c r="D295" s="10">
        <f>C346+1</f>
        <v>2</v>
      </c>
      <c r="E295" s="10">
        <f>E316+1</f>
        <v>3</v>
      </c>
      <c r="F295" s="10">
        <v>1</v>
      </c>
      <c r="G295" s="10">
        <f>F352+1</f>
        <v>3</v>
      </c>
      <c r="H295" s="10">
        <f>H352+1</f>
        <v>4</v>
      </c>
      <c r="I295" s="20"/>
      <c r="J295" s="156"/>
      <c r="K295" s="20"/>
      <c r="L295" s="181"/>
      <c r="M295" s="20"/>
    </row>
    <row r="296" spans="1:13" ht="13.2" customHeight="1" x14ac:dyDescent="0.25">
      <c r="A296" s="177">
        <v>36</v>
      </c>
      <c r="B296" s="180">
        <v>99</v>
      </c>
      <c r="C296" s="14">
        <f>A296-A311</f>
        <v>5</v>
      </c>
      <c r="D296" s="14">
        <f>A296-A305</f>
        <v>3</v>
      </c>
      <c r="E296" s="14">
        <f>A296-A353</f>
        <v>19</v>
      </c>
      <c r="F296" s="14">
        <f>A296-A323</f>
        <v>9</v>
      </c>
      <c r="G296" s="14">
        <f>A296-A308</f>
        <v>4</v>
      </c>
      <c r="H296" s="14">
        <f>A296-A326</f>
        <v>10</v>
      </c>
      <c r="I296" s="20"/>
      <c r="J296" s="156"/>
      <c r="K296" s="20"/>
      <c r="L296" s="181">
        <v>45971</v>
      </c>
      <c r="M296" s="20"/>
    </row>
    <row r="297" spans="1:13" s="13" customFormat="1" ht="13.2" customHeight="1" x14ac:dyDescent="0.25">
      <c r="A297" s="178"/>
      <c r="B297" s="180"/>
      <c r="C297" s="118">
        <v>2</v>
      </c>
      <c r="D297" s="118">
        <v>16</v>
      </c>
      <c r="E297" s="118">
        <v>32</v>
      </c>
      <c r="F297" s="118">
        <v>75</v>
      </c>
      <c r="G297" s="118">
        <v>76</v>
      </c>
      <c r="H297" s="118">
        <v>86</v>
      </c>
      <c r="I297" s="20"/>
      <c r="J297" s="118"/>
      <c r="K297" s="20"/>
      <c r="L297" s="181"/>
      <c r="M297" s="20"/>
    </row>
    <row r="298" spans="1:13" s="13" customFormat="1" ht="13.2" customHeight="1" x14ac:dyDescent="0.25">
      <c r="A298" s="179"/>
      <c r="B298" s="180"/>
      <c r="C298" s="10">
        <f>C313+1</f>
        <v>5</v>
      </c>
      <c r="D298" s="10">
        <f>C319+1</f>
        <v>3</v>
      </c>
      <c r="E298" s="10">
        <f>D355+1</f>
        <v>4</v>
      </c>
      <c r="F298" s="10">
        <f>G325+1</f>
        <v>3</v>
      </c>
      <c r="G298" s="10">
        <f>H310+1</f>
        <v>4</v>
      </c>
      <c r="H298" s="10">
        <f>H328+1</f>
        <v>3</v>
      </c>
      <c r="I298" s="20"/>
      <c r="J298" s="156"/>
      <c r="K298" s="20"/>
      <c r="L298" s="181"/>
      <c r="M298" s="20"/>
    </row>
    <row r="299" spans="1:13" s="13" customFormat="1" ht="13.2" customHeight="1" x14ac:dyDescent="0.25">
      <c r="A299" s="177">
        <v>35</v>
      </c>
      <c r="B299" s="180">
        <v>100</v>
      </c>
      <c r="C299" s="14">
        <f>A299-A314</f>
        <v>5</v>
      </c>
      <c r="D299" s="14">
        <f>A299-A311</f>
        <v>4</v>
      </c>
      <c r="E299" s="14">
        <f>A299-A326</f>
        <v>9</v>
      </c>
      <c r="F299" s="14">
        <f>A299-A353</f>
        <v>18</v>
      </c>
      <c r="G299" s="14">
        <f>A299-A323</f>
        <v>8</v>
      </c>
      <c r="H299" s="17">
        <f>A299-A329</f>
        <v>10</v>
      </c>
      <c r="I299" s="20"/>
      <c r="J299" s="158"/>
      <c r="K299" s="20"/>
      <c r="L299" s="181">
        <v>45969</v>
      </c>
      <c r="M299" s="20"/>
    </row>
    <row r="300" spans="1:13" s="13" customFormat="1" ht="13.2" customHeight="1" x14ac:dyDescent="0.25">
      <c r="A300" s="178"/>
      <c r="B300" s="180"/>
      <c r="C300" s="118">
        <v>4</v>
      </c>
      <c r="D300" s="118">
        <v>18</v>
      </c>
      <c r="E300" s="118">
        <v>39</v>
      </c>
      <c r="F300" s="118">
        <v>87</v>
      </c>
      <c r="G300" s="118">
        <v>88</v>
      </c>
      <c r="H300" s="114">
        <v>90</v>
      </c>
      <c r="I300" s="20"/>
      <c r="J300" s="114"/>
      <c r="K300" s="20"/>
      <c r="L300" s="181"/>
      <c r="M300" s="20"/>
    </row>
    <row r="301" spans="1:13" s="13" customFormat="1" ht="13.2" customHeight="1" x14ac:dyDescent="0.25">
      <c r="A301" s="179"/>
      <c r="B301" s="180"/>
      <c r="C301" s="10">
        <f>C316+1</f>
        <v>5</v>
      </c>
      <c r="D301" s="10">
        <f>F313+1</f>
        <v>4</v>
      </c>
      <c r="E301" s="10">
        <f>F328+1</f>
        <v>6</v>
      </c>
      <c r="F301" s="10">
        <f>H355+1</f>
        <v>3</v>
      </c>
      <c r="G301" s="10">
        <f>H325+1</f>
        <v>3</v>
      </c>
      <c r="H301" s="18">
        <f>H331+1</f>
        <v>3</v>
      </c>
      <c r="I301" s="20"/>
      <c r="J301" s="158"/>
      <c r="K301" s="20"/>
      <c r="L301" s="181"/>
      <c r="M301" s="20"/>
    </row>
    <row r="302" spans="1:13" s="13" customFormat="1" ht="13.2" customHeight="1" x14ac:dyDescent="0.25">
      <c r="A302" s="177">
        <v>34</v>
      </c>
      <c r="B302" s="180">
        <v>101</v>
      </c>
      <c r="C302" s="14">
        <f>A302-A305</f>
        <v>1</v>
      </c>
      <c r="D302" s="14">
        <f>A302-A308</f>
        <v>2</v>
      </c>
      <c r="E302" s="14">
        <f>A302-A353</f>
        <v>17</v>
      </c>
      <c r="F302" s="14">
        <f>A302-A332</f>
        <v>10</v>
      </c>
      <c r="G302" s="14">
        <f>A302-A317</f>
        <v>5</v>
      </c>
      <c r="H302" s="14">
        <f>A302-A398</f>
        <v>32</v>
      </c>
      <c r="I302" s="20"/>
      <c r="J302" s="156"/>
      <c r="K302" s="20"/>
      <c r="L302" s="181">
        <v>45966</v>
      </c>
      <c r="M302" s="20"/>
    </row>
    <row r="303" spans="1:13" s="13" customFormat="1" ht="13.2" customHeight="1" x14ac:dyDescent="0.25">
      <c r="A303" s="178"/>
      <c r="B303" s="180"/>
      <c r="C303" s="118">
        <v>14</v>
      </c>
      <c r="D303" s="118">
        <v>45</v>
      </c>
      <c r="E303" s="118">
        <v>49</v>
      </c>
      <c r="F303" s="118">
        <v>68</v>
      </c>
      <c r="G303" s="118">
        <v>79</v>
      </c>
      <c r="H303" s="118">
        <v>81</v>
      </c>
      <c r="I303" s="20"/>
      <c r="J303" s="118"/>
      <c r="K303" s="20"/>
      <c r="L303" s="181"/>
      <c r="M303" s="20"/>
    </row>
    <row r="304" spans="1:13" s="13" customFormat="1" ht="13.2" customHeight="1" x14ac:dyDescent="0.25">
      <c r="A304" s="179"/>
      <c r="B304" s="180"/>
      <c r="C304" s="10">
        <f>D307+1</f>
        <v>5</v>
      </c>
      <c r="D304" s="10">
        <f>D310+1</f>
        <v>4</v>
      </c>
      <c r="E304" s="10">
        <f>F355+1</f>
        <v>4</v>
      </c>
      <c r="F304" s="10">
        <f>H334+1</f>
        <v>4</v>
      </c>
      <c r="G304" s="10">
        <f>H319+1</f>
        <v>3</v>
      </c>
      <c r="H304" s="10">
        <v>1</v>
      </c>
      <c r="I304" s="20"/>
      <c r="J304" s="156"/>
      <c r="K304" s="20"/>
      <c r="L304" s="181"/>
      <c r="M304" s="20"/>
    </row>
    <row r="305" spans="1:13" s="13" customFormat="1" ht="13.2" customHeight="1" x14ac:dyDescent="0.25">
      <c r="A305" s="177">
        <v>33</v>
      </c>
      <c r="B305" s="180">
        <v>102</v>
      </c>
      <c r="C305" s="14">
        <f>A305-A320</f>
        <v>5</v>
      </c>
      <c r="D305" s="14">
        <f>A305-A350</f>
        <v>15</v>
      </c>
      <c r="E305" s="14">
        <f>A305-A317</f>
        <v>4</v>
      </c>
      <c r="F305" s="14">
        <f>A305-A317</f>
        <v>4</v>
      </c>
      <c r="G305" s="14">
        <f>A305-A317</f>
        <v>4</v>
      </c>
      <c r="H305" s="14">
        <f>A305-A359</f>
        <v>18</v>
      </c>
      <c r="I305" s="20"/>
      <c r="J305" s="156"/>
      <c r="K305" s="20"/>
      <c r="L305" s="181">
        <v>45964</v>
      </c>
      <c r="M305" s="20"/>
    </row>
    <row r="306" spans="1:13" s="13" customFormat="1" ht="13.2" customHeight="1" x14ac:dyDescent="0.25">
      <c r="A306" s="178"/>
      <c r="B306" s="180"/>
      <c r="C306" s="118">
        <v>7</v>
      </c>
      <c r="D306" s="118">
        <v>14</v>
      </c>
      <c r="E306" s="118">
        <v>16</v>
      </c>
      <c r="F306" s="118">
        <v>20</v>
      </c>
      <c r="G306" s="118">
        <v>27</v>
      </c>
      <c r="H306" s="118">
        <v>62</v>
      </c>
      <c r="I306" s="20"/>
      <c r="J306" s="118"/>
      <c r="K306" s="20"/>
      <c r="L306" s="181"/>
      <c r="M306" s="20"/>
    </row>
    <row r="307" spans="1:13" s="13" customFormat="1" ht="13.2" customHeight="1" x14ac:dyDescent="0.25">
      <c r="A307" s="179"/>
      <c r="B307" s="180"/>
      <c r="C307" s="10">
        <f>D322+1</f>
        <v>6</v>
      </c>
      <c r="D307" s="10">
        <f>C352+1</f>
        <v>4</v>
      </c>
      <c r="E307" s="10">
        <f>C319+1</f>
        <v>3</v>
      </c>
      <c r="F307" s="10">
        <f>D319+1</f>
        <v>2</v>
      </c>
      <c r="G307" s="10">
        <f>E319+1</f>
        <v>4</v>
      </c>
      <c r="H307" s="10">
        <f>E361+1</f>
        <v>3</v>
      </c>
      <c r="I307" s="20"/>
      <c r="J307" s="156"/>
      <c r="K307" s="20"/>
      <c r="L307" s="181"/>
      <c r="M307" s="20"/>
    </row>
    <row r="308" spans="1:13" s="13" customFormat="1" ht="13.2" customHeight="1" x14ac:dyDescent="0.25">
      <c r="A308" s="177">
        <v>32</v>
      </c>
      <c r="B308" s="180">
        <v>103</v>
      </c>
      <c r="C308" s="14">
        <f>A308-A320</f>
        <v>4</v>
      </c>
      <c r="D308" s="14">
        <f>A308-A314</f>
        <v>2</v>
      </c>
      <c r="E308" s="14">
        <f>A308-A368</f>
        <v>20</v>
      </c>
      <c r="F308" s="14">
        <f>A308-A332</f>
        <v>8</v>
      </c>
      <c r="G308" s="14">
        <f>A308-A392</f>
        <v>28</v>
      </c>
      <c r="H308" s="14">
        <f>A308-A350</f>
        <v>14</v>
      </c>
      <c r="I308" s="5"/>
      <c r="J308" s="156"/>
      <c r="K308" s="5"/>
      <c r="L308" s="181">
        <v>45962</v>
      </c>
      <c r="M308" s="5"/>
    </row>
    <row r="309" spans="1:13" s="13" customFormat="1" ht="13.2" customHeight="1" x14ac:dyDescent="0.25">
      <c r="A309" s="178"/>
      <c r="B309" s="180"/>
      <c r="C309" s="118">
        <v>33</v>
      </c>
      <c r="D309" s="118">
        <v>45</v>
      </c>
      <c r="E309" s="118">
        <v>47</v>
      </c>
      <c r="F309" s="118">
        <v>50</v>
      </c>
      <c r="G309" s="118">
        <v>72</v>
      </c>
      <c r="H309" s="118">
        <v>76</v>
      </c>
      <c r="I309" s="5"/>
      <c r="J309" s="118"/>
      <c r="K309" s="5"/>
      <c r="L309" s="181"/>
      <c r="M309" s="5"/>
    </row>
    <row r="310" spans="1:13" s="13" customFormat="1" ht="13.2" customHeight="1" x14ac:dyDescent="0.25">
      <c r="A310" s="179"/>
      <c r="B310" s="180"/>
      <c r="C310" s="10">
        <f>G322+1</f>
        <v>5</v>
      </c>
      <c r="D310" s="10">
        <f>F316+1</f>
        <v>3</v>
      </c>
      <c r="E310" s="10">
        <f>G370+1</f>
        <v>2</v>
      </c>
      <c r="F310" s="10">
        <f>E334+1</f>
        <v>3</v>
      </c>
      <c r="G310" s="10">
        <f>G394+1</f>
        <v>2</v>
      </c>
      <c r="H310" s="10">
        <f>G352+1</f>
        <v>3</v>
      </c>
      <c r="I310" s="5"/>
      <c r="J310" s="156"/>
      <c r="K310" s="5"/>
      <c r="L310" s="181"/>
      <c r="M310" s="5"/>
    </row>
    <row r="311" spans="1:13" s="13" customFormat="1" ht="13.2" customHeight="1" x14ac:dyDescent="0.25">
      <c r="A311" s="177">
        <v>31</v>
      </c>
      <c r="B311" s="180">
        <v>104</v>
      </c>
      <c r="C311" s="14">
        <f>A311-A329-1</f>
        <v>5</v>
      </c>
      <c r="D311" s="14">
        <f>A311-A314-1</f>
        <v>0</v>
      </c>
      <c r="E311" s="14">
        <f>A311-A335-1</f>
        <v>7</v>
      </c>
      <c r="F311" s="14">
        <f>A311-A326-1</f>
        <v>4</v>
      </c>
      <c r="G311" s="14">
        <f>A311-A329-1</f>
        <v>5</v>
      </c>
      <c r="H311" s="14">
        <f>A311-A323-1</f>
        <v>3</v>
      </c>
      <c r="I311" s="5"/>
      <c r="J311" s="156"/>
      <c r="K311" s="5"/>
      <c r="L311" s="181">
        <v>45959</v>
      </c>
      <c r="M311" s="5"/>
    </row>
    <row r="312" spans="1:13" s="13" customFormat="1" ht="13.2" customHeight="1" x14ac:dyDescent="0.25">
      <c r="A312" s="178"/>
      <c r="B312" s="180"/>
      <c r="C312" s="118">
        <v>2</v>
      </c>
      <c r="D312" s="118">
        <v>6</v>
      </c>
      <c r="E312" s="118">
        <v>12</v>
      </c>
      <c r="F312" s="118">
        <v>18</v>
      </c>
      <c r="G312" s="118">
        <v>36</v>
      </c>
      <c r="H312" s="118">
        <v>53</v>
      </c>
      <c r="I312" s="5"/>
      <c r="J312" s="118"/>
      <c r="K312" s="5"/>
      <c r="L312" s="181"/>
      <c r="M312" s="5"/>
    </row>
    <row r="313" spans="1:13" s="13" customFormat="1" ht="13.2" customHeight="1" x14ac:dyDescent="0.25">
      <c r="A313" s="179"/>
      <c r="B313" s="180"/>
      <c r="C313" s="10">
        <f>C331+1</f>
        <v>4</v>
      </c>
      <c r="D313" s="10">
        <f>D316+1</f>
        <v>5</v>
      </c>
      <c r="E313" s="10">
        <f>D337+1</f>
        <v>4</v>
      </c>
      <c r="F313" s="10">
        <f>E328+1</f>
        <v>3</v>
      </c>
      <c r="G313" s="10">
        <f>J331+1</f>
        <v>6</v>
      </c>
      <c r="H313" s="10">
        <f>F325+1</f>
        <v>5</v>
      </c>
      <c r="I313" s="5"/>
      <c r="J313" s="156"/>
      <c r="K313" s="5"/>
      <c r="L313" s="181"/>
      <c r="M313" s="5"/>
    </row>
    <row r="314" spans="1:13" s="13" customFormat="1" ht="13.2" customHeight="1" x14ac:dyDescent="0.25">
      <c r="A314" s="177">
        <v>30</v>
      </c>
      <c r="B314" s="180">
        <v>105</v>
      </c>
      <c r="C314" s="14">
        <f>A314-A338</f>
        <v>8</v>
      </c>
      <c r="D314" s="14">
        <f>A314-A335</f>
        <v>7</v>
      </c>
      <c r="E314" s="14">
        <f>A314-A365</f>
        <v>17</v>
      </c>
      <c r="F314" s="14">
        <f>A314-A398</f>
        <v>28</v>
      </c>
      <c r="G314" s="14">
        <f>A314-A317</f>
        <v>1</v>
      </c>
      <c r="H314" s="14">
        <f>A314-A359</f>
        <v>15</v>
      </c>
      <c r="I314" s="5"/>
      <c r="J314" s="156"/>
      <c r="K314" s="5"/>
      <c r="L314" s="181">
        <v>45957</v>
      </c>
      <c r="M314" s="5"/>
    </row>
    <row r="315" spans="1:13" s="13" customFormat="1" ht="13.2" customHeight="1" x14ac:dyDescent="0.25">
      <c r="A315" s="178"/>
      <c r="B315" s="180"/>
      <c r="C315" s="118">
        <v>4</v>
      </c>
      <c r="D315" s="118">
        <v>6</v>
      </c>
      <c r="E315" s="118">
        <v>25</v>
      </c>
      <c r="F315" s="118">
        <v>45</v>
      </c>
      <c r="G315" s="118">
        <v>57</v>
      </c>
      <c r="H315" s="118">
        <v>62</v>
      </c>
      <c r="I315" s="5"/>
      <c r="J315" s="118"/>
      <c r="K315" s="5"/>
      <c r="L315" s="181"/>
      <c r="M315" s="5"/>
    </row>
    <row r="316" spans="1:13" s="13" customFormat="1" ht="13.2" customHeight="1" x14ac:dyDescent="0.25">
      <c r="A316" s="179"/>
      <c r="B316" s="180"/>
      <c r="C316" s="10">
        <f>C340+1</f>
        <v>4</v>
      </c>
      <c r="D316" s="10">
        <f>C337+1</f>
        <v>4</v>
      </c>
      <c r="E316" s="10">
        <f>D367+1</f>
        <v>2</v>
      </c>
      <c r="F316" s="10">
        <f>F400+1</f>
        <v>2</v>
      </c>
      <c r="G316" s="10">
        <f>G319+1</f>
        <v>5</v>
      </c>
      <c r="H316" s="10">
        <f>E361+1</f>
        <v>3</v>
      </c>
      <c r="I316" s="5"/>
      <c r="J316" s="156"/>
      <c r="K316" s="5"/>
      <c r="L316" s="181"/>
      <c r="M316" s="5"/>
    </row>
    <row r="317" spans="1:13" s="13" customFormat="1" ht="13.2" customHeight="1" x14ac:dyDescent="0.25">
      <c r="A317" s="177">
        <v>29</v>
      </c>
      <c r="B317" s="180">
        <v>106</v>
      </c>
      <c r="C317" s="14">
        <f>A317-A335</f>
        <v>6</v>
      </c>
      <c r="D317" s="14">
        <f>A317-A398</f>
        <v>27</v>
      </c>
      <c r="E317" s="14">
        <f>A317-A338</f>
        <v>7</v>
      </c>
      <c r="F317" s="14">
        <f>A317-A398</f>
        <v>27</v>
      </c>
      <c r="G317" s="14">
        <f>A317-A347</f>
        <v>10</v>
      </c>
      <c r="H317" s="14">
        <f>A317-A392</f>
        <v>25</v>
      </c>
      <c r="I317" s="5"/>
      <c r="J317" s="156">
        <f>A317-A323-1</f>
        <v>1</v>
      </c>
      <c r="K317" s="5"/>
      <c r="L317" s="181">
        <v>45955</v>
      </c>
      <c r="M317" s="5"/>
    </row>
    <row r="318" spans="1:13" s="13" customFormat="1" ht="13.2" customHeight="1" x14ac:dyDescent="0.25">
      <c r="A318" s="178"/>
      <c r="B318" s="180"/>
      <c r="C318" s="124">
        <v>16</v>
      </c>
      <c r="D318" s="120">
        <v>20</v>
      </c>
      <c r="E318" s="120">
        <v>27</v>
      </c>
      <c r="F318" s="120">
        <v>46</v>
      </c>
      <c r="G318" s="120">
        <v>57</v>
      </c>
      <c r="H318" s="120">
        <v>79</v>
      </c>
      <c r="I318" s="5"/>
      <c r="J318" s="120">
        <v>53</v>
      </c>
      <c r="K318" s="5"/>
      <c r="L318" s="181"/>
      <c r="M318" s="5"/>
    </row>
    <row r="319" spans="1:13" s="13" customFormat="1" ht="13.2" customHeight="1" x14ac:dyDescent="0.25">
      <c r="A319" s="179"/>
      <c r="B319" s="180"/>
      <c r="C319" s="10">
        <f>F337+1</f>
        <v>2</v>
      </c>
      <c r="D319" s="10">
        <v>1</v>
      </c>
      <c r="E319" s="10">
        <f>D340+1</f>
        <v>3</v>
      </c>
      <c r="F319" s="10">
        <v>1</v>
      </c>
      <c r="G319" s="10">
        <f>G349+1</f>
        <v>4</v>
      </c>
      <c r="H319" s="10">
        <f>H394+1</f>
        <v>2</v>
      </c>
      <c r="I319" s="5"/>
      <c r="J319" s="156">
        <f>F325+1</f>
        <v>5</v>
      </c>
      <c r="K319" s="5"/>
      <c r="L319" s="181"/>
      <c r="M319" s="5"/>
    </row>
    <row r="320" spans="1:13" s="13" customFormat="1" ht="13.2" customHeight="1" x14ac:dyDescent="0.25">
      <c r="A320" s="177">
        <v>28</v>
      </c>
      <c r="B320" s="180">
        <v>107</v>
      </c>
      <c r="C320" s="14">
        <f>A320-A323</f>
        <v>1</v>
      </c>
      <c r="D320" s="14">
        <f>A320-A368</f>
        <v>16</v>
      </c>
      <c r="E320" s="14">
        <f>A320-A326</f>
        <v>2</v>
      </c>
      <c r="F320" s="14">
        <f>A320-A335</f>
        <v>5</v>
      </c>
      <c r="G320" s="14">
        <f>A320-A380</f>
        <v>20</v>
      </c>
      <c r="H320" s="14">
        <f>A320-A398</f>
        <v>26</v>
      </c>
      <c r="I320" s="5"/>
      <c r="J320" s="156"/>
      <c r="K320" s="5"/>
      <c r="L320" s="181">
        <v>45952</v>
      </c>
      <c r="M320" s="5"/>
    </row>
    <row r="321" spans="1:13" s="13" customFormat="1" ht="13.2" customHeight="1" x14ac:dyDescent="0.25">
      <c r="A321" s="178"/>
      <c r="B321" s="180"/>
      <c r="C321" s="118">
        <v>1</v>
      </c>
      <c r="D321" s="118">
        <v>7</v>
      </c>
      <c r="E321" s="118">
        <v>10</v>
      </c>
      <c r="F321" s="118">
        <v>15</v>
      </c>
      <c r="G321" s="118">
        <v>33</v>
      </c>
      <c r="H321" s="118">
        <v>71</v>
      </c>
      <c r="I321" s="5"/>
      <c r="J321" s="118"/>
      <c r="K321" s="5"/>
      <c r="L321" s="181"/>
      <c r="M321" s="5"/>
    </row>
    <row r="322" spans="1:13" s="13" customFormat="1" ht="13.2" customHeight="1" x14ac:dyDescent="0.25">
      <c r="A322" s="179"/>
      <c r="B322" s="180"/>
      <c r="C322" s="10">
        <f>C325+1</f>
        <v>2</v>
      </c>
      <c r="D322" s="10">
        <f>C370+1</f>
        <v>5</v>
      </c>
      <c r="E322" s="10">
        <f>C328+1</f>
        <v>4</v>
      </c>
      <c r="F322" s="10">
        <f>E337+1</f>
        <v>3</v>
      </c>
      <c r="G322" s="10">
        <f>H382+1</f>
        <v>4</v>
      </c>
      <c r="H322" s="10">
        <v>1</v>
      </c>
      <c r="I322" s="5"/>
      <c r="J322" s="156"/>
      <c r="K322" s="5"/>
      <c r="L322" s="181"/>
      <c r="M322" s="5"/>
    </row>
    <row r="323" spans="1:13" s="13" customFormat="1" ht="13.2" customHeight="1" x14ac:dyDescent="0.25">
      <c r="A323" s="177">
        <v>27</v>
      </c>
      <c r="B323" s="180">
        <v>108</v>
      </c>
      <c r="C323" s="14">
        <v>0</v>
      </c>
      <c r="D323" s="14">
        <f>A323-A380</f>
        <v>19</v>
      </c>
      <c r="E323" s="14">
        <f>A323-A353</f>
        <v>10</v>
      </c>
      <c r="F323" s="14">
        <f>A323-A329</f>
        <v>2</v>
      </c>
      <c r="G323" s="14">
        <f>A323-A341</f>
        <v>6</v>
      </c>
      <c r="H323" s="14">
        <f>A323-A383</f>
        <v>20</v>
      </c>
      <c r="I323" s="5"/>
      <c r="J323" s="156"/>
      <c r="K323" s="5"/>
      <c r="L323" s="181">
        <v>45950</v>
      </c>
      <c r="M323" s="5"/>
    </row>
    <row r="324" spans="1:13" s="13" customFormat="1" ht="13.2" customHeight="1" x14ac:dyDescent="0.25">
      <c r="A324" s="178"/>
      <c r="B324" s="180"/>
      <c r="C324" s="118">
        <v>1</v>
      </c>
      <c r="D324" s="118">
        <v>29</v>
      </c>
      <c r="E324" s="118">
        <v>43</v>
      </c>
      <c r="F324" s="118">
        <v>53</v>
      </c>
      <c r="G324" s="118">
        <v>75</v>
      </c>
      <c r="H324" s="118">
        <v>88</v>
      </c>
      <c r="I324" s="5"/>
      <c r="J324" s="118"/>
      <c r="K324" s="5"/>
      <c r="L324" s="181"/>
      <c r="M324" s="5"/>
    </row>
    <row r="325" spans="1:13" ht="13.2" customHeight="1" x14ac:dyDescent="0.25">
      <c r="A325" s="179"/>
      <c r="B325" s="180"/>
      <c r="C325" s="10">
        <v>1</v>
      </c>
      <c r="D325" s="10">
        <f>E382+1</f>
        <v>3</v>
      </c>
      <c r="E325" s="10">
        <f>E355+1</f>
        <v>2</v>
      </c>
      <c r="F325" s="10">
        <f>E331+1</f>
        <v>4</v>
      </c>
      <c r="G325" s="10">
        <f>H343+1</f>
        <v>2</v>
      </c>
      <c r="H325" s="10">
        <f>H385+1</f>
        <v>2</v>
      </c>
      <c r="I325" s="5"/>
      <c r="J325" s="156"/>
      <c r="K325" s="5"/>
      <c r="L325" s="181"/>
      <c r="M325" s="5"/>
    </row>
    <row r="326" spans="1:13" s="13" customFormat="1" ht="15" customHeight="1" x14ac:dyDescent="0.25">
      <c r="A326" s="177">
        <v>26</v>
      </c>
      <c r="B326" s="180">
        <v>109</v>
      </c>
      <c r="C326" s="14">
        <f>A326-A329</f>
        <v>1</v>
      </c>
      <c r="D326" s="14">
        <v>0</v>
      </c>
      <c r="E326" s="14">
        <f>A326-A356</f>
        <v>10</v>
      </c>
      <c r="F326" s="14">
        <f>A326-A368</f>
        <v>14</v>
      </c>
      <c r="G326" s="14">
        <f>A326-A332</f>
        <v>2</v>
      </c>
      <c r="H326" s="14">
        <v>0</v>
      </c>
      <c r="I326" s="20"/>
      <c r="J326" s="156"/>
      <c r="K326" s="20"/>
      <c r="L326" s="181">
        <v>45948</v>
      </c>
      <c r="M326" s="20"/>
    </row>
    <row r="327" spans="1:13" s="13" customFormat="1" ht="15.6" x14ac:dyDescent="0.25">
      <c r="A327" s="178"/>
      <c r="B327" s="180"/>
      <c r="C327" s="118">
        <v>10</v>
      </c>
      <c r="D327" s="118">
        <v>13</v>
      </c>
      <c r="E327" s="118">
        <v>18</v>
      </c>
      <c r="F327" s="118">
        <v>39</v>
      </c>
      <c r="G327" s="118">
        <v>63</v>
      </c>
      <c r="H327" s="118">
        <v>85</v>
      </c>
      <c r="I327" s="20"/>
      <c r="J327" s="118"/>
      <c r="K327" s="20"/>
      <c r="L327" s="181"/>
      <c r="M327" s="20"/>
    </row>
    <row r="328" spans="1:13" s="13" customFormat="1" x14ac:dyDescent="0.25">
      <c r="A328" s="179"/>
      <c r="B328" s="180"/>
      <c r="C328" s="10">
        <f>D331+1</f>
        <v>3</v>
      </c>
      <c r="D328" s="10">
        <v>1</v>
      </c>
      <c r="E328" s="10">
        <f>C358+1</f>
        <v>2</v>
      </c>
      <c r="F328" s="10">
        <f>C361+1</f>
        <v>5</v>
      </c>
      <c r="G328" s="10">
        <f>F334+1</f>
        <v>2</v>
      </c>
      <c r="H328" s="10">
        <f>J388+1</f>
        <v>2</v>
      </c>
      <c r="I328" s="20"/>
      <c r="J328" s="156"/>
      <c r="K328" s="20"/>
      <c r="L328" s="181"/>
      <c r="M328" s="20"/>
    </row>
    <row r="329" spans="1:13" s="13" customFormat="1" ht="15" customHeight="1" x14ac:dyDescent="0.25">
      <c r="A329" s="177">
        <v>25</v>
      </c>
      <c r="B329" s="180">
        <v>110</v>
      </c>
      <c r="C329" s="14">
        <f>A329-A377</f>
        <v>16</v>
      </c>
      <c r="D329" s="14">
        <f>A329-A398</f>
        <v>23</v>
      </c>
      <c r="E329" s="14">
        <f>A329-A356</f>
        <v>9</v>
      </c>
      <c r="F329" s="14">
        <f>A329-A338</f>
        <v>3</v>
      </c>
      <c r="G329" s="14">
        <f>A329-A353</f>
        <v>8</v>
      </c>
      <c r="H329" s="14">
        <f>A329-A371</f>
        <v>14</v>
      </c>
      <c r="I329" s="20"/>
      <c r="J329" s="156">
        <f>A329-A332-1</f>
        <v>0</v>
      </c>
      <c r="K329" s="20"/>
      <c r="L329" s="181">
        <v>45945</v>
      </c>
      <c r="M329" s="20"/>
    </row>
    <row r="330" spans="1:13" s="13" customFormat="1" ht="15.6" x14ac:dyDescent="0.25">
      <c r="A330" s="178"/>
      <c r="B330" s="180"/>
      <c r="C330" s="124">
        <v>2</v>
      </c>
      <c r="D330" s="120">
        <v>10</v>
      </c>
      <c r="E330" s="120">
        <v>53</v>
      </c>
      <c r="F330" s="120">
        <v>73</v>
      </c>
      <c r="G330" s="120">
        <v>77</v>
      </c>
      <c r="H330" s="120">
        <v>90</v>
      </c>
      <c r="I330" s="20"/>
      <c r="J330" s="120">
        <v>36</v>
      </c>
      <c r="K330" s="20"/>
      <c r="L330" s="181"/>
      <c r="M330" s="20"/>
    </row>
    <row r="331" spans="1:13" s="13" customFormat="1" x14ac:dyDescent="0.25">
      <c r="A331" s="179"/>
      <c r="B331" s="180"/>
      <c r="C331" s="10">
        <f>C379+1</f>
        <v>3</v>
      </c>
      <c r="D331" s="10">
        <f>D400+1</f>
        <v>2</v>
      </c>
      <c r="E331" s="10">
        <f>E358+1</f>
        <v>3</v>
      </c>
      <c r="F331" s="10">
        <f>H340+1</f>
        <v>3</v>
      </c>
      <c r="G331" s="10">
        <f>G355+1</f>
        <v>4</v>
      </c>
      <c r="H331" s="10">
        <f>H373+1</f>
        <v>2</v>
      </c>
      <c r="I331" s="20"/>
      <c r="J331" s="156">
        <f>D334+1</f>
        <v>5</v>
      </c>
      <c r="K331" s="20"/>
      <c r="L331" s="181"/>
      <c r="M331" s="20"/>
    </row>
    <row r="332" spans="1:13" s="13" customFormat="1" x14ac:dyDescent="0.25">
      <c r="A332" s="177">
        <v>24</v>
      </c>
      <c r="B332" s="180">
        <v>111</v>
      </c>
      <c r="C332" s="14">
        <f>A332-A362</f>
        <v>10</v>
      </c>
      <c r="D332" s="14">
        <f>A332-A350</f>
        <v>6</v>
      </c>
      <c r="E332" s="14">
        <f>A332-A395</f>
        <v>21</v>
      </c>
      <c r="F332" s="14">
        <v>0</v>
      </c>
      <c r="G332" s="14">
        <f>A332-A347</f>
        <v>5</v>
      </c>
      <c r="H332" s="14">
        <f>A332-A359</f>
        <v>9</v>
      </c>
      <c r="I332" s="20"/>
      <c r="J332" s="156"/>
      <c r="K332" s="20"/>
      <c r="L332" s="181">
        <v>45943</v>
      </c>
      <c r="M332" s="20"/>
    </row>
    <row r="333" spans="1:13" s="13" customFormat="1" ht="15.6" x14ac:dyDescent="0.25">
      <c r="A333" s="178"/>
      <c r="B333" s="180"/>
      <c r="C333" s="118">
        <v>24</v>
      </c>
      <c r="D333" s="118">
        <v>36</v>
      </c>
      <c r="E333" s="118">
        <v>50</v>
      </c>
      <c r="F333" s="118">
        <v>63</v>
      </c>
      <c r="G333" s="118">
        <v>65</v>
      </c>
      <c r="H333" s="118">
        <v>68</v>
      </c>
      <c r="I333" s="20"/>
      <c r="J333" s="118"/>
      <c r="K333" s="20"/>
      <c r="L333" s="181"/>
      <c r="M333" s="20"/>
    </row>
    <row r="334" spans="1:13" s="13" customFormat="1" x14ac:dyDescent="0.25">
      <c r="A334" s="179"/>
      <c r="B334" s="180"/>
      <c r="C334" s="10">
        <f>D364+1</f>
        <v>3</v>
      </c>
      <c r="D334" s="10">
        <f>J352+1</f>
        <v>4</v>
      </c>
      <c r="E334" s="10">
        <f>F397+1</f>
        <v>2</v>
      </c>
      <c r="F334" s="10">
        <v>1</v>
      </c>
      <c r="G334" s="10">
        <f>H349+1</f>
        <v>4</v>
      </c>
      <c r="H334" s="10">
        <f>F361+1</f>
        <v>3</v>
      </c>
      <c r="I334" s="20"/>
      <c r="J334" s="156"/>
      <c r="K334" s="20"/>
      <c r="L334" s="181"/>
      <c r="M334" s="20"/>
    </row>
    <row r="335" spans="1:13" s="13" customFormat="1" ht="15" customHeight="1" x14ac:dyDescent="0.25">
      <c r="A335" s="177">
        <v>23</v>
      </c>
      <c r="B335" s="180">
        <v>112</v>
      </c>
      <c r="C335" s="14">
        <f>A335-A353</f>
        <v>6</v>
      </c>
      <c r="D335" s="14">
        <f>A335-A344</f>
        <v>3</v>
      </c>
      <c r="E335" s="14">
        <f>A335-A344</f>
        <v>3</v>
      </c>
      <c r="F335" s="14">
        <v>0</v>
      </c>
      <c r="G335" s="14">
        <f>A335-A380</f>
        <v>15</v>
      </c>
      <c r="H335" s="14">
        <v>0</v>
      </c>
      <c r="I335" s="20"/>
      <c r="J335" s="156"/>
      <c r="K335" s="20"/>
      <c r="L335" s="181">
        <v>45941</v>
      </c>
      <c r="M335" s="20"/>
    </row>
    <row r="336" spans="1:13" s="13" customFormat="1" ht="15.6" x14ac:dyDescent="0.25">
      <c r="A336" s="178"/>
      <c r="B336" s="180"/>
      <c r="C336" s="118">
        <v>6</v>
      </c>
      <c r="D336" s="118">
        <v>12</v>
      </c>
      <c r="E336" s="118">
        <v>15</v>
      </c>
      <c r="F336" s="118">
        <v>16</v>
      </c>
      <c r="G336" s="118">
        <v>19</v>
      </c>
      <c r="H336" s="118">
        <v>55</v>
      </c>
      <c r="I336" s="20"/>
      <c r="J336" s="118"/>
      <c r="K336" s="20"/>
      <c r="L336" s="181"/>
      <c r="M336" s="20"/>
    </row>
    <row r="337" spans="1:13" s="13" customFormat="1" x14ac:dyDescent="0.25">
      <c r="A337" s="179"/>
      <c r="B337" s="180"/>
      <c r="C337" s="10">
        <f>C355+1</f>
        <v>3</v>
      </c>
      <c r="D337" s="10">
        <f>D346+1</f>
        <v>3</v>
      </c>
      <c r="E337" s="10">
        <f>E346+1</f>
        <v>2</v>
      </c>
      <c r="F337" s="10">
        <v>1</v>
      </c>
      <c r="G337" s="10">
        <f>D382+1</f>
        <v>2</v>
      </c>
      <c r="H337" s="10">
        <v>1</v>
      </c>
      <c r="I337" s="20"/>
      <c r="J337" s="156"/>
      <c r="K337" s="20"/>
      <c r="L337" s="181"/>
      <c r="M337" s="20"/>
    </row>
    <row r="338" spans="1:13" s="13" customFormat="1" x14ac:dyDescent="0.25">
      <c r="A338" s="177">
        <v>22</v>
      </c>
      <c r="B338" s="180">
        <v>113</v>
      </c>
      <c r="C338" s="14">
        <f>A338-A347</f>
        <v>3</v>
      </c>
      <c r="D338" s="14">
        <f>A338-A383</f>
        <v>15</v>
      </c>
      <c r="E338" s="14">
        <f>A338-A389</f>
        <v>17</v>
      </c>
      <c r="F338" s="14">
        <f>A338-A341</f>
        <v>1</v>
      </c>
      <c r="G338" s="14">
        <f>A338-A341</f>
        <v>1</v>
      </c>
      <c r="H338" s="14">
        <f>A338-A365</f>
        <v>9</v>
      </c>
      <c r="I338" s="20"/>
      <c r="J338" s="156"/>
      <c r="K338" s="20"/>
      <c r="L338" s="181">
        <v>45938</v>
      </c>
      <c r="M338" s="20"/>
    </row>
    <row r="339" spans="1:13" s="13" customFormat="1" ht="15.6" x14ac:dyDescent="0.25">
      <c r="A339" s="178"/>
      <c r="B339" s="180"/>
      <c r="C339" s="118">
        <v>4</v>
      </c>
      <c r="D339" s="118">
        <v>27</v>
      </c>
      <c r="E339" s="118">
        <v>37</v>
      </c>
      <c r="F339" s="118">
        <v>41</v>
      </c>
      <c r="G339" s="118">
        <v>48</v>
      </c>
      <c r="H339" s="118">
        <v>73</v>
      </c>
      <c r="I339" s="20"/>
      <c r="J339" s="118"/>
      <c r="K339" s="20"/>
      <c r="L339" s="181"/>
      <c r="M339" s="20"/>
    </row>
    <row r="340" spans="1:13" s="13" customFormat="1" x14ac:dyDescent="0.25">
      <c r="A340" s="179"/>
      <c r="B340" s="180"/>
      <c r="C340" s="10">
        <f>C349+1</f>
        <v>3</v>
      </c>
      <c r="D340" s="10">
        <f>C385+1</f>
        <v>2</v>
      </c>
      <c r="E340" s="10">
        <f>D391+1</f>
        <v>2</v>
      </c>
      <c r="F340" s="10">
        <f>E343+1</f>
        <v>3</v>
      </c>
      <c r="G340" s="10">
        <f>F343+1</f>
        <v>3</v>
      </c>
      <c r="H340" s="10">
        <f>F367+1</f>
        <v>2</v>
      </c>
      <c r="I340" s="20"/>
      <c r="J340" s="156"/>
      <c r="K340" s="20"/>
      <c r="L340" s="181"/>
      <c r="M340" s="20"/>
    </row>
    <row r="341" spans="1:13" s="13" customFormat="1" x14ac:dyDescent="0.25">
      <c r="A341" s="177">
        <v>21</v>
      </c>
      <c r="B341" s="180">
        <v>114</v>
      </c>
      <c r="C341" s="14">
        <f>A341-A344</f>
        <v>1</v>
      </c>
      <c r="D341" s="14">
        <v>0</v>
      </c>
      <c r="E341" s="14">
        <f>A341-A368</f>
        <v>9</v>
      </c>
      <c r="F341" s="14">
        <f>A341-A356</f>
        <v>5</v>
      </c>
      <c r="G341" s="14">
        <f>A341-A374</f>
        <v>11</v>
      </c>
      <c r="H341" s="14">
        <v>0</v>
      </c>
      <c r="I341" s="20"/>
      <c r="J341" s="156"/>
      <c r="K341" s="20"/>
      <c r="L341" s="181">
        <v>45936</v>
      </c>
      <c r="M341" s="20"/>
    </row>
    <row r="342" spans="1:13" s="13" customFormat="1" ht="15.6" x14ac:dyDescent="0.25">
      <c r="A342" s="178"/>
      <c r="B342" s="180"/>
      <c r="C342" s="124">
        <v>23</v>
      </c>
      <c r="D342" s="120">
        <v>31</v>
      </c>
      <c r="E342" s="120">
        <v>41</v>
      </c>
      <c r="F342" s="120">
        <v>48</v>
      </c>
      <c r="G342" s="120">
        <v>58</v>
      </c>
      <c r="H342" s="120">
        <v>75</v>
      </c>
      <c r="I342" s="20"/>
      <c r="J342" s="120"/>
      <c r="K342" s="20"/>
      <c r="L342" s="181"/>
      <c r="M342" s="20"/>
    </row>
    <row r="343" spans="1:13" s="13" customFormat="1" x14ac:dyDescent="0.25">
      <c r="A343" s="179"/>
      <c r="B343" s="180"/>
      <c r="C343" s="10">
        <f>F346+1</f>
        <v>4</v>
      </c>
      <c r="D343" s="10">
        <v>1</v>
      </c>
      <c r="E343" s="10">
        <f>F370+1</f>
        <v>2</v>
      </c>
      <c r="F343" s="10">
        <f>D358+1</f>
        <v>2</v>
      </c>
      <c r="G343" s="10">
        <f>F376+1</f>
        <v>2</v>
      </c>
      <c r="H343" s="10">
        <v>1</v>
      </c>
      <c r="I343" s="20"/>
      <c r="J343" s="156"/>
      <c r="K343" s="20"/>
      <c r="L343" s="181"/>
      <c r="M343" s="20"/>
    </row>
    <row r="344" spans="1:13" s="13" customFormat="1" ht="13.2" customHeight="1" x14ac:dyDescent="0.25">
      <c r="A344" s="177">
        <v>20</v>
      </c>
      <c r="B344" s="180">
        <v>115</v>
      </c>
      <c r="C344" s="14">
        <v>0</v>
      </c>
      <c r="D344" s="14">
        <f>A344-A377</f>
        <v>11</v>
      </c>
      <c r="E344" s="14">
        <v>0</v>
      </c>
      <c r="F344" s="14">
        <f>A344-A386</f>
        <v>14</v>
      </c>
      <c r="G344" s="14">
        <f>A344-A389</f>
        <v>15</v>
      </c>
      <c r="H344" s="14">
        <f>A344-A395</f>
        <v>17</v>
      </c>
      <c r="I344" s="20"/>
      <c r="J344" s="156"/>
      <c r="K344" s="20"/>
      <c r="L344" s="181">
        <v>45934</v>
      </c>
      <c r="M344" s="20"/>
    </row>
    <row r="345" spans="1:13" s="13" customFormat="1" ht="15.6" x14ac:dyDescent="0.25">
      <c r="A345" s="178"/>
      <c r="B345" s="180"/>
      <c r="C345" s="118">
        <v>8</v>
      </c>
      <c r="D345" s="118">
        <v>12</v>
      </c>
      <c r="E345" s="118">
        <v>15</v>
      </c>
      <c r="F345" s="118">
        <v>23</v>
      </c>
      <c r="G345" s="118">
        <v>34</v>
      </c>
      <c r="H345" s="118">
        <v>56</v>
      </c>
      <c r="I345" s="20"/>
      <c r="J345" s="118"/>
      <c r="K345" s="20"/>
      <c r="L345" s="181"/>
      <c r="M345" s="20"/>
    </row>
    <row r="346" spans="1:13" s="13" customFormat="1" x14ac:dyDescent="0.25">
      <c r="A346" s="179"/>
      <c r="B346" s="180"/>
      <c r="C346" s="10">
        <v>1</v>
      </c>
      <c r="D346" s="10">
        <f>E379+1</f>
        <v>2</v>
      </c>
      <c r="E346" s="10">
        <v>1</v>
      </c>
      <c r="F346" s="10">
        <f>F388+1</f>
        <v>3</v>
      </c>
      <c r="G346" s="10">
        <f>C391+1</f>
        <v>2</v>
      </c>
      <c r="H346" s="10">
        <f>G397+1</f>
        <v>2</v>
      </c>
      <c r="I346" s="20"/>
      <c r="J346" s="156"/>
      <c r="K346" s="20"/>
      <c r="L346" s="181"/>
      <c r="M346" s="20"/>
    </row>
    <row r="347" spans="1:13" s="13" customFormat="1" x14ac:dyDescent="0.25">
      <c r="A347" s="177">
        <v>19</v>
      </c>
      <c r="B347" s="180">
        <v>116</v>
      </c>
      <c r="C347" s="14">
        <f>A347-A398</f>
        <v>17</v>
      </c>
      <c r="D347" s="14">
        <v>0</v>
      </c>
      <c r="E347" s="14">
        <f>A347-A371</f>
        <v>8</v>
      </c>
      <c r="F347" s="14">
        <v>0</v>
      </c>
      <c r="G347" s="14">
        <f>A347-A350</f>
        <v>1</v>
      </c>
      <c r="H347" s="14">
        <f>A347-A356</f>
        <v>3</v>
      </c>
      <c r="I347" s="20"/>
      <c r="J347" s="156"/>
      <c r="K347" s="20"/>
      <c r="L347" s="181">
        <v>45931</v>
      </c>
      <c r="M347" s="20"/>
    </row>
    <row r="348" spans="1:13" s="13" customFormat="1" ht="15.6" x14ac:dyDescent="0.25">
      <c r="A348" s="178"/>
      <c r="B348" s="180"/>
      <c r="C348" s="118">
        <v>4</v>
      </c>
      <c r="D348" s="118">
        <v>28</v>
      </c>
      <c r="E348" s="118">
        <v>40</v>
      </c>
      <c r="F348" s="118">
        <v>54</v>
      </c>
      <c r="G348" s="118">
        <v>57</v>
      </c>
      <c r="H348" s="118">
        <v>65</v>
      </c>
      <c r="I348" s="20"/>
      <c r="J348" s="118"/>
      <c r="K348" s="20"/>
      <c r="L348" s="181"/>
      <c r="M348" s="20"/>
    </row>
    <row r="349" spans="1:13" s="13" customFormat="1" x14ac:dyDescent="0.25">
      <c r="A349" s="179"/>
      <c r="B349" s="180"/>
      <c r="C349" s="10">
        <f>C400+1</f>
        <v>2</v>
      </c>
      <c r="D349" s="10">
        <v>1</v>
      </c>
      <c r="E349" s="10">
        <f>F373+1</f>
        <v>3</v>
      </c>
      <c r="F349" s="10">
        <v>1</v>
      </c>
      <c r="G349" s="10">
        <f>E352+1</f>
        <v>3</v>
      </c>
      <c r="H349" s="10">
        <f>H358+1</f>
        <v>3</v>
      </c>
      <c r="I349" s="20"/>
      <c r="J349" s="156"/>
      <c r="K349" s="20"/>
      <c r="L349" s="181"/>
      <c r="M349" s="20"/>
    </row>
    <row r="350" spans="1:13" s="13" customFormat="1" ht="13.2" customHeight="1" x14ac:dyDescent="0.25">
      <c r="A350" s="177">
        <v>18</v>
      </c>
      <c r="B350" s="180">
        <v>117</v>
      </c>
      <c r="C350" s="14">
        <f>A350-A362</f>
        <v>4</v>
      </c>
      <c r="D350" s="14">
        <f>A350-A371</f>
        <v>7</v>
      </c>
      <c r="E350" s="14">
        <f>A350-A383</f>
        <v>11</v>
      </c>
      <c r="F350" s="14">
        <f>A350-A389</f>
        <v>13</v>
      </c>
      <c r="G350" s="14">
        <f>A350-A359</f>
        <v>3</v>
      </c>
      <c r="H350" s="14">
        <f>A350-A362</f>
        <v>4</v>
      </c>
      <c r="I350" s="20"/>
      <c r="J350" s="156">
        <f>A350-A374-1</f>
        <v>7</v>
      </c>
      <c r="K350" s="20"/>
      <c r="L350" s="181">
        <v>45929</v>
      </c>
      <c r="M350" s="20"/>
    </row>
    <row r="351" spans="1:13" s="13" customFormat="1" ht="15.6" x14ac:dyDescent="0.25">
      <c r="A351" s="178"/>
      <c r="B351" s="180"/>
      <c r="C351" s="118">
        <v>14</v>
      </c>
      <c r="D351" s="118">
        <v>35</v>
      </c>
      <c r="E351" s="118">
        <v>57</v>
      </c>
      <c r="F351" s="118">
        <v>70</v>
      </c>
      <c r="G351" s="118">
        <v>76</v>
      </c>
      <c r="H351" s="118">
        <v>83</v>
      </c>
      <c r="I351" s="20"/>
      <c r="J351" s="118">
        <v>36</v>
      </c>
      <c r="K351" s="20"/>
      <c r="L351" s="181"/>
      <c r="M351" s="20"/>
    </row>
    <row r="352" spans="1:13" s="13" customFormat="1" x14ac:dyDescent="0.25">
      <c r="A352" s="179"/>
      <c r="B352" s="180"/>
      <c r="C352" s="10">
        <f>C364+1</f>
        <v>3</v>
      </c>
      <c r="D352" s="10">
        <f>D373+1</f>
        <v>3</v>
      </c>
      <c r="E352" s="10">
        <f>F385+1</f>
        <v>2</v>
      </c>
      <c r="F352" s="10">
        <f>G391+1</f>
        <v>2</v>
      </c>
      <c r="G352" s="10">
        <f>G361+1</f>
        <v>2</v>
      </c>
      <c r="H352" s="10">
        <f>H364+1</f>
        <v>3</v>
      </c>
      <c r="I352" s="20"/>
      <c r="J352" s="156">
        <f>E376+1</f>
        <v>3</v>
      </c>
      <c r="K352" s="20"/>
      <c r="L352" s="181"/>
      <c r="M352" s="20"/>
    </row>
    <row r="353" spans="1:13" s="13" customFormat="1" x14ac:dyDescent="0.25">
      <c r="A353" s="177">
        <v>17</v>
      </c>
      <c r="B353" s="180">
        <v>118</v>
      </c>
      <c r="C353" s="14">
        <f>A353-A392</f>
        <v>13</v>
      </c>
      <c r="D353" s="14">
        <f>A353-A374</f>
        <v>7</v>
      </c>
      <c r="E353" s="14">
        <v>0</v>
      </c>
      <c r="F353" s="14">
        <f>A353-A362</f>
        <v>3</v>
      </c>
      <c r="G353" s="14">
        <f>A353-A359</f>
        <v>2</v>
      </c>
      <c r="H353" s="14">
        <f>A353-A395</f>
        <v>14</v>
      </c>
      <c r="I353" s="20"/>
      <c r="J353" s="156">
        <f>A353-A377-1</f>
        <v>7</v>
      </c>
      <c r="K353" s="20"/>
      <c r="L353" s="181">
        <v>45927</v>
      </c>
      <c r="M353" s="20"/>
    </row>
    <row r="354" spans="1:13" s="13" customFormat="1" ht="15.6" x14ac:dyDescent="0.25">
      <c r="A354" s="178"/>
      <c r="B354" s="180"/>
      <c r="C354" s="124">
        <v>6</v>
      </c>
      <c r="D354" s="120">
        <v>32</v>
      </c>
      <c r="E354" s="120">
        <v>43</v>
      </c>
      <c r="F354" s="120">
        <v>49</v>
      </c>
      <c r="G354" s="120">
        <v>77</v>
      </c>
      <c r="H354" s="120">
        <v>87</v>
      </c>
      <c r="I354" s="20"/>
      <c r="J354" s="120">
        <v>29</v>
      </c>
      <c r="K354" s="20"/>
      <c r="L354" s="181"/>
      <c r="M354" s="20"/>
    </row>
    <row r="355" spans="1:13" s="13" customFormat="1" x14ac:dyDescent="0.25">
      <c r="A355" s="179"/>
      <c r="B355" s="180"/>
      <c r="C355" s="10">
        <f>D394+1</f>
        <v>2</v>
      </c>
      <c r="D355" s="10">
        <f>D376+1</f>
        <v>3</v>
      </c>
      <c r="E355" s="10">
        <v>1</v>
      </c>
      <c r="F355" s="10">
        <f>E364+1</f>
        <v>3</v>
      </c>
      <c r="G355" s="10">
        <f>H361+1</f>
        <v>3</v>
      </c>
      <c r="H355" s="10">
        <f>H379+1</f>
        <v>2</v>
      </c>
      <c r="I355" s="20"/>
      <c r="J355" s="156">
        <f>J379+1</f>
        <v>4</v>
      </c>
      <c r="K355" s="20"/>
      <c r="L355" s="181"/>
      <c r="M355" s="20"/>
    </row>
    <row r="356" spans="1:13" s="13" customFormat="1" ht="13.2" customHeight="1" x14ac:dyDescent="0.25">
      <c r="A356" s="177">
        <v>16</v>
      </c>
      <c r="B356" s="180">
        <v>119</v>
      </c>
      <c r="C356" s="14">
        <v>0</v>
      </c>
      <c r="D356" s="14">
        <v>0</v>
      </c>
      <c r="E356" s="14">
        <f>A356-A401</f>
        <v>15</v>
      </c>
      <c r="F356" s="14">
        <f>A356-A362</f>
        <v>2</v>
      </c>
      <c r="G356" s="14">
        <f>A356-A374</f>
        <v>6</v>
      </c>
      <c r="H356" s="14">
        <f>A356-A398</f>
        <v>14</v>
      </c>
      <c r="I356" s="20"/>
      <c r="J356" s="156"/>
      <c r="K356" s="20"/>
      <c r="L356" s="181">
        <v>45924</v>
      </c>
      <c r="M356" s="20"/>
    </row>
    <row r="357" spans="1:13" s="13" customFormat="1" ht="15.6" x14ac:dyDescent="0.25">
      <c r="A357" s="178"/>
      <c r="B357" s="180"/>
      <c r="C357" s="118">
        <v>18</v>
      </c>
      <c r="D357" s="118">
        <v>48</v>
      </c>
      <c r="E357" s="118">
        <v>53</v>
      </c>
      <c r="F357" s="118">
        <v>61</v>
      </c>
      <c r="G357" s="118">
        <v>64</v>
      </c>
      <c r="H357" s="118">
        <v>65</v>
      </c>
      <c r="I357" s="20"/>
      <c r="J357" s="118"/>
      <c r="K357" s="20"/>
      <c r="L357" s="181"/>
      <c r="M357" s="20"/>
    </row>
    <row r="358" spans="1:13" s="13" customFormat="1" x14ac:dyDescent="0.25">
      <c r="A358" s="179"/>
      <c r="B358" s="180"/>
      <c r="C358" s="10">
        <v>1</v>
      </c>
      <c r="D358" s="10">
        <v>1</v>
      </c>
      <c r="E358" s="10">
        <f>H403+1</f>
        <v>2</v>
      </c>
      <c r="F358" s="10">
        <f>G364+1</f>
        <v>3</v>
      </c>
      <c r="G358" s="10">
        <f>G376+1</f>
        <v>2</v>
      </c>
      <c r="H358" s="10">
        <f>G400+1</f>
        <v>2</v>
      </c>
      <c r="I358" s="20"/>
      <c r="J358" s="156"/>
      <c r="K358" s="20"/>
      <c r="L358" s="181"/>
      <c r="M358" s="20"/>
    </row>
    <row r="359" spans="1:13" s="13" customFormat="1" ht="13.2" customHeight="1" x14ac:dyDescent="0.25">
      <c r="A359" s="177">
        <v>15</v>
      </c>
      <c r="B359" s="180">
        <v>120</v>
      </c>
      <c r="C359" s="14">
        <f>A359-A371</f>
        <v>4</v>
      </c>
      <c r="D359" s="14">
        <v>0</v>
      </c>
      <c r="E359" s="14">
        <f>A359-A389</f>
        <v>10</v>
      </c>
      <c r="F359" s="14">
        <f>A359-A374</f>
        <v>5</v>
      </c>
      <c r="G359" s="14">
        <v>0</v>
      </c>
      <c r="H359" s="14">
        <f>A359-A395</f>
        <v>12</v>
      </c>
      <c r="I359" s="20"/>
      <c r="J359" s="156"/>
      <c r="K359" s="20"/>
      <c r="L359" s="181">
        <v>45922</v>
      </c>
      <c r="M359" s="20"/>
    </row>
    <row r="360" spans="1:13" s="13" customFormat="1" ht="15.6" x14ac:dyDescent="0.25">
      <c r="A360" s="178"/>
      <c r="B360" s="180"/>
      <c r="C360" s="118">
        <v>39</v>
      </c>
      <c r="D360" s="118">
        <v>59</v>
      </c>
      <c r="E360" s="118">
        <v>62</v>
      </c>
      <c r="F360" s="118">
        <v>68</v>
      </c>
      <c r="G360" s="118">
        <v>76</v>
      </c>
      <c r="H360" s="118">
        <v>77</v>
      </c>
      <c r="I360" s="20"/>
      <c r="J360" s="118"/>
      <c r="K360" s="20"/>
      <c r="L360" s="181"/>
      <c r="M360" s="20"/>
    </row>
    <row r="361" spans="1:13" s="13" customFormat="1" x14ac:dyDescent="0.25">
      <c r="A361" s="179"/>
      <c r="B361" s="180"/>
      <c r="C361" s="10">
        <f>E373+1</f>
        <v>4</v>
      </c>
      <c r="D361" s="10">
        <v>1</v>
      </c>
      <c r="E361" s="10">
        <f>F391+1</f>
        <v>2</v>
      </c>
      <c r="F361" s="10">
        <f>H376+1</f>
        <v>2</v>
      </c>
      <c r="G361" s="10">
        <v>1</v>
      </c>
      <c r="H361" s="10">
        <f>H397+1</f>
        <v>2</v>
      </c>
      <c r="I361" s="20"/>
      <c r="J361" s="156"/>
      <c r="K361" s="20"/>
      <c r="L361" s="181"/>
      <c r="M361" s="20"/>
    </row>
    <row r="362" spans="1:13" s="13" customFormat="1" ht="13.2" customHeight="1" x14ac:dyDescent="0.25">
      <c r="A362" s="177">
        <v>14</v>
      </c>
      <c r="B362" s="180">
        <v>121</v>
      </c>
      <c r="C362" s="14">
        <f>A362-A386</f>
        <v>8</v>
      </c>
      <c r="D362" s="14">
        <f>A362-A401</f>
        <v>13</v>
      </c>
      <c r="E362" s="14">
        <f>A362-A371</f>
        <v>3</v>
      </c>
      <c r="F362" s="14">
        <v>0</v>
      </c>
      <c r="G362" s="14">
        <f>A362-A365</f>
        <v>1</v>
      </c>
      <c r="H362" s="14">
        <f>A362-A398</f>
        <v>12</v>
      </c>
      <c r="I362" s="20"/>
      <c r="J362" s="156"/>
      <c r="K362" s="20"/>
      <c r="L362" s="181">
        <v>45920</v>
      </c>
      <c r="M362" s="20"/>
    </row>
    <row r="363" spans="1:13" s="13" customFormat="1" ht="15.6" x14ac:dyDescent="0.25">
      <c r="A363" s="178"/>
      <c r="B363" s="180"/>
      <c r="C363" s="118">
        <v>14</v>
      </c>
      <c r="D363" s="118">
        <v>24</v>
      </c>
      <c r="E363" s="118">
        <v>49</v>
      </c>
      <c r="F363" s="118">
        <v>60</v>
      </c>
      <c r="G363" s="118">
        <v>61</v>
      </c>
      <c r="H363" s="118">
        <v>83</v>
      </c>
      <c r="I363" s="20"/>
      <c r="J363" s="118"/>
      <c r="K363" s="20"/>
      <c r="L363" s="181"/>
      <c r="M363" s="20"/>
    </row>
    <row r="364" spans="1:13" s="13" customFormat="1" x14ac:dyDescent="0.25">
      <c r="A364" s="179"/>
      <c r="B364" s="180"/>
      <c r="C364" s="10">
        <f>E388+1</f>
        <v>2</v>
      </c>
      <c r="D364" s="10">
        <f>E403+1</f>
        <v>2</v>
      </c>
      <c r="E364" s="10">
        <f>G373+1</f>
        <v>2</v>
      </c>
      <c r="F364" s="10">
        <v>1</v>
      </c>
      <c r="G364" s="10">
        <f>G385+1</f>
        <v>2</v>
      </c>
      <c r="H364" s="10">
        <f>H400+1</f>
        <v>2</v>
      </c>
      <c r="I364" s="20"/>
      <c r="J364" s="156"/>
      <c r="K364" s="20"/>
      <c r="L364" s="181"/>
      <c r="M364" s="20"/>
    </row>
    <row r="365" spans="1:13" s="13" customFormat="1" ht="13.2" customHeight="1" x14ac:dyDescent="0.25">
      <c r="A365" s="177">
        <v>13</v>
      </c>
      <c r="B365" s="180">
        <v>122</v>
      </c>
      <c r="C365" s="14">
        <f>A365-A374</f>
        <v>3</v>
      </c>
      <c r="D365" s="14">
        <v>0</v>
      </c>
      <c r="E365" s="14">
        <f>A365-A383</f>
        <v>6</v>
      </c>
      <c r="F365" s="14">
        <v>0</v>
      </c>
      <c r="G365" s="14">
        <v>0</v>
      </c>
      <c r="H365" s="14">
        <f>A365-A368</f>
        <v>1</v>
      </c>
      <c r="I365" s="16"/>
      <c r="J365" s="156"/>
      <c r="K365" s="16"/>
      <c r="L365" s="181">
        <v>45917</v>
      </c>
      <c r="M365" s="16"/>
    </row>
    <row r="366" spans="1:13" s="13" customFormat="1" ht="15.6" x14ac:dyDescent="0.25">
      <c r="A366" s="178"/>
      <c r="B366" s="180"/>
      <c r="C366" s="124">
        <v>5</v>
      </c>
      <c r="D366" s="120">
        <v>25</v>
      </c>
      <c r="E366" s="120">
        <v>61</v>
      </c>
      <c r="F366" s="120">
        <v>73</v>
      </c>
      <c r="G366" s="120">
        <v>74</v>
      </c>
      <c r="H366" s="120">
        <v>82</v>
      </c>
      <c r="I366" s="16"/>
      <c r="J366" s="120"/>
      <c r="K366" s="16"/>
      <c r="L366" s="181"/>
      <c r="M366" s="16"/>
    </row>
    <row r="367" spans="1:13" s="13" customFormat="1" x14ac:dyDescent="0.25">
      <c r="A367" s="179"/>
      <c r="B367" s="180"/>
      <c r="C367" s="10">
        <f>C376+1</f>
        <v>5</v>
      </c>
      <c r="D367" s="10">
        <v>1</v>
      </c>
      <c r="E367" s="10">
        <f>G385+1</f>
        <v>2</v>
      </c>
      <c r="F367" s="10">
        <v>1</v>
      </c>
      <c r="G367" s="10">
        <v>1</v>
      </c>
      <c r="H367" s="10">
        <f>H370+1</f>
        <v>2</v>
      </c>
      <c r="I367" s="16"/>
      <c r="J367" s="156"/>
      <c r="K367" s="16"/>
      <c r="L367" s="181"/>
      <c r="M367" s="16"/>
    </row>
    <row r="368" spans="1:13" s="13" customFormat="1" x14ac:dyDescent="0.25">
      <c r="A368" s="177">
        <v>12</v>
      </c>
      <c r="B368" s="180">
        <v>123</v>
      </c>
      <c r="C368" s="14">
        <f>A368-A380</f>
        <v>4</v>
      </c>
      <c r="D368" s="14">
        <f>A368-A386</f>
        <v>6</v>
      </c>
      <c r="E368" s="14">
        <f>A368-A371</f>
        <v>1</v>
      </c>
      <c r="F368" s="14">
        <v>0</v>
      </c>
      <c r="G368" s="14">
        <v>0</v>
      </c>
      <c r="H368" s="14">
        <v>0</v>
      </c>
      <c r="I368" s="16"/>
      <c r="J368" s="156"/>
      <c r="K368" s="16"/>
      <c r="L368" s="181">
        <v>45915</v>
      </c>
      <c r="M368" s="16"/>
    </row>
    <row r="369" spans="1:13" s="13" customFormat="1" ht="15.6" x14ac:dyDescent="0.25">
      <c r="A369" s="178"/>
      <c r="B369" s="180"/>
      <c r="C369" s="118">
        <v>7</v>
      </c>
      <c r="D369" s="118">
        <v>23</v>
      </c>
      <c r="E369" s="118">
        <v>39</v>
      </c>
      <c r="F369" s="118">
        <v>41</v>
      </c>
      <c r="G369" s="118">
        <v>47</v>
      </c>
      <c r="H369" s="118">
        <v>82</v>
      </c>
      <c r="I369" s="16"/>
      <c r="J369" s="118"/>
      <c r="K369" s="16"/>
      <c r="L369" s="181"/>
      <c r="M369" s="16"/>
    </row>
    <row r="370" spans="1:13" s="13" customFormat="1" x14ac:dyDescent="0.25">
      <c r="A370" s="179"/>
      <c r="B370" s="180"/>
      <c r="C370" s="10">
        <f>C382+1</f>
        <v>4</v>
      </c>
      <c r="D370" s="10">
        <f>F388+1</f>
        <v>3</v>
      </c>
      <c r="E370" s="10">
        <f>E373+1</f>
        <v>4</v>
      </c>
      <c r="F370" s="10">
        <v>1</v>
      </c>
      <c r="G370" s="10">
        <v>1</v>
      </c>
      <c r="H370" s="10">
        <v>1</v>
      </c>
      <c r="I370" s="16"/>
      <c r="J370" s="156"/>
      <c r="K370" s="16"/>
      <c r="L370" s="181"/>
      <c r="M370" s="16"/>
    </row>
    <row r="371" spans="1:13" s="13" customFormat="1" ht="13.2" customHeight="1" x14ac:dyDescent="0.25">
      <c r="A371" s="177">
        <v>11</v>
      </c>
      <c r="B371" s="180">
        <v>124</v>
      </c>
      <c r="C371" s="14">
        <f>A371-A377</f>
        <v>2</v>
      </c>
      <c r="D371" s="14">
        <f>A371-A383</f>
        <v>4</v>
      </c>
      <c r="E371" s="14">
        <f>A371-A377</f>
        <v>2</v>
      </c>
      <c r="F371" s="14">
        <f>A371-A395</f>
        <v>8</v>
      </c>
      <c r="G371" s="14">
        <v>0</v>
      </c>
      <c r="H371" s="14">
        <v>0</v>
      </c>
      <c r="I371" s="16"/>
      <c r="J371" s="156"/>
      <c r="K371" s="16"/>
      <c r="L371" s="181">
        <v>45913</v>
      </c>
      <c r="M371" s="16"/>
    </row>
    <row r="372" spans="1:13" s="13" customFormat="1" ht="15.6" x14ac:dyDescent="0.25">
      <c r="A372" s="178"/>
      <c r="B372" s="180"/>
      <c r="C372" s="118">
        <v>3</v>
      </c>
      <c r="D372" s="118">
        <v>35</v>
      </c>
      <c r="E372" s="118">
        <v>39</v>
      </c>
      <c r="F372" s="118">
        <v>40</v>
      </c>
      <c r="G372" s="118">
        <v>49</v>
      </c>
      <c r="H372" s="118">
        <v>90</v>
      </c>
      <c r="I372" s="16"/>
      <c r="J372" s="118"/>
      <c r="K372" s="16"/>
      <c r="L372" s="181"/>
      <c r="M372" s="16"/>
    </row>
    <row r="373" spans="1:13" s="13" customFormat="1" x14ac:dyDescent="0.25">
      <c r="A373" s="179"/>
      <c r="B373" s="180"/>
      <c r="C373" s="10">
        <f>D379+1</f>
        <v>2</v>
      </c>
      <c r="D373" s="10">
        <f>D385+1</f>
        <v>2</v>
      </c>
      <c r="E373" s="10">
        <f>G379+1</f>
        <v>3</v>
      </c>
      <c r="F373" s="10">
        <f>D397+1</f>
        <v>2</v>
      </c>
      <c r="G373" s="10">
        <v>1</v>
      </c>
      <c r="H373" s="10">
        <v>1</v>
      </c>
      <c r="I373" s="16"/>
      <c r="J373" s="156"/>
      <c r="K373" s="16"/>
      <c r="L373" s="181"/>
      <c r="M373" s="16"/>
    </row>
    <row r="374" spans="1:13" s="13" customFormat="1" ht="14.4" customHeight="1" x14ac:dyDescent="0.25">
      <c r="A374" s="177">
        <v>10</v>
      </c>
      <c r="B374" s="180">
        <v>125</v>
      </c>
      <c r="C374" s="14">
        <f>A374-A386</f>
        <v>4</v>
      </c>
      <c r="D374" s="14">
        <f>A374-A380</f>
        <v>2</v>
      </c>
      <c r="E374" s="14">
        <f>A374-A377</f>
        <v>1</v>
      </c>
      <c r="F374" s="14">
        <f>A374-A389</f>
        <v>5</v>
      </c>
      <c r="G374" s="14">
        <v>0</v>
      </c>
      <c r="H374" s="14">
        <v>0</v>
      </c>
      <c r="I374" s="16"/>
      <c r="J374" s="156"/>
      <c r="K374" s="16"/>
      <c r="L374" s="181">
        <v>45910</v>
      </c>
      <c r="M374" s="16"/>
    </row>
    <row r="375" spans="1:13" s="13" customFormat="1" ht="15.6" x14ac:dyDescent="0.25">
      <c r="A375" s="178"/>
      <c r="B375" s="180"/>
      <c r="C375" s="118">
        <v>5</v>
      </c>
      <c r="D375" s="118">
        <v>32</v>
      </c>
      <c r="E375" s="118">
        <v>36</v>
      </c>
      <c r="F375" s="118">
        <v>58</v>
      </c>
      <c r="G375" s="118">
        <v>64</v>
      </c>
      <c r="H375" s="118">
        <v>68</v>
      </c>
      <c r="I375" s="16"/>
      <c r="J375" s="118"/>
      <c r="K375" s="16"/>
      <c r="L375" s="181"/>
      <c r="M375" s="16"/>
    </row>
    <row r="376" spans="1:13" s="13" customFormat="1" x14ac:dyDescent="0.25">
      <c r="A376" s="179"/>
      <c r="B376" s="180"/>
      <c r="C376" s="10">
        <v>4</v>
      </c>
      <c r="D376" s="10">
        <f>G382+1</f>
        <v>2</v>
      </c>
      <c r="E376" s="10">
        <f>F379+1</f>
        <v>2</v>
      </c>
      <c r="F376" s="10">
        <v>1</v>
      </c>
      <c r="G376" s="10">
        <v>1</v>
      </c>
      <c r="H376" s="10">
        <v>1</v>
      </c>
      <c r="I376" s="16"/>
      <c r="J376" s="156"/>
      <c r="K376" s="16"/>
      <c r="L376" s="181"/>
      <c r="M376" s="16"/>
    </row>
    <row r="377" spans="1:13" s="13" customFormat="1" ht="13.2" customHeight="1" x14ac:dyDescent="0.25">
      <c r="A377" s="177">
        <v>9</v>
      </c>
      <c r="B377" s="180">
        <v>126</v>
      </c>
      <c r="C377" s="14">
        <f>A377-A395</f>
        <v>6</v>
      </c>
      <c r="D377" s="14">
        <v>0</v>
      </c>
      <c r="E377" s="14">
        <v>0</v>
      </c>
      <c r="F377" s="14">
        <v>0</v>
      </c>
      <c r="G377" s="14">
        <f>A377-A383</f>
        <v>2</v>
      </c>
      <c r="H377" s="14">
        <v>0</v>
      </c>
      <c r="I377" s="16"/>
      <c r="J377" s="156">
        <f>A377-A380-1</f>
        <v>0</v>
      </c>
      <c r="K377" s="16"/>
      <c r="L377" s="181">
        <v>45908</v>
      </c>
      <c r="M377" s="16"/>
    </row>
    <row r="378" spans="1:13" s="13" customFormat="1" ht="15.6" x14ac:dyDescent="0.25">
      <c r="A378" s="178"/>
      <c r="B378" s="180"/>
      <c r="C378" s="124">
        <v>2</v>
      </c>
      <c r="D378" s="120">
        <v>3</v>
      </c>
      <c r="E378" s="120">
        <v>12</v>
      </c>
      <c r="F378" s="120">
        <v>36</v>
      </c>
      <c r="G378" s="120">
        <v>39</v>
      </c>
      <c r="H378" s="120">
        <v>87</v>
      </c>
      <c r="I378" s="16"/>
      <c r="J378" s="120">
        <v>29</v>
      </c>
      <c r="K378" s="16"/>
      <c r="L378" s="181"/>
      <c r="M378" s="16"/>
    </row>
    <row r="379" spans="1:13" s="13" customFormat="1" x14ac:dyDescent="0.25">
      <c r="A379" s="179"/>
      <c r="B379" s="180"/>
      <c r="C379" s="10">
        <f>C397+1</f>
        <v>2</v>
      </c>
      <c r="D379" s="10">
        <v>1</v>
      </c>
      <c r="E379" s="10">
        <v>1</v>
      </c>
      <c r="F379" s="10">
        <v>1</v>
      </c>
      <c r="G379" s="10">
        <f>E385+1</f>
        <v>2</v>
      </c>
      <c r="H379" s="10">
        <v>1</v>
      </c>
      <c r="I379" s="16"/>
      <c r="J379" s="156">
        <f>E382+1</f>
        <v>3</v>
      </c>
      <c r="K379" s="16"/>
      <c r="L379" s="181"/>
      <c r="M379" s="16"/>
    </row>
    <row r="380" spans="1:13" s="13" customFormat="1" ht="13.2" customHeight="1" x14ac:dyDescent="0.25">
      <c r="A380" s="177">
        <v>8</v>
      </c>
      <c r="B380" s="180">
        <v>127</v>
      </c>
      <c r="C380" s="14">
        <f>A380-A386</f>
        <v>2</v>
      </c>
      <c r="D380" s="14">
        <v>0</v>
      </c>
      <c r="E380" s="14">
        <f>A380-A401</f>
        <v>7</v>
      </c>
      <c r="F380" s="14">
        <v>0</v>
      </c>
      <c r="G380" s="14">
        <v>0</v>
      </c>
      <c r="H380" s="14">
        <f>A380-A386</f>
        <v>2</v>
      </c>
      <c r="I380" s="16"/>
      <c r="J380" s="156"/>
      <c r="K380" s="16"/>
      <c r="L380" s="181">
        <v>45906</v>
      </c>
      <c r="M380" s="16"/>
    </row>
    <row r="381" spans="1:13" s="13" customFormat="1" ht="15.6" x14ac:dyDescent="0.25">
      <c r="A381" s="178"/>
      <c r="B381" s="180"/>
      <c r="C381" s="118">
        <v>7</v>
      </c>
      <c r="D381" s="118">
        <v>19</v>
      </c>
      <c r="E381" s="118">
        <v>29</v>
      </c>
      <c r="F381" s="118">
        <v>30</v>
      </c>
      <c r="G381" s="118">
        <v>32</v>
      </c>
      <c r="H381" s="118">
        <v>33</v>
      </c>
      <c r="I381" s="16"/>
      <c r="J381" s="118"/>
      <c r="K381" s="16"/>
      <c r="L381" s="181"/>
      <c r="M381" s="16"/>
    </row>
    <row r="382" spans="1:13" s="13" customFormat="1" x14ac:dyDescent="0.25">
      <c r="A382" s="179"/>
      <c r="B382" s="180"/>
      <c r="C382" s="10">
        <f>D388+1</f>
        <v>3</v>
      </c>
      <c r="D382" s="10">
        <v>1</v>
      </c>
      <c r="E382" s="10">
        <f>F403+1</f>
        <v>2</v>
      </c>
      <c r="F382" s="10">
        <v>1</v>
      </c>
      <c r="G382" s="10">
        <v>1</v>
      </c>
      <c r="H382" s="10">
        <f>H388+1</f>
        <v>3</v>
      </c>
      <c r="I382" s="16"/>
      <c r="J382" s="156"/>
      <c r="K382" s="16"/>
      <c r="L382" s="181"/>
      <c r="M382" s="16"/>
    </row>
    <row r="383" spans="1:13" s="13" customFormat="1" ht="13.2" customHeight="1" x14ac:dyDescent="0.25">
      <c r="A383" s="177">
        <v>7</v>
      </c>
      <c r="B383" s="180">
        <v>128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</v>
      </c>
      <c r="I383" s="16"/>
      <c r="J383" s="156"/>
      <c r="K383" s="16"/>
      <c r="L383" s="181">
        <v>45903</v>
      </c>
      <c r="M383" s="16"/>
    </row>
    <row r="384" spans="1:13" s="13" customFormat="1" ht="15.6" x14ac:dyDescent="0.25">
      <c r="A384" s="178"/>
      <c r="B384" s="180"/>
      <c r="C384" s="118">
        <v>27</v>
      </c>
      <c r="D384" s="118">
        <v>35</v>
      </c>
      <c r="E384" s="118">
        <v>39</v>
      </c>
      <c r="F384" s="118">
        <v>57</v>
      </c>
      <c r="G384" s="118">
        <v>61</v>
      </c>
      <c r="H384" s="118">
        <v>88</v>
      </c>
      <c r="I384" s="16"/>
      <c r="J384" s="118"/>
      <c r="K384" s="16"/>
      <c r="L384" s="181"/>
      <c r="M384" s="16"/>
    </row>
    <row r="385" spans="1:13" s="13" customFormat="1" x14ac:dyDescent="0.25">
      <c r="A385" s="179"/>
      <c r="B385" s="180"/>
      <c r="C385" s="10">
        <v>1</v>
      </c>
      <c r="D385" s="10">
        <v>1</v>
      </c>
      <c r="E385" s="10">
        <v>1</v>
      </c>
      <c r="F385" s="10">
        <v>1</v>
      </c>
      <c r="G385" s="10">
        <v>1</v>
      </c>
      <c r="H385" s="10">
        <v>1</v>
      </c>
      <c r="I385" s="16"/>
      <c r="J385" s="156"/>
      <c r="K385" s="16"/>
      <c r="L385" s="181"/>
      <c r="M385" s="16"/>
    </row>
    <row r="386" spans="1:13" s="13" customFormat="1" ht="13.2" customHeight="1" x14ac:dyDescent="0.25">
      <c r="A386" s="177">
        <v>6</v>
      </c>
      <c r="B386" s="180">
        <v>129</v>
      </c>
      <c r="C386" s="14">
        <f>A386-A401</f>
        <v>5</v>
      </c>
      <c r="D386" s="14">
        <f>A386-A392</f>
        <v>2</v>
      </c>
      <c r="E386" s="14">
        <v>0</v>
      </c>
      <c r="F386" s="14">
        <f>A386-A401</f>
        <v>5</v>
      </c>
      <c r="G386" s="14">
        <v>0</v>
      </c>
      <c r="H386" s="14">
        <f>A386-A401</f>
        <v>5</v>
      </c>
      <c r="I386" s="16"/>
      <c r="J386" s="156">
        <f>A386-A404-1</f>
        <v>5</v>
      </c>
      <c r="K386" s="16"/>
      <c r="L386" s="181">
        <v>45901</v>
      </c>
      <c r="M386" s="16"/>
    </row>
    <row r="387" spans="1:13" s="13" customFormat="1" ht="15.6" x14ac:dyDescent="0.25">
      <c r="A387" s="178"/>
      <c r="B387" s="180"/>
      <c r="C387" s="124">
        <v>5</v>
      </c>
      <c r="D387" s="120">
        <v>7</v>
      </c>
      <c r="E387" s="120">
        <v>14</v>
      </c>
      <c r="F387" s="120">
        <v>23</v>
      </c>
      <c r="G387" s="120">
        <v>26</v>
      </c>
      <c r="H387" s="120">
        <v>33</v>
      </c>
      <c r="I387" s="16"/>
      <c r="J387" s="120">
        <v>85</v>
      </c>
      <c r="K387" s="16"/>
      <c r="L387" s="181"/>
      <c r="M387" s="16"/>
    </row>
    <row r="388" spans="1:13" s="13" customFormat="1" x14ac:dyDescent="0.25">
      <c r="A388" s="179"/>
      <c r="B388" s="180"/>
      <c r="C388" s="10">
        <v>3</v>
      </c>
      <c r="D388" s="10">
        <f>E394+1</f>
        <v>2</v>
      </c>
      <c r="E388" s="10">
        <v>1</v>
      </c>
      <c r="F388" s="10">
        <f>D403+1</f>
        <v>2</v>
      </c>
      <c r="G388" s="10">
        <v>1</v>
      </c>
      <c r="H388" s="10">
        <f>G403+1</f>
        <v>2</v>
      </c>
      <c r="I388" s="16"/>
      <c r="J388" s="156">
        <v>1</v>
      </c>
      <c r="K388" s="16"/>
      <c r="L388" s="181"/>
      <c r="M388" s="16"/>
    </row>
    <row r="389" spans="1:13" s="13" customFormat="1" ht="13.2" customHeight="1" x14ac:dyDescent="0.25">
      <c r="A389" s="177">
        <v>5</v>
      </c>
      <c r="B389" s="180">
        <v>130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6"/>
      <c r="J389" s="156"/>
      <c r="K389" s="16"/>
      <c r="L389" s="181">
        <v>45899</v>
      </c>
      <c r="M389" s="16"/>
    </row>
    <row r="390" spans="1:13" s="13" customFormat="1" ht="15.6" x14ac:dyDescent="0.25">
      <c r="A390" s="178"/>
      <c r="B390" s="180"/>
      <c r="C390" s="118">
        <v>34</v>
      </c>
      <c r="D390" s="118">
        <v>37</v>
      </c>
      <c r="E390" s="118">
        <v>51</v>
      </c>
      <c r="F390" s="118">
        <v>62</v>
      </c>
      <c r="G390" s="118">
        <v>70</v>
      </c>
      <c r="H390" s="118">
        <v>80</v>
      </c>
      <c r="I390" s="16"/>
      <c r="J390" s="118"/>
      <c r="K390" s="16"/>
      <c r="L390" s="181"/>
      <c r="M390" s="16"/>
    </row>
    <row r="391" spans="1:13" s="13" customFormat="1" x14ac:dyDescent="0.25">
      <c r="A391" s="179"/>
      <c r="B391" s="180"/>
      <c r="C391" s="10">
        <v>1</v>
      </c>
      <c r="D391" s="10">
        <v>1</v>
      </c>
      <c r="E391" s="10">
        <v>1</v>
      </c>
      <c r="F391" s="10">
        <v>1</v>
      </c>
      <c r="G391" s="10">
        <v>1</v>
      </c>
      <c r="H391" s="10">
        <v>1</v>
      </c>
      <c r="I391" s="16"/>
      <c r="J391" s="156"/>
      <c r="K391" s="16"/>
      <c r="L391" s="181"/>
      <c r="M391" s="16"/>
    </row>
    <row r="392" spans="1:13" s="13" customFormat="1" ht="13.2" customHeight="1" x14ac:dyDescent="0.25">
      <c r="A392" s="177">
        <v>4</v>
      </c>
      <c r="B392" s="180">
        <v>131</v>
      </c>
      <c r="C392" s="14">
        <f>A392-A401</f>
        <v>3</v>
      </c>
      <c r="D392" s="14">
        <v>0</v>
      </c>
      <c r="E392" s="14">
        <v>0</v>
      </c>
      <c r="F392" s="14">
        <f>A392-A395</f>
        <v>1</v>
      </c>
      <c r="G392" s="14">
        <v>0</v>
      </c>
      <c r="H392" s="14">
        <v>0</v>
      </c>
      <c r="I392" s="16"/>
      <c r="J392" s="156"/>
      <c r="K392" s="16"/>
      <c r="L392" s="181">
        <v>45896</v>
      </c>
      <c r="M392" s="16"/>
    </row>
    <row r="393" spans="1:13" s="13" customFormat="1" ht="15.6" x14ac:dyDescent="0.25">
      <c r="A393" s="178"/>
      <c r="B393" s="180"/>
      <c r="C393" s="118">
        <v>5</v>
      </c>
      <c r="D393" s="118">
        <v>6</v>
      </c>
      <c r="E393" s="118">
        <v>7</v>
      </c>
      <c r="F393" s="118">
        <v>44</v>
      </c>
      <c r="G393" s="118">
        <v>72</v>
      </c>
      <c r="H393" s="118">
        <v>79</v>
      </c>
      <c r="I393" s="16"/>
      <c r="J393" s="118"/>
      <c r="K393" s="16"/>
      <c r="L393" s="181"/>
      <c r="M393" s="16"/>
    </row>
    <row r="394" spans="1:13" s="13" customFormat="1" x14ac:dyDescent="0.25">
      <c r="A394" s="179"/>
      <c r="B394" s="180"/>
      <c r="C394" s="10">
        <f>C403+1</f>
        <v>2</v>
      </c>
      <c r="D394" s="10">
        <v>1</v>
      </c>
      <c r="E394" s="10">
        <v>1</v>
      </c>
      <c r="F394" s="10">
        <f>E397+1</f>
        <v>2</v>
      </c>
      <c r="G394" s="10">
        <v>1</v>
      </c>
      <c r="H394" s="10">
        <v>1</v>
      </c>
      <c r="I394" s="16"/>
      <c r="J394" s="156"/>
      <c r="K394" s="16"/>
      <c r="L394" s="181"/>
      <c r="M394" s="16"/>
    </row>
    <row r="395" spans="1:13" s="13" customFormat="1" ht="13.2" customHeight="1" x14ac:dyDescent="0.25">
      <c r="A395" s="177">
        <v>3</v>
      </c>
      <c r="B395" s="180">
        <v>132</v>
      </c>
      <c r="C395" s="14">
        <v>0</v>
      </c>
      <c r="D395" s="14">
        <v>0</v>
      </c>
      <c r="E395" s="14">
        <v>0</v>
      </c>
      <c r="F395" s="14">
        <v>0</v>
      </c>
      <c r="G395" s="14">
        <v>0</v>
      </c>
      <c r="H395" s="14">
        <v>0</v>
      </c>
      <c r="I395" s="16"/>
      <c r="J395" s="156"/>
      <c r="K395" s="16"/>
      <c r="L395" s="181">
        <v>45894</v>
      </c>
      <c r="M395" s="16"/>
    </row>
    <row r="396" spans="1:13" s="13" customFormat="1" ht="15.6" x14ac:dyDescent="0.25">
      <c r="A396" s="178"/>
      <c r="B396" s="180"/>
      <c r="C396" s="124">
        <v>2</v>
      </c>
      <c r="D396" s="120">
        <v>40</v>
      </c>
      <c r="E396" s="120">
        <v>44</v>
      </c>
      <c r="F396" s="120">
        <v>50</v>
      </c>
      <c r="G396" s="120">
        <v>56</v>
      </c>
      <c r="H396" s="120">
        <v>77</v>
      </c>
      <c r="I396" s="16"/>
      <c r="J396" s="120"/>
      <c r="K396" s="16"/>
      <c r="L396" s="181"/>
      <c r="M396" s="16"/>
    </row>
    <row r="397" spans="1:13" s="13" customFormat="1" x14ac:dyDescent="0.25">
      <c r="A397" s="179"/>
      <c r="B397" s="180"/>
      <c r="C397" s="10">
        <v>1</v>
      </c>
      <c r="D397" s="10">
        <v>1</v>
      </c>
      <c r="E397" s="10">
        <v>1</v>
      </c>
      <c r="F397" s="10">
        <v>1</v>
      </c>
      <c r="G397" s="10">
        <v>1</v>
      </c>
      <c r="H397" s="10">
        <v>1</v>
      </c>
      <c r="I397" s="16"/>
      <c r="J397" s="156"/>
      <c r="K397" s="16"/>
      <c r="L397" s="181"/>
      <c r="M397" s="16"/>
    </row>
    <row r="398" spans="1:13" s="13" customFormat="1" ht="13.2" customHeight="1" x14ac:dyDescent="0.25">
      <c r="A398" s="177">
        <v>2</v>
      </c>
      <c r="B398" s="180">
        <v>133</v>
      </c>
      <c r="C398" s="14">
        <v>0</v>
      </c>
      <c r="D398" s="14">
        <v>0</v>
      </c>
      <c r="E398" s="14">
        <v>0</v>
      </c>
      <c r="F398" s="14">
        <v>0</v>
      </c>
      <c r="G398" s="14">
        <v>0</v>
      </c>
      <c r="H398" s="14">
        <v>0</v>
      </c>
      <c r="I398" s="16"/>
      <c r="J398" s="156"/>
      <c r="K398" s="16"/>
      <c r="L398" s="181">
        <v>45892</v>
      </c>
      <c r="M398" s="16"/>
    </row>
    <row r="399" spans="1:13" s="13" customFormat="1" ht="15.6" x14ac:dyDescent="0.25">
      <c r="A399" s="178"/>
      <c r="B399" s="180"/>
      <c r="C399" s="118">
        <v>4</v>
      </c>
      <c r="D399" s="118">
        <v>10</v>
      </c>
      <c r="E399" s="118">
        <v>36</v>
      </c>
      <c r="F399" s="118">
        <v>45</v>
      </c>
      <c r="G399" s="118">
        <v>65</v>
      </c>
      <c r="H399" s="118">
        <v>83</v>
      </c>
      <c r="I399" s="16"/>
      <c r="J399" s="118"/>
      <c r="K399" s="16"/>
      <c r="L399" s="181"/>
      <c r="M399" s="16"/>
    </row>
    <row r="400" spans="1:13" s="13" customFormat="1" x14ac:dyDescent="0.25">
      <c r="A400" s="179"/>
      <c r="B400" s="180"/>
      <c r="C400" s="10">
        <v>1</v>
      </c>
      <c r="D400" s="10">
        <v>1</v>
      </c>
      <c r="E400" s="10">
        <v>1</v>
      </c>
      <c r="F400" s="10">
        <v>1</v>
      </c>
      <c r="G400" s="10">
        <v>1</v>
      </c>
      <c r="H400" s="10">
        <v>1</v>
      </c>
      <c r="I400" s="16"/>
      <c r="J400" s="156"/>
      <c r="K400" s="16"/>
      <c r="L400" s="181"/>
      <c r="M400" s="16"/>
    </row>
    <row r="401" spans="1:13" s="13" customFormat="1" ht="13.2" customHeight="1" x14ac:dyDescent="0.25">
      <c r="A401" s="177">
        <v>1</v>
      </c>
      <c r="B401" s="180">
        <v>127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6"/>
      <c r="J401" s="156"/>
      <c r="K401" s="16"/>
      <c r="L401" s="181">
        <v>45889</v>
      </c>
      <c r="M401" s="16"/>
    </row>
    <row r="402" spans="1:13" s="13" customFormat="1" ht="15.6" x14ac:dyDescent="0.25">
      <c r="A402" s="178"/>
      <c r="B402" s="180"/>
      <c r="C402" s="118">
        <v>5</v>
      </c>
      <c r="D402" s="118">
        <v>23</v>
      </c>
      <c r="E402" s="118">
        <v>24</v>
      </c>
      <c r="F402" s="118">
        <v>29</v>
      </c>
      <c r="G402" s="118">
        <v>33</v>
      </c>
      <c r="H402" s="118">
        <v>53</v>
      </c>
      <c r="I402" s="16"/>
      <c r="J402" s="118"/>
      <c r="K402" s="16"/>
      <c r="L402" s="181"/>
      <c r="M402" s="16"/>
    </row>
    <row r="403" spans="1:13" s="13" customFormat="1" x14ac:dyDescent="0.25">
      <c r="A403" s="179"/>
      <c r="B403" s="180"/>
      <c r="C403" s="10">
        <v>1</v>
      </c>
      <c r="D403" s="10">
        <v>1</v>
      </c>
      <c r="E403" s="10">
        <v>1</v>
      </c>
      <c r="F403" s="10">
        <v>1</v>
      </c>
      <c r="G403" s="10">
        <v>1</v>
      </c>
      <c r="H403" s="10">
        <v>1</v>
      </c>
      <c r="I403" s="20"/>
      <c r="J403" s="156"/>
      <c r="K403" s="20"/>
      <c r="L403" s="181"/>
      <c r="M403" s="20"/>
    </row>
    <row r="404" spans="1:13" s="13" customFormat="1" x14ac:dyDescent="0.25">
      <c r="A404" s="7"/>
      <c r="B404" s="7"/>
      <c r="C404" s="21"/>
      <c r="D404" s="21"/>
      <c r="E404" s="21"/>
      <c r="F404" s="21"/>
      <c r="G404" s="21"/>
      <c r="H404" s="21"/>
      <c r="I404" s="20"/>
      <c r="J404" s="21"/>
      <c r="K404" s="20"/>
      <c r="L404" s="172"/>
      <c r="M404" s="20"/>
    </row>
    <row r="405" spans="1:13" s="13" customFormat="1" x14ac:dyDescent="0.25">
      <c r="A405" s="7"/>
      <c r="B405" s="7"/>
      <c r="C405" s="9">
        <v>24</v>
      </c>
      <c r="D405" s="9">
        <v>37</v>
      </c>
      <c r="E405" s="9">
        <v>45</v>
      </c>
      <c r="F405" s="9">
        <v>55</v>
      </c>
      <c r="G405" s="9">
        <v>60</v>
      </c>
      <c r="H405" s="9">
        <v>62</v>
      </c>
      <c r="I405" s="20"/>
      <c r="J405" s="9">
        <v>62</v>
      </c>
      <c r="K405" s="20"/>
      <c r="L405" s="171">
        <v>45887</v>
      </c>
      <c r="M405" s="20"/>
    </row>
    <row r="406" spans="1:13" s="13" customFormat="1" x14ac:dyDescent="0.25">
      <c r="A406" s="7"/>
      <c r="B406" s="7"/>
      <c r="C406" s="9">
        <v>20</v>
      </c>
      <c r="D406" s="9">
        <v>45</v>
      </c>
      <c r="E406" s="9">
        <v>46</v>
      </c>
      <c r="F406" s="9">
        <v>50</v>
      </c>
      <c r="G406" s="9">
        <v>62</v>
      </c>
      <c r="H406" s="9">
        <v>80</v>
      </c>
      <c r="I406" s="20"/>
      <c r="J406" s="9">
        <v>80</v>
      </c>
      <c r="K406" s="20"/>
      <c r="L406" s="171">
        <v>45885</v>
      </c>
      <c r="M406" s="20"/>
    </row>
    <row r="407" spans="1:13" s="13" customFormat="1" x14ac:dyDescent="0.25">
      <c r="A407" s="7"/>
      <c r="B407" s="7"/>
      <c r="C407" s="9">
        <v>4</v>
      </c>
      <c r="D407" s="9">
        <v>6</v>
      </c>
      <c r="E407" s="9">
        <v>12</v>
      </c>
      <c r="F407" s="9">
        <v>30</v>
      </c>
      <c r="G407" s="9">
        <v>67</v>
      </c>
      <c r="H407" s="9">
        <v>70</v>
      </c>
      <c r="I407" s="20"/>
      <c r="J407" s="9">
        <v>70</v>
      </c>
      <c r="K407" s="20"/>
      <c r="L407" s="171">
        <v>45882</v>
      </c>
      <c r="M407" s="20"/>
    </row>
    <row r="408" spans="1:13" s="13" customFormat="1" x14ac:dyDescent="0.25">
      <c r="A408" s="7"/>
      <c r="B408" s="7"/>
      <c r="C408" s="9">
        <v>19</v>
      </c>
      <c r="D408" s="9">
        <v>31</v>
      </c>
      <c r="E408" s="9">
        <v>41</v>
      </c>
      <c r="F408" s="9">
        <v>52</v>
      </c>
      <c r="G408" s="9">
        <v>70</v>
      </c>
      <c r="H408" s="9">
        <v>71</v>
      </c>
      <c r="I408" s="20"/>
      <c r="J408" s="9">
        <v>71</v>
      </c>
      <c r="K408" s="20"/>
      <c r="L408" s="171">
        <v>45880</v>
      </c>
      <c r="M408" s="20"/>
    </row>
    <row r="409" spans="1:13" s="13" customFormat="1" x14ac:dyDescent="0.25">
      <c r="A409" s="7"/>
      <c r="B409" s="7"/>
      <c r="C409" s="9">
        <v>6</v>
      </c>
      <c r="D409" s="9">
        <v>18</v>
      </c>
      <c r="E409" s="9">
        <v>20</v>
      </c>
      <c r="F409" s="9">
        <v>38</v>
      </c>
      <c r="G409" s="9">
        <v>62</v>
      </c>
      <c r="H409" s="9">
        <v>85</v>
      </c>
      <c r="I409" s="20"/>
      <c r="J409" s="9">
        <v>85</v>
      </c>
      <c r="K409" s="20"/>
      <c r="L409" s="171">
        <v>45878</v>
      </c>
      <c r="M409" s="20"/>
    </row>
    <row r="410" spans="1:13" s="13" customFormat="1" x14ac:dyDescent="0.25">
      <c r="A410" s="7"/>
      <c r="B410" s="7"/>
      <c r="C410" s="9">
        <v>22</v>
      </c>
      <c r="D410" s="9">
        <v>36</v>
      </c>
      <c r="E410" s="9">
        <v>43</v>
      </c>
      <c r="F410" s="9">
        <v>46</v>
      </c>
      <c r="G410" s="9">
        <v>80</v>
      </c>
      <c r="H410" s="9">
        <v>88</v>
      </c>
      <c r="I410" s="20"/>
      <c r="J410" s="9">
        <v>88</v>
      </c>
      <c r="K410" s="20"/>
      <c r="L410" s="171">
        <v>45875</v>
      </c>
      <c r="M410" s="20"/>
    </row>
    <row r="411" spans="1:13" s="13" customFormat="1" x14ac:dyDescent="0.25">
      <c r="A411" s="7"/>
      <c r="B411" s="7"/>
      <c r="C411" s="9">
        <v>12</v>
      </c>
      <c r="D411" s="9">
        <v>20</v>
      </c>
      <c r="E411" s="9">
        <v>39</v>
      </c>
      <c r="F411" s="9">
        <v>48</v>
      </c>
      <c r="G411" s="9">
        <v>59</v>
      </c>
      <c r="H411" s="9">
        <v>62</v>
      </c>
      <c r="I411" s="20"/>
      <c r="J411" s="9">
        <v>62</v>
      </c>
      <c r="K411" s="20"/>
      <c r="L411" s="171">
        <v>45873</v>
      </c>
      <c r="M411" s="20"/>
    </row>
    <row r="412" spans="1:13" s="13" customFormat="1" x14ac:dyDescent="0.25">
      <c r="A412" s="2"/>
      <c r="B412" s="2"/>
      <c r="C412" s="9">
        <v>4</v>
      </c>
      <c r="D412" s="9">
        <v>5</v>
      </c>
      <c r="E412" s="9">
        <v>13</v>
      </c>
      <c r="F412" s="9">
        <v>22</v>
      </c>
      <c r="G412" s="9">
        <v>35</v>
      </c>
      <c r="H412" s="9">
        <v>53</v>
      </c>
      <c r="I412" s="20"/>
      <c r="J412" s="9">
        <v>53</v>
      </c>
      <c r="K412" s="20"/>
      <c r="L412" s="171">
        <v>45871</v>
      </c>
      <c r="M412" s="20"/>
    </row>
    <row r="413" spans="1:13" s="13" customFormat="1" x14ac:dyDescent="0.25">
      <c r="A413" s="2"/>
      <c r="B413" s="2"/>
      <c r="C413" s="9">
        <v>12</v>
      </c>
      <c r="D413" s="9">
        <v>19</v>
      </c>
      <c r="E413" s="9">
        <v>50</v>
      </c>
      <c r="F413" s="9">
        <v>58</v>
      </c>
      <c r="G413" s="9">
        <v>62</v>
      </c>
      <c r="H413" s="9">
        <v>73</v>
      </c>
      <c r="I413" s="20"/>
      <c r="J413" s="9">
        <v>73</v>
      </c>
      <c r="K413" s="20"/>
      <c r="L413" s="171">
        <v>45868</v>
      </c>
      <c r="M413" s="20"/>
    </row>
    <row r="414" spans="1:13" s="13" customFormat="1" x14ac:dyDescent="0.25">
      <c r="A414" s="2"/>
      <c r="B414" s="2"/>
      <c r="C414" s="9">
        <v>7</v>
      </c>
      <c r="D414" s="9">
        <v>10</v>
      </c>
      <c r="E414" s="9">
        <v>19</v>
      </c>
      <c r="F414" s="9">
        <v>30</v>
      </c>
      <c r="G414" s="9">
        <v>41</v>
      </c>
      <c r="H414" s="9">
        <v>59</v>
      </c>
      <c r="I414" s="20"/>
      <c r="J414" s="9">
        <v>59</v>
      </c>
      <c r="K414" s="20"/>
      <c r="L414" s="171">
        <v>45866</v>
      </c>
      <c r="M414" s="20"/>
    </row>
    <row r="415" spans="1:13" s="13" customFormat="1" x14ac:dyDescent="0.25">
      <c r="A415" s="2"/>
      <c r="B415" s="2"/>
      <c r="C415" s="9">
        <v>26</v>
      </c>
      <c r="D415" s="9">
        <v>38</v>
      </c>
      <c r="E415" s="9">
        <v>41</v>
      </c>
      <c r="F415" s="9">
        <v>45</v>
      </c>
      <c r="G415" s="9">
        <v>70</v>
      </c>
      <c r="H415" s="9">
        <v>73</v>
      </c>
      <c r="I415" s="20"/>
      <c r="J415" s="9">
        <v>73</v>
      </c>
      <c r="K415" s="20"/>
      <c r="L415" s="171">
        <v>45864</v>
      </c>
      <c r="M415" s="20"/>
    </row>
    <row r="416" spans="1:13" s="13" customFormat="1" x14ac:dyDescent="0.25">
      <c r="A416" s="2"/>
      <c r="B416" s="2"/>
      <c r="C416" s="9">
        <v>4</v>
      </c>
      <c r="D416" s="9">
        <v>29</v>
      </c>
      <c r="E416" s="9">
        <v>52</v>
      </c>
      <c r="F416" s="9">
        <v>58</v>
      </c>
      <c r="G416" s="9">
        <v>72</v>
      </c>
      <c r="H416" s="9">
        <v>83</v>
      </c>
      <c r="I416" s="20"/>
      <c r="J416" s="9">
        <v>83</v>
      </c>
      <c r="K416" s="20"/>
      <c r="L416" s="171">
        <v>45861</v>
      </c>
      <c r="M416" s="20"/>
    </row>
    <row r="417" spans="1:13" s="13" customFormat="1" x14ac:dyDescent="0.25">
      <c r="A417" s="2"/>
      <c r="B417" s="2"/>
      <c r="C417" s="9">
        <v>12</v>
      </c>
      <c r="D417" s="9">
        <v>48</v>
      </c>
      <c r="E417" s="9">
        <v>51</v>
      </c>
      <c r="F417" s="9">
        <v>71</v>
      </c>
      <c r="G417" s="9">
        <v>76</v>
      </c>
      <c r="H417" s="9">
        <v>78</v>
      </c>
      <c r="I417" s="20"/>
      <c r="J417" s="9">
        <v>78</v>
      </c>
      <c r="K417" s="20"/>
      <c r="L417" s="171">
        <v>45859</v>
      </c>
      <c r="M417" s="20"/>
    </row>
    <row r="418" spans="1:13" s="13" customFormat="1" x14ac:dyDescent="0.25">
      <c r="A418" s="2"/>
      <c r="B418" s="2"/>
      <c r="C418" s="9">
        <v>5</v>
      </c>
      <c r="D418" s="9">
        <v>7</v>
      </c>
      <c r="E418" s="9">
        <v>15</v>
      </c>
      <c r="F418" s="9">
        <v>22</v>
      </c>
      <c r="G418" s="9">
        <v>25</v>
      </c>
      <c r="H418" s="9">
        <v>74</v>
      </c>
      <c r="I418" s="20"/>
      <c r="J418" s="9">
        <v>74</v>
      </c>
      <c r="K418" s="20"/>
      <c r="L418" s="171">
        <v>45857</v>
      </c>
      <c r="M418" s="20"/>
    </row>
    <row r="419" spans="1:13" s="13" customFormat="1" x14ac:dyDescent="0.25">
      <c r="A419" s="2"/>
      <c r="B419" s="2"/>
      <c r="C419" s="9">
        <v>9</v>
      </c>
      <c r="D419" s="9">
        <v>22</v>
      </c>
      <c r="E419" s="9">
        <v>47</v>
      </c>
      <c r="F419" s="9">
        <v>49</v>
      </c>
      <c r="G419" s="9">
        <v>55</v>
      </c>
      <c r="H419" s="9">
        <v>73</v>
      </c>
      <c r="I419" s="20"/>
      <c r="J419" s="9">
        <v>73</v>
      </c>
      <c r="K419" s="20"/>
      <c r="L419" s="171">
        <v>45854</v>
      </c>
      <c r="M419" s="20"/>
    </row>
    <row r="420" spans="1:13" s="13" customFormat="1" x14ac:dyDescent="0.25">
      <c r="A420" s="2"/>
      <c r="B420" s="2"/>
      <c r="C420" s="9">
        <v>8</v>
      </c>
      <c r="D420" s="9">
        <v>17</v>
      </c>
      <c r="E420" s="9">
        <v>60</v>
      </c>
      <c r="F420" s="9">
        <v>73</v>
      </c>
      <c r="G420" s="9">
        <v>84</v>
      </c>
      <c r="H420" s="9">
        <v>90</v>
      </c>
      <c r="I420" s="20"/>
      <c r="J420" s="9">
        <v>90</v>
      </c>
      <c r="K420" s="20"/>
      <c r="L420" s="171">
        <v>45850</v>
      </c>
      <c r="M420" s="20"/>
    </row>
    <row r="421" spans="1:13" s="13" customFormat="1" x14ac:dyDescent="0.25">
      <c r="A421" s="2"/>
      <c r="B421" s="2"/>
      <c r="C421" s="9">
        <v>4</v>
      </c>
      <c r="D421" s="9">
        <v>13</v>
      </c>
      <c r="E421" s="9">
        <v>36</v>
      </c>
      <c r="F421" s="9">
        <v>48</v>
      </c>
      <c r="G421" s="9">
        <v>53</v>
      </c>
      <c r="H421" s="9">
        <v>80</v>
      </c>
      <c r="I421" s="20"/>
      <c r="J421" s="9">
        <v>80</v>
      </c>
      <c r="K421" s="20"/>
      <c r="L421" s="171">
        <v>45847</v>
      </c>
      <c r="M421" s="20"/>
    </row>
    <row r="422" spans="1:13" s="13" customFormat="1" x14ac:dyDescent="0.25">
      <c r="A422" s="2"/>
      <c r="B422" s="2"/>
      <c r="C422" s="9">
        <v>8</v>
      </c>
      <c r="D422" s="9">
        <v>18</v>
      </c>
      <c r="E422" s="9">
        <v>61</v>
      </c>
      <c r="F422" s="9">
        <v>71</v>
      </c>
      <c r="G422" s="9">
        <v>75</v>
      </c>
      <c r="H422" s="9">
        <v>79</v>
      </c>
      <c r="I422" s="20"/>
      <c r="J422" s="9">
        <v>79</v>
      </c>
      <c r="K422" s="20"/>
      <c r="L422" s="171">
        <v>45845</v>
      </c>
      <c r="M422" s="20"/>
    </row>
    <row r="423" spans="1:13" s="13" customFormat="1" x14ac:dyDescent="0.25">
      <c r="A423" s="2"/>
      <c r="B423" s="2"/>
      <c r="C423" s="9">
        <v>11</v>
      </c>
      <c r="D423" s="9">
        <v>12</v>
      </c>
      <c r="E423" s="9">
        <v>27</v>
      </c>
      <c r="F423" s="9">
        <v>71</v>
      </c>
      <c r="G423" s="9">
        <v>76</v>
      </c>
      <c r="H423" s="9">
        <v>87</v>
      </c>
      <c r="I423" s="20"/>
      <c r="J423" s="9">
        <v>87</v>
      </c>
      <c r="K423" s="20"/>
      <c r="L423" s="171">
        <v>45843</v>
      </c>
      <c r="M423" s="20"/>
    </row>
    <row r="424" spans="1:13" s="13" customFormat="1" x14ac:dyDescent="0.25">
      <c r="A424" s="2"/>
      <c r="B424" s="2"/>
      <c r="C424" s="9">
        <v>5</v>
      </c>
      <c r="D424" s="9">
        <v>38</v>
      </c>
      <c r="E424" s="9">
        <v>65</v>
      </c>
      <c r="F424" s="9">
        <v>68</v>
      </c>
      <c r="G424" s="9">
        <v>69</v>
      </c>
      <c r="H424" s="9">
        <v>75</v>
      </c>
      <c r="I424" s="20"/>
      <c r="J424" s="9">
        <v>75</v>
      </c>
      <c r="K424" s="20"/>
      <c r="L424" s="171">
        <v>45840</v>
      </c>
      <c r="M424" s="20"/>
    </row>
    <row r="425" spans="1:13" s="13" customFormat="1" x14ac:dyDescent="0.25">
      <c r="A425" s="2"/>
      <c r="B425" s="2"/>
      <c r="C425" s="9">
        <v>24</v>
      </c>
      <c r="D425" s="9">
        <v>41</v>
      </c>
      <c r="E425" s="9">
        <v>45</v>
      </c>
      <c r="F425" s="9">
        <v>58</v>
      </c>
      <c r="G425" s="9">
        <v>72</v>
      </c>
      <c r="H425" s="9">
        <v>90</v>
      </c>
      <c r="I425" s="20"/>
      <c r="J425" s="9">
        <v>90</v>
      </c>
      <c r="K425" s="20"/>
      <c r="L425" s="171">
        <v>45838</v>
      </c>
      <c r="M425" s="20"/>
    </row>
    <row r="426" spans="1:13" s="13" customFormat="1" x14ac:dyDescent="0.25">
      <c r="A426" s="2"/>
      <c r="B426" s="2"/>
      <c r="C426" s="9">
        <v>15</v>
      </c>
      <c r="D426" s="9">
        <v>22</v>
      </c>
      <c r="E426" s="9">
        <v>27</v>
      </c>
      <c r="F426" s="9">
        <v>38</v>
      </c>
      <c r="G426" s="9">
        <v>56</v>
      </c>
      <c r="H426" s="9">
        <v>71</v>
      </c>
      <c r="I426" s="20"/>
      <c r="J426" s="9">
        <v>71</v>
      </c>
      <c r="K426" s="20"/>
      <c r="L426" s="171">
        <v>45836</v>
      </c>
      <c r="M426" s="20"/>
    </row>
    <row r="427" spans="1:13" s="13" customFormat="1" x14ac:dyDescent="0.25">
      <c r="A427" s="2"/>
      <c r="B427" s="2"/>
      <c r="C427" s="9">
        <v>7</v>
      </c>
      <c r="D427" s="9">
        <v>20</v>
      </c>
      <c r="E427" s="9">
        <v>25</v>
      </c>
      <c r="F427" s="9">
        <v>28</v>
      </c>
      <c r="G427" s="9">
        <v>78</v>
      </c>
      <c r="H427" s="9">
        <v>88</v>
      </c>
      <c r="I427" s="20"/>
      <c r="J427" s="9">
        <v>88</v>
      </c>
      <c r="K427" s="20"/>
      <c r="L427" s="171">
        <v>45833</v>
      </c>
      <c r="M427" s="20"/>
    </row>
    <row r="428" spans="1:13" s="13" customFormat="1" x14ac:dyDescent="0.25">
      <c r="A428" s="2"/>
      <c r="B428" s="2"/>
      <c r="C428" s="9">
        <v>4</v>
      </c>
      <c r="D428" s="9">
        <v>8</v>
      </c>
      <c r="E428" s="9">
        <v>12</v>
      </c>
      <c r="F428" s="9">
        <v>24</v>
      </c>
      <c r="G428" s="9">
        <v>30</v>
      </c>
      <c r="H428" s="9">
        <v>54</v>
      </c>
      <c r="I428" s="20"/>
      <c r="J428" s="9">
        <v>54</v>
      </c>
      <c r="K428" s="20"/>
      <c r="L428" s="171">
        <v>45831</v>
      </c>
      <c r="M428" s="20"/>
    </row>
    <row r="429" spans="1:13" s="13" customFormat="1" x14ac:dyDescent="0.25">
      <c r="A429" s="2"/>
      <c r="B429" s="2"/>
      <c r="C429" s="9">
        <v>3</v>
      </c>
      <c r="D429" s="9">
        <v>13</v>
      </c>
      <c r="E429" s="9">
        <v>16</v>
      </c>
      <c r="F429" s="9">
        <v>25</v>
      </c>
      <c r="G429" s="9">
        <v>50</v>
      </c>
      <c r="H429" s="9">
        <v>84</v>
      </c>
      <c r="I429" s="20"/>
      <c r="J429" s="9">
        <v>84</v>
      </c>
      <c r="K429" s="20"/>
      <c r="L429" s="171">
        <v>45829</v>
      </c>
      <c r="M429" s="20"/>
    </row>
    <row r="430" spans="1:13" s="13" customFormat="1" x14ac:dyDescent="0.25">
      <c r="A430" s="2"/>
      <c r="B430" s="2"/>
      <c r="C430" s="9">
        <v>37</v>
      </c>
      <c r="D430" s="9">
        <v>39</v>
      </c>
      <c r="E430" s="9">
        <v>48</v>
      </c>
      <c r="F430" s="9">
        <v>54</v>
      </c>
      <c r="G430" s="9">
        <v>85</v>
      </c>
      <c r="H430" s="9">
        <v>90</v>
      </c>
      <c r="I430" s="20"/>
      <c r="J430" s="9">
        <v>90</v>
      </c>
      <c r="K430" s="20"/>
      <c r="L430" s="171">
        <v>45826</v>
      </c>
      <c r="M430" s="20"/>
    </row>
    <row r="431" spans="1:13" s="13" customFormat="1" x14ac:dyDescent="0.25">
      <c r="A431" s="2"/>
      <c r="B431" s="2"/>
      <c r="C431" s="9">
        <v>7</v>
      </c>
      <c r="D431" s="9">
        <v>12</v>
      </c>
      <c r="E431" s="9">
        <v>27</v>
      </c>
      <c r="F431" s="9">
        <v>53</v>
      </c>
      <c r="G431" s="9">
        <v>72</v>
      </c>
      <c r="H431" s="9">
        <v>77</v>
      </c>
      <c r="I431" s="20"/>
      <c r="J431" s="9">
        <v>77</v>
      </c>
      <c r="K431" s="20"/>
      <c r="L431" s="171">
        <v>45824</v>
      </c>
      <c r="M431" s="20"/>
    </row>
    <row r="432" spans="1:13" s="13" customFormat="1" x14ac:dyDescent="0.25">
      <c r="A432" s="2"/>
      <c r="B432" s="2"/>
      <c r="C432" s="9">
        <v>28</v>
      </c>
      <c r="D432" s="9">
        <v>35</v>
      </c>
      <c r="E432" s="9">
        <v>60</v>
      </c>
      <c r="F432" s="9">
        <v>76</v>
      </c>
      <c r="G432" s="9">
        <v>80</v>
      </c>
      <c r="H432" s="9">
        <v>88</v>
      </c>
      <c r="I432" s="20"/>
      <c r="J432" s="9">
        <v>88</v>
      </c>
      <c r="K432" s="20"/>
      <c r="L432" s="171">
        <v>45822</v>
      </c>
      <c r="M432" s="20"/>
    </row>
    <row r="433" spans="1:13" s="13" customFormat="1" x14ac:dyDescent="0.25">
      <c r="A433" s="2"/>
      <c r="B433" s="2"/>
      <c r="C433" s="9">
        <v>31</v>
      </c>
      <c r="D433" s="9">
        <v>42</v>
      </c>
      <c r="E433" s="9">
        <v>65</v>
      </c>
      <c r="F433" s="9">
        <v>76</v>
      </c>
      <c r="G433" s="9">
        <v>81</v>
      </c>
      <c r="H433" s="9">
        <v>87</v>
      </c>
      <c r="I433" s="20"/>
      <c r="J433" s="9">
        <v>87</v>
      </c>
      <c r="K433" s="20"/>
      <c r="L433" s="171">
        <v>45819</v>
      </c>
      <c r="M433" s="20"/>
    </row>
    <row r="434" spans="1:13" s="13" customFormat="1" x14ac:dyDescent="0.25">
      <c r="A434" s="2"/>
      <c r="B434" s="2"/>
      <c r="C434" s="9">
        <v>40</v>
      </c>
      <c r="D434" s="9">
        <v>54</v>
      </c>
      <c r="E434" s="9">
        <v>55</v>
      </c>
      <c r="F434" s="9">
        <v>60</v>
      </c>
      <c r="G434" s="9">
        <v>80</v>
      </c>
      <c r="H434" s="9">
        <v>84</v>
      </c>
      <c r="I434" s="20"/>
      <c r="J434" s="9">
        <v>84</v>
      </c>
      <c r="K434" s="20"/>
      <c r="L434" s="171">
        <v>45817</v>
      </c>
      <c r="M434" s="20"/>
    </row>
    <row r="435" spans="1:13" s="13" customFormat="1" x14ac:dyDescent="0.25">
      <c r="A435" s="2"/>
      <c r="B435" s="2"/>
      <c r="C435" s="9">
        <v>8</v>
      </c>
      <c r="D435" s="9">
        <v>12</v>
      </c>
      <c r="E435" s="9">
        <v>18</v>
      </c>
      <c r="F435" s="9">
        <v>22</v>
      </c>
      <c r="G435" s="9">
        <v>25</v>
      </c>
      <c r="H435" s="9">
        <v>32</v>
      </c>
      <c r="I435" s="20"/>
      <c r="J435" s="9">
        <v>32</v>
      </c>
      <c r="K435" s="20"/>
      <c r="L435" s="171">
        <v>45815</v>
      </c>
      <c r="M435" s="20"/>
    </row>
    <row r="436" spans="1:13" s="13" customFormat="1" x14ac:dyDescent="0.25">
      <c r="A436" s="2"/>
      <c r="B436" s="2"/>
      <c r="C436" s="9">
        <v>4</v>
      </c>
      <c r="D436" s="9">
        <v>35</v>
      </c>
      <c r="E436" s="9">
        <v>41</v>
      </c>
      <c r="F436" s="9">
        <v>46</v>
      </c>
      <c r="G436" s="9">
        <v>75</v>
      </c>
      <c r="H436" s="9">
        <v>80</v>
      </c>
      <c r="I436" s="20"/>
      <c r="J436" s="9">
        <v>80</v>
      </c>
      <c r="K436" s="20"/>
      <c r="L436" s="171">
        <v>45812</v>
      </c>
      <c r="M436" s="20"/>
    </row>
    <row r="437" spans="1:13" s="13" customFormat="1" x14ac:dyDescent="0.25">
      <c r="A437" s="2"/>
      <c r="B437" s="2"/>
      <c r="C437" s="9">
        <v>16</v>
      </c>
      <c r="D437" s="9">
        <v>29</v>
      </c>
      <c r="E437" s="9">
        <v>46</v>
      </c>
      <c r="F437" s="9">
        <v>61</v>
      </c>
      <c r="G437" s="9">
        <v>80</v>
      </c>
      <c r="H437" s="9">
        <v>87</v>
      </c>
      <c r="I437" s="20"/>
      <c r="J437" s="9">
        <v>87</v>
      </c>
      <c r="K437" s="20"/>
      <c r="L437" s="171">
        <v>45810</v>
      </c>
      <c r="M437" s="20"/>
    </row>
    <row r="438" spans="1:13" s="13" customFormat="1" x14ac:dyDescent="0.25">
      <c r="A438" s="2"/>
      <c r="B438" s="2"/>
      <c r="C438" s="9">
        <v>7</v>
      </c>
      <c r="D438" s="9">
        <v>14</v>
      </c>
      <c r="E438" s="9">
        <v>23</v>
      </c>
      <c r="F438" s="9">
        <v>53</v>
      </c>
      <c r="G438" s="9">
        <v>57</v>
      </c>
      <c r="H438" s="9">
        <v>87</v>
      </c>
      <c r="I438" s="20"/>
      <c r="J438" s="9">
        <v>87</v>
      </c>
      <c r="K438" s="20"/>
      <c r="L438" s="171">
        <v>45808</v>
      </c>
      <c r="M438" s="20"/>
    </row>
    <row r="439" spans="1:13" s="13" customFormat="1" x14ac:dyDescent="0.25">
      <c r="A439" s="2"/>
      <c r="B439" s="2"/>
      <c r="C439" s="9">
        <v>35</v>
      </c>
      <c r="D439" s="9">
        <v>37</v>
      </c>
      <c r="E439" s="9">
        <v>49</v>
      </c>
      <c r="F439" s="9">
        <v>60</v>
      </c>
      <c r="G439" s="9">
        <v>72</v>
      </c>
      <c r="H439" s="9">
        <v>89</v>
      </c>
      <c r="I439" s="20"/>
      <c r="J439" s="9">
        <v>89</v>
      </c>
      <c r="K439" s="20"/>
      <c r="L439" s="171">
        <v>45805</v>
      </c>
      <c r="M439" s="20"/>
    </row>
    <row r="440" spans="1:13" s="13" customFormat="1" x14ac:dyDescent="0.25">
      <c r="A440" s="2"/>
      <c r="B440" s="2"/>
      <c r="C440" s="9">
        <v>26</v>
      </c>
      <c r="D440" s="9">
        <v>30</v>
      </c>
      <c r="E440" s="9">
        <v>45</v>
      </c>
      <c r="F440" s="9">
        <v>70</v>
      </c>
      <c r="G440" s="9">
        <v>78</v>
      </c>
      <c r="H440" s="9">
        <v>88</v>
      </c>
      <c r="I440" s="20"/>
      <c r="J440" s="9">
        <v>88</v>
      </c>
      <c r="K440" s="20"/>
      <c r="L440" s="171">
        <v>45803</v>
      </c>
      <c r="M440" s="20"/>
    </row>
    <row r="441" spans="1:13" s="13" customFormat="1" x14ac:dyDescent="0.25">
      <c r="A441" s="2"/>
      <c r="B441" s="2"/>
      <c r="C441" s="9">
        <v>38</v>
      </c>
      <c r="D441" s="9">
        <v>40</v>
      </c>
      <c r="E441" s="9">
        <v>49</v>
      </c>
      <c r="F441" s="9">
        <v>55</v>
      </c>
      <c r="G441" s="9">
        <v>61</v>
      </c>
      <c r="H441" s="9">
        <v>77</v>
      </c>
      <c r="I441" s="20"/>
      <c r="J441" s="9">
        <v>77</v>
      </c>
      <c r="K441" s="20"/>
      <c r="L441" s="171">
        <v>45801</v>
      </c>
      <c r="M441" s="20"/>
    </row>
    <row r="442" spans="1:13" s="13" customFormat="1" x14ac:dyDescent="0.25">
      <c r="A442" s="2"/>
      <c r="B442" s="2"/>
      <c r="C442" s="9">
        <v>16</v>
      </c>
      <c r="D442" s="9">
        <v>34</v>
      </c>
      <c r="E442" s="9">
        <v>41</v>
      </c>
      <c r="F442" s="9">
        <v>63</v>
      </c>
      <c r="G442" s="9">
        <v>71</v>
      </c>
      <c r="H442" s="9">
        <v>82</v>
      </c>
      <c r="I442" s="20"/>
      <c r="J442" s="9">
        <v>82</v>
      </c>
      <c r="K442" s="20"/>
      <c r="L442" s="171">
        <v>45798</v>
      </c>
      <c r="M442" s="20"/>
    </row>
    <row r="443" spans="1:13" s="13" customFormat="1" x14ac:dyDescent="0.25">
      <c r="A443" s="2"/>
      <c r="B443" s="2"/>
      <c r="C443" s="9">
        <v>6</v>
      </c>
      <c r="D443" s="9">
        <v>22</v>
      </c>
      <c r="E443" s="9">
        <v>58</v>
      </c>
      <c r="F443" s="9">
        <v>84</v>
      </c>
      <c r="G443" s="9">
        <v>87</v>
      </c>
      <c r="H443" s="9">
        <v>90</v>
      </c>
      <c r="I443" s="20"/>
      <c r="J443" s="9">
        <v>90</v>
      </c>
      <c r="K443" s="20"/>
      <c r="L443" s="171">
        <v>45796</v>
      </c>
      <c r="M443" s="20"/>
    </row>
    <row r="444" spans="1:13" s="13" customFormat="1" x14ac:dyDescent="0.25">
      <c r="A444" s="2"/>
      <c r="B444" s="2"/>
      <c r="C444" s="9">
        <v>22</v>
      </c>
      <c r="D444" s="9">
        <v>25</v>
      </c>
      <c r="E444" s="9">
        <v>37</v>
      </c>
      <c r="F444" s="9">
        <v>40</v>
      </c>
      <c r="G444" s="9">
        <v>80</v>
      </c>
      <c r="H444" s="9">
        <v>88</v>
      </c>
      <c r="I444" s="20"/>
      <c r="J444" s="9">
        <v>88</v>
      </c>
      <c r="K444" s="20"/>
      <c r="L444" s="171">
        <v>45794</v>
      </c>
      <c r="M444" s="20"/>
    </row>
    <row r="445" spans="1:13" s="13" customFormat="1" x14ac:dyDescent="0.25">
      <c r="A445" s="2"/>
      <c r="B445" s="2"/>
      <c r="C445" s="9">
        <v>5</v>
      </c>
      <c r="D445" s="9">
        <v>11</v>
      </c>
      <c r="E445" s="9">
        <v>21</v>
      </c>
      <c r="F445" s="9">
        <v>29</v>
      </c>
      <c r="G445" s="9">
        <v>45</v>
      </c>
      <c r="H445" s="9">
        <v>72</v>
      </c>
      <c r="I445" s="20"/>
      <c r="J445" s="9">
        <v>72</v>
      </c>
      <c r="K445" s="20"/>
      <c r="L445" s="171">
        <v>45791</v>
      </c>
      <c r="M445" s="20"/>
    </row>
    <row r="446" spans="1:13" s="13" customFormat="1" x14ac:dyDescent="0.25">
      <c r="A446" s="2"/>
      <c r="B446" s="2"/>
      <c r="C446" s="9">
        <v>24</v>
      </c>
      <c r="D446" s="9">
        <v>30</v>
      </c>
      <c r="E446" s="9">
        <v>58</v>
      </c>
      <c r="F446" s="9">
        <v>79</v>
      </c>
      <c r="G446" s="9">
        <v>87</v>
      </c>
      <c r="H446" s="9">
        <v>90</v>
      </c>
      <c r="I446" s="20"/>
      <c r="J446" s="9">
        <v>90</v>
      </c>
      <c r="K446" s="20"/>
      <c r="L446" s="171">
        <v>45789</v>
      </c>
      <c r="M446" s="20"/>
    </row>
    <row r="447" spans="1:13" s="13" customFormat="1" x14ac:dyDescent="0.25">
      <c r="A447" s="2"/>
      <c r="B447" s="2"/>
      <c r="C447" s="9">
        <v>6</v>
      </c>
      <c r="D447" s="9">
        <v>29</v>
      </c>
      <c r="E447" s="9">
        <v>32</v>
      </c>
      <c r="F447" s="9">
        <v>60</v>
      </c>
      <c r="G447" s="9">
        <v>62</v>
      </c>
      <c r="H447" s="9">
        <v>72</v>
      </c>
      <c r="I447" s="20"/>
      <c r="J447" s="9">
        <v>72</v>
      </c>
      <c r="K447" s="20"/>
      <c r="L447" s="171">
        <v>45787</v>
      </c>
      <c r="M447" s="20"/>
    </row>
    <row r="448" spans="1:13" s="13" customFormat="1" x14ac:dyDescent="0.25">
      <c r="A448" s="2"/>
      <c r="B448" s="2"/>
      <c r="C448" s="9">
        <v>10</v>
      </c>
      <c r="D448" s="9">
        <v>27</v>
      </c>
      <c r="E448" s="9">
        <v>33</v>
      </c>
      <c r="F448" s="9">
        <v>49</v>
      </c>
      <c r="G448" s="9">
        <v>50</v>
      </c>
      <c r="H448" s="9">
        <v>61</v>
      </c>
      <c r="I448" s="20"/>
      <c r="J448" s="9">
        <v>61</v>
      </c>
      <c r="K448" s="20"/>
      <c r="L448" s="171">
        <v>45784</v>
      </c>
      <c r="M448" s="20"/>
    </row>
    <row r="449" spans="1:13" s="13" customFormat="1" x14ac:dyDescent="0.25">
      <c r="A449" s="2"/>
      <c r="B449" s="2"/>
      <c r="C449" s="9">
        <v>8</v>
      </c>
      <c r="D449" s="9">
        <v>25</v>
      </c>
      <c r="E449" s="9">
        <v>33</v>
      </c>
      <c r="F449" s="9">
        <v>42</v>
      </c>
      <c r="G449" s="9">
        <v>50</v>
      </c>
      <c r="H449" s="9">
        <v>51</v>
      </c>
      <c r="I449" s="1"/>
      <c r="J449" s="9">
        <v>51</v>
      </c>
      <c r="K449" s="1"/>
      <c r="L449" s="171">
        <v>45782</v>
      </c>
      <c r="M449" s="1"/>
    </row>
    <row r="450" spans="1:13" s="13" customFormat="1" x14ac:dyDescent="0.25">
      <c r="A450" s="2"/>
      <c r="B450" s="2"/>
      <c r="C450" s="9">
        <v>5</v>
      </c>
      <c r="D450" s="9">
        <v>11</v>
      </c>
      <c r="E450" s="9">
        <v>15</v>
      </c>
      <c r="F450" s="9">
        <v>30</v>
      </c>
      <c r="G450" s="9">
        <v>66</v>
      </c>
      <c r="H450" s="9">
        <v>86</v>
      </c>
      <c r="I450" s="1"/>
      <c r="J450" s="9">
        <v>86</v>
      </c>
      <c r="K450" s="1"/>
      <c r="L450" s="171">
        <v>45780</v>
      </c>
      <c r="M450" s="1"/>
    </row>
    <row r="451" spans="1:13" s="13" customFormat="1" x14ac:dyDescent="0.25">
      <c r="A451" s="2"/>
      <c r="B451" s="2"/>
      <c r="C451" s="9">
        <v>1</v>
      </c>
      <c r="D451" s="9">
        <v>10</v>
      </c>
      <c r="E451" s="9">
        <v>56</v>
      </c>
      <c r="F451" s="9">
        <v>66</v>
      </c>
      <c r="G451" s="9">
        <v>67</v>
      </c>
      <c r="H451" s="9">
        <v>78</v>
      </c>
      <c r="I451" s="1"/>
      <c r="J451" s="9">
        <v>78</v>
      </c>
      <c r="K451" s="1"/>
      <c r="L451" s="171">
        <v>45777</v>
      </c>
      <c r="M451" s="1"/>
    </row>
    <row r="452" spans="1:13" s="13" customFormat="1" x14ac:dyDescent="0.25">
      <c r="A452" s="2"/>
      <c r="B452" s="2"/>
      <c r="C452" s="9">
        <v>15</v>
      </c>
      <c r="D452" s="9">
        <v>34</v>
      </c>
      <c r="E452" s="9">
        <v>53</v>
      </c>
      <c r="F452" s="9">
        <v>63</v>
      </c>
      <c r="G452" s="9">
        <v>64</v>
      </c>
      <c r="H452" s="9">
        <v>88</v>
      </c>
      <c r="I452" s="1"/>
      <c r="J452" s="9">
        <v>88</v>
      </c>
      <c r="K452" s="1"/>
      <c r="L452" s="171">
        <v>45775</v>
      </c>
      <c r="M452" s="1"/>
    </row>
    <row r="453" spans="1:13" s="13" customFormat="1" x14ac:dyDescent="0.25">
      <c r="A453" s="2"/>
      <c r="B453" s="2"/>
      <c r="C453" s="9">
        <v>1</v>
      </c>
      <c r="D453" s="9">
        <v>5</v>
      </c>
      <c r="E453" s="9">
        <v>18</v>
      </c>
      <c r="F453" s="9">
        <v>33</v>
      </c>
      <c r="G453" s="9">
        <v>47</v>
      </c>
      <c r="H453" s="9">
        <v>56</v>
      </c>
      <c r="I453" s="1"/>
      <c r="J453" s="9">
        <v>56</v>
      </c>
      <c r="K453" s="1"/>
      <c r="L453" s="171">
        <v>45773</v>
      </c>
      <c r="M453" s="1"/>
    </row>
    <row r="454" spans="1:13" s="13" customFormat="1" x14ac:dyDescent="0.25">
      <c r="A454" s="2"/>
      <c r="B454" s="2"/>
      <c r="C454" s="9">
        <v>33</v>
      </c>
      <c r="D454" s="9">
        <v>41</v>
      </c>
      <c r="E454" s="9">
        <v>66</v>
      </c>
      <c r="F454" s="9">
        <v>74</v>
      </c>
      <c r="G454" s="9">
        <v>80</v>
      </c>
      <c r="H454" s="9">
        <v>81</v>
      </c>
      <c r="I454" s="1"/>
      <c r="J454" s="9">
        <v>81</v>
      </c>
      <c r="K454" s="1"/>
      <c r="L454" s="171">
        <v>45770</v>
      </c>
      <c r="M454" s="1"/>
    </row>
    <row r="455" spans="1:13" s="13" customFormat="1" x14ac:dyDescent="0.25">
      <c r="A455" s="2"/>
      <c r="B455" s="2"/>
      <c r="C455" s="9">
        <v>13</v>
      </c>
      <c r="D455" s="9">
        <v>31</v>
      </c>
      <c r="E455" s="9">
        <v>37</v>
      </c>
      <c r="F455" s="9">
        <v>42</v>
      </c>
      <c r="G455" s="9">
        <v>77</v>
      </c>
      <c r="H455" s="9">
        <v>80</v>
      </c>
      <c r="I455" s="1"/>
      <c r="J455" s="9">
        <v>80</v>
      </c>
      <c r="K455" s="1"/>
      <c r="L455" s="171">
        <v>45768</v>
      </c>
      <c r="M455" s="1"/>
    </row>
    <row r="456" spans="1:13" s="13" customFormat="1" x14ac:dyDescent="0.25">
      <c r="A456" s="2"/>
      <c r="B456" s="2"/>
      <c r="C456" s="9">
        <v>31</v>
      </c>
      <c r="D456" s="9">
        <v>43</v>
      </c>
      <c r="E456" s="9">
        <v>52</v>
      </c>
      <c r="F456" s="9">
        <v>53</v>
      </c>
      <c r="G456" s="9">
        <v>63</v>
      </c>
      <c r="H456" s="9">
        <v>66</v>
      </c>
      <c r="I456" s="1"/>
      <c r="J456" s="9">
        <v>66</v>
      </c>
      <c r="K456" s="1"/>
      <c r="L456" s="171">
        <v>45766</v>
      </c>
      <c r="M456" s="1"/>
    </row>
    <row r="457" spans="1:13" s="13" customFormat="1" x14ac:dyDescent="0.25">
      <c r="A457" s="2"/>
      <c r="B457" s="2"/>
      <c r="C457" s="9">
        <v>11</v>
      </c>
      <c r="D457" s="9">
        <v>18</v>
      </c>
      <c r="E457" s="9">
        <v>40</v>
      </c>
      <c r="F457" s="9">
        <v>43</v>
      </c>
      <c r="G457" s="9">
        <v>59</v>
      </c>
      <c r="H457" s="9">
        <v>88</v>
      </c>
      <c r="I457" s="1"/>
      <c r="J457" s="9">
        <v>88</v>
      </c>
      <c r="K457" s="1"/>
      <c r="L457" s="171">
        <v>45763</v>
      </c>
      <c r="M457" s="1"/>
    </row>
    <row r="458" spans="1:13" s="13" customFormat="1" x14ac:dyDescent="0.25">
      <c r="A458" s="2"/>
      <c r="B458" s="2"/>
      <c r="C458" s="9">
        <v>38</v>
      </c>
      <c r="D458" s="9">
        <v>40</v>
      </c>
      <c r="E458" s="9">
        <v>41</v>
      </c>
      <c r="F458" s="9">
        <v>45</v>
      </c>
      <c r="G458" s="9">
        <v>49</v>
      </c>
      <c r="H458" s="9">
        <v>69</v>
      </c>
      <c r="I458" s="1"/>
      <c r="J458" s="9">
        <v>69</v>
      </c>
      <c r="K458" s="1"/>
      <c r="L458" s="171">
        <v>45761</v>
      </c>
      <c r="M458" s="1"/>
    </row>
    <row r="459" spans="1:13" s="13" customFormat="1" x14ac:dyDescent="0.25">
      <c r="A459" s="2"/>
      <c r="B459" s="2"/>
      <c r="C459" s="9">
        <v>11</v>
      </c>
      <c r="D459" s="9">
        <v>26</v>
      </c>
      <c r="E459" s="9">
        <v>35</v>
      </c>
      <c r="F459" s="9">
        <v>48</v>
      </c>
      <c r="G459" s="9">
        <v>53</v>
      </c>
      <c r="H459" s="9">
        <v>57</v>
      </c>
      <c r="I459" s="1"/>
      <c r="J459" s="9">
        <v>57</v>
      </c>
      <c r="K459" s="1"/>
      <c r="L459" s="171">
        <v>45759</v>
      </c>
      <c r="M459" s="1"/>
    </row>
    <row r="460" spans="1:13" s="13" customFormat="1" x14ac:dyDescent="0.25">
      <c r="A460" s="2"/>
      <c r="B460" s="2"/>
      <c r="C460" s="9">
        <v>12</v>
      </c>
      <c r="D460" s="9">
        <v>14</v>
      </c>
      <c r="E460" s="9">
        <v>15</v>
      </c>
      <c r="F460" s="9">
        <v>66</v>
      </c>
      <c r="G460" s="9">
        <v>76</v>
      </c>
      <c r="H460" s="9">
        <v>77</v>
      </c>
      <c r="I460" s="1"/>
      <c r="J460" s="9">
        <v>77</v>
      </c>
      <c r="K460" s="1"/>
      <c r="L460" s="171">
        <v>45756</v>
      </c>
      <c r="M460" s="1"/>
    </row>
    <row r="461" spans="1:13" s="13" customFormat="1" x14ac:dyDescent="0.25">
      <c r="A461" s="2"/>
      <c r="B461" s="2"/>
      <c r="C461" s="9">
        <v>1</v>
      </c>
      <c r="D461" s="9">
        <v>9</v>
      </c>
      <c r="E461" s="9">
        <v>13</v>
      </c>
      <c r="F461" s="9">
        <v>20</v>
      </c>
      <c r="G461" s="9">
        <v>66</v>
      </c>
      <c r="H461" s="9">
        <v>79</v>
      </c>
      <c r="I461" s="1"/>
      <c r="J461" s="9">
        <v>79</v>
      </c>
      <c r="K461" s="1"/>
      <c r="L461" s="171">
        <v>45754</v>
      </c>
      <c r="M461" s="1"/>
    </row>
    <row r="462" spans="1:13" s="13" customFormat="1" x14ac:dyDescent="0.25">
      <c r="A462" s="2"/>
      <c r="B462" s="2"/>
      <c r="C462" s="9">
        <v>8</v>
      </c>
      <c r="D462" s="9">
        <v>38</v>
      </c>
      <c r="E462" s="9">
        <v>53</v>
      </c>
      <c r="F462" s="9">
        <v>75</v>
      </c>
      <c r="G462" s="9">
        <v>84</v>
      </c>
      <c r="H462" s="9">
        <v>90</v>
      </c>
      <c r="I462" s="1"/>
      <c r="J462" s="9">
        <v>90</v>
      </c>
      <c r="K462" s="1"/>
      <c r="L462" s="171">
        <v>45752</v>
      </c>
      <c r="M462" s="1"/>
    </row>
    <row r="463" spans="1:13" s="13" customFormat="1" x14ac:dyDescent="0.25">
      <c r="A463" s="2"/>
      <c r="B463" s="2"/>
      <c r="C463" s="9">
        <v>19</v>
      </c>
      <c r="D463" s="9">
        <v>20</v>
      </c>
      <c r="E463" s="9">
        <v>36</v>
      </c>
      <c r="F463" s="9">
        <v>48</v>
      </c>
      <c r="G463" s="9">
        <v>53</v>
      </c>
      <c r="H463" s="9">
        <v>66</v>
      </c>
      <c r="I463" s="1"/>
      <c r="J463" s="9">
        <v>66</v>
      </c>
      <c r="K463" s="1"/>
      <c r="L463" s="171">
        <v>45749</v>
      </c>
      <c r="M463" s="1"/>
    </row>
    <row r="464" spans="1:13" s="19" customFormat="1" x14ac:dyDescent="0.25">
      <c r="A464" s="2"/>
      <c r="B464" s="2"/>
      <c r="C464" s="9">
        <v>3</v>
      </c>
      <c r="D464" s="9">
        <v>18</v>
      </c>
      <c r="E464" s="9">
        <v>19</v>
      </c>
      <c r="F464" s="9">
        <v>23</v>
      </c>
      <c r="G464" s="9">
        <v>27</v>
      </c>
      <c r="H464" s="9">
        <v>87</v>
      </c>
      <c r="I464" s="1"/>
      <c r="J464" s="9">
        <v>87</v>
      </c>
      <c r="K464" s="1"/>
      <c r="L464" s="171">
        <v>45747</v>
      </c>
      <c r="M464" s="1"/>
    </row>
    <row r="465" spans="1:13" s="19" customFormat="1" x14ac:dyDescent="0.25">
      <c r="A465" s="2"/>
      <c r="B465" s="2"/>
      <c r="C465" s="9">
        <v>27</v>
      </c>
      <c r="D465" s="9">
        <v>45</v>
      </c>
      <c r="E465" s="9">
        <v>59</v>
      </c>
      <c r="F465" s="9">
        <v>67</v>
      </c>
      <c r="G465" s="9">
        <v>79</v>
      </c>
      <c r="H465" s="9">
        <v>84</v>
      </c>
      <c r="I465" s="1"/>
      <c r="J465" s="9">
        <v>84</v>
      </c>
      <c r="K465" s="1"/>
      <c r="L465" s="171">
        <v>45745</v>
      </c>
      <c r="M465" s="1"/>
    </row>
    <row r="466" spans="1:13" s="19" customFormat="1" x14ac:dyDescent="0.25">
      <c r="A466" s="2"/>
      <c r="B466" s="2"/>
      <c r="C466" s="9">
        <v>5</v>
      </c>
      <c r="D466" s="9">
        <v>9</v>
      </c>
      <c r="E466" s="9">
        <v>29</v>
      </c>
      <c r="F466" s="9">
        <v>30</v>
      </c>
      <c r="G466" s="9">
        <v>31</v>
      </c>
      <c r="H466" s="9">
        <v>63</v>
      </c>
      <c r="I466" s="1"/>
      <c r="J466" s="9">
        <v>63</v>
      </c>
      <c r="K466" s="1"/>
      <c r="L466" s="171">
        <v>45742</v>
      </c>
      <c r="M466" s="1"/>
    </row>
    <row r="467" spans="1:13" s="19" customFormat="1" x14ac:dyDescent="0.25">
      <c r="A467" s="2"/>
      <c r="B467" s="2"/>
      <c r="C467" s="9">
        <v>8</v>
      </c>
      <c r="D467" s="9">
        <v>18</v>
      </c>
      <c r="E467" s="9">
        <v>21</v>
      </c>
      <c r="F467" s="9">
        <v>41</v>
      </c>
      <c r="G467" s="9">
        <v>43</v>
      </c>
      <c r="H467" s="9">
        <v>73</v>
      </c>
      <c r="I467" s="1"/>
      <c r="J467" s="9">
        <v>73</v>
      </c>
      <c r="K467" s="1"/>
      <c r="L467" s="171">
        <v>45740</v>
      </c>
      <c r="M467" s="1"/>
    </row>
    <row r="468" spans="1:13" s="19" customFormat="1" x14ac:dyDescent="0.25">
      <c r="A468" s="2"/>
      <c r="B468" s="2"/>
      <c r="C468" s="9">
        <v>11</v>
      </c>
      <c r="D468" s="9">
        <v>12</v>
      </c>
      <c r="E468" s="9">
        <v>33</v>
      </c>
      <c r="F468" s="9">
        <v>47</v>
      </c>
      <c r="G468" s="9">
        <v>49</v>
      </c>
      <c r="H468" s="9">
        <v>70</v>
      </c>
      <c r="I468" s="1"/>
      <c r="J468" s="9">
        <v>70</v>
      </c>
      <c r="K468" s="1"/>
      <c r="L468" s="171">
        <v>45738</v>
      </c>
      <c r="M468" s="1"/>
    </row>
    <row r="469" spans="1:13" s="19" customFormat="1" x14ac:dyDescent="0.25">
      <c r="A469" s="2"/>
      <c r="B469" s="2"/>
      <c r="C469" s="9">
        <v>13</v>
      </c>
      <c r="D469" s="9">
        <v>39</v>
      </c>
      <c r="E469" s="9">
        <v>59</v>
      </c>
      <c r="F469" s="9">
        <v>70</v>
      </c>
      <c r="G469" s="9">
        <v>73</v>
      </c>
      <c r="H469" s="9">
        <v>80</v>
      </c>
      <c r="I469" s="1"/>
      <c r="J469" s="9">
        <v>80</v>
      </c>
      <c r="K469" s="1"/>
      <c r="L469" s="171">
        <v>45735</v>
      </c>
      <c r="M469" s="1"/>
    </row>
    <row r="470" spans="1:13" s="19" customFormat="1" x14ac:dyDescent="0.25">
      <c r="A470" s="2"/>
      <c r="B470" s="2"/>
      <c r="C470" s="9">
        <v>7</v>
      </c>
      <c r="D470" s="9">
        <v>28</v>
      </c>
      <c r="E470" s="9">
        <v>30</v>
      </c>
      <c r="F470" s="9">
        <v>59</v>
      </c>
      <c r="G470" s="9">
        <v>62</v>
      </c>
      <c r="H470" s="9">
        <v>77</v>
      </c>
      <c r="I470" s="1"/>
      <c r="J470" s="9">
        <v>77</v>
      </c>
      <c r="K470" s="1"/>
      <c r="L470" s="171">
        <v>45733</v>
      </c>
      <c r="M470" s="1"/>
    </row>
    <row r="471" spans="1:13" s="19" customFormat="1" x14ac:dyDescent="0.25">
      <c r="A471" s="2"/>
      <c r="B471" s="2"/>
      <c r="C471" s="9">
        <v>15</v>
      </c>
      <c r="D471" s="9">
        <v>18</v>
      </c>
      <c r="E471" s="9">
        <v>24</v>
      </c>
      <c r="F471" s="9">
        <v>29</v>
      </c>
      <c r="G471" s="9">
        <v>61</v>
      </c>
      <c r="H471" s="9">
        <v>75</v>
      </c>
      <c r="I471" s="1"/>
      <c r="J471" s="9">
        <v>75</v>
      </c>
      <c r="K471" s="1"/>
      <c r="L471" s="171">
        <v>45731</v>
      </c>
      <c r="M471" s="1"/>
    </row>
    <row r="472" spans="1:13" s="19" customFormat="1" x14ac:dyDescent="0.25">
      <c r="A472" s="2"/>
      <c r="B472" s="2"/>
      <c r="C472" s="9">
        <v>37</v>
      </c>
      <c r="D472" s="9">
        <v>47</v>
      </c>
      <c r="E472" s="9">
        <v>57</v>
      </c>
      <c r="F472" s="9">
        <v>62</v>
      </c>
      <c r="G472" s="9">
        <v>75</v>
      </c>
      <c r="H472" s="9">
        <v>90</v>
      </c>
      <c r="I472" s="1"/>
      <c r="J472" s="9">
        <v>90</v>
      </c>
      <c r="K472" s="1"/>
      <c r="L472" s="171">
        <v>45728</v>
      </c>
      <c r="M472" s="1"/>
    </row>
    <row r="473" spans="1:13" s="19" customFormat="1" x14ac:dyDescent="0.25">
      <c r="A473" s="2"/>
      <c r="B473" s="2"/>
      <c r="C473" s="9">
        <v>2</v>
      </c>
      <c r="D473" s="9">
        <v>9</v>
      </c>
      <c r="E473" s="9">
        <v>28</v>
      </c>
      <c r="F473" s="9">
        <v>43</v>
      </c>
      <c r="G473" s="9">
        <v>59</v>
      </c>
      <c r="H473" s="9">
        <v>61</v>
      </c>
      <c r="I473" s="1"/>
      <c r="J473" s="9">
        <v>61</v>
      </c>
      <c r="K473" s="1"/>
      <c r="L473" s="171">
        <v>45726</v>
      </c>
      <c r="M473" s="1"/>
    </row>
    <row r="474" spans="1:13" s="19" customFormat="1" x14ac:dyDescent="0.25">
      <c r="A474" s="2"/>
      <c r="B474" s="2"/>
      <c r="C474" s="9">
        <v>7</v>
      </c>
      <c r="D474" s="9">
        <v>31</v>
      </c>
      <c r="E474" s="9">
        <v>37</v>
      </c>
      <c r="F474" s="9">
        <v>65</v>
      </c>
      <c r="G474" s="9">
        <v>79</v>
      </c>
      <c r="H474" s="9">
        <v>87</v>
      </c>
      <c r="I474" s="1"/>
      <c r="J474" s="9">
        <v>87</v>
      </c>
      <c r="K474" s="1"/>
      <c r="L474" s="171">
        <v>45724</v>
      </c>
      <c r="M474" s="1"/>
    </row>
    <row r="475" spans="1:13" s="19" customFormat="1" x14ac:dyDescent="0.25">
      <c r="A475" s="2"/>
      <c r="B475" s="2"/>
      <c r="C475" s="9">
        <v>30</v>
      </c>
      <c r="D475" s="9">
        <v>32</v>
      </c>
      <c r="E475" s="9">
        <v>48</v>
      </c>
      <c r="F475" s="9">
        <v>65</v>
      </c>
      <c r="G475" s="9">
        <v>82</v>
      </c>
      <c r="H475" s="9">
        <v>85</v>
      </c>
      <c r="I475" s="1"/>
      <c r="J475" s="9">
        <v>85</v>
      </c>
      <c r="K475" s="1"/>
      <c r="L475" s="171">
        <v>45721</v>
      </c>
      <c r="M475" s="1"/>
    </row>
    <row r="476" spans="1:13" s="19" customFormat="1" x14ac:dyDescent="0.25">
      <c r="A476" s="2"/>
      <c r="B476" s="2"/>
      <c r="C476" s="9">
        <v>2</v>
      </c>
      <c r="D476" s="9">
        <v>8</v>
      </c>
      <c r="E476" s="9">
        <v>18</v>
      </c>
      <c r="F476" s="9">
        <v>27</v>
      </c>
      <c r="G476" s="9">
        <v>67</v>
      </c>
      <c r="H476" s="9">
        <v>87</v>
      </c>
      <c r="I476" s="1"/>
      <c r="J476" s="9">
        <v>87</v>
      </c>
      <c r="K476" s="1"/>
      <c r="L476" s="171">
        <v>45719</v>
      </c>
      <c r="M476" s="1"/>
    </row>
    <row r="477" spans="1:13" s="19" customFormat="1" x14ac:dyDescent="0.25">
      <c r="A477" s="2"/>
      <c r="B477" s="2"/>
      <c r="C477" s="9">
        <v>38</v>
      </c>
      <c r="D477" s="9">
        <v>42</v>
      </c>
      <c r="E477" s="9">
        <v>62</v>
      </c>
      <c r="F477" s="9">
        <v>66</v>
      </c>
      <c r="G477" s="9">
        <v>75</v>
      </c>
      <c r="H477" s="9">
        <v>77</v>
      </c>
      <c r="I477" s="1"/>
      <c r="J477" s="9">
        <v>77</v>
      </c>
      <c r="K477" s="1"/>
      <c r="L477" s="171">
        <v>45717</v>
      </c>
      <c r="M477" s="1"/>
    </row>
    <row r="478" spans="1:13" s="19" customFormat="1" x14ac:dyDescent="0.25">
      <c r="A478" s="2"/>
      <c r="B478" s="2"/>
      <c r="C478" s="9">
        <v>10</v>
      </c>
      <c r="D478" s="9">
        <v>52</v>
      </c>
      <c r="E478" s="9">
        <v>65</v>
      </c>
      <c r="F478" s="9">
        <v>73</v>
      </c>
      <c r="G478" s="9">
        <v>87</v>
      </c>
      <c r="H478" s="9">
        <v>88</v>
      </c>
      <c r="I478" s="1"/>
      <c r="J478" s="9">
        <v>88</v>
      </c>
      <c r="K478" s="1"/>
      <c r="L478" s="171">
        <v>45714</v>
      </c>
      <c r="M478" s="1"/>
    </row>
    <row r="479" spans="1:13" s="19" customFormat="1" x14ac:dyDescent="0.25">
      <c r="A479" s="2"/>
      <c r="B479" s="2"/>
      <c r="C479" s="9">
        <v>1</v>
      </c>
      <c r="D479" s="9">
        <v>23</v>
      </c>
      <c r="E479" s="9">
        <v>40</v>
      </c>
      <c r="F479" s="9">
        <v>43</v>
      </c>
      <c r="G479" s="9">
        <v>53</v>
      </c>
      <c r="H479" s="9">
        <v>59</v>
      </c>
      <c r="I479" s="1"/>
      <c r="J479" s="9">
        <v>59</v>
      </c>
      <c r="K479" s="1"/>
      <c r="L479" s="171">
        <v>45712</v>
      </c>
      <c r="M479" s="1"/>
    </row>
    <row r="480" spans="1:13" s="19" customFormat="1" x14ac:dyDescent="0.25">
      <c r="A480" s="2"/>
      <c r="B480" s="2"/>
      <c r="C480" s="9">
        <v>1</v>
      </c>
      <c r="D480" s="9">
        <v>5</v>
      </c>
      <c r="E480" s="9">
        <v>29</v>
      </c>
      <c r="F480" s="9">
        <v>36</v>
      </c>
      <c r="G480" s="9">
        <v>54</v>
      </c>
      <c r="H480" s="9">
        <v>57</v>
      </c>
      <c r="I480" s="1"/>
      <c r="J480" s="9">
        <v>57</v>
      </c>
      <c r="K480" s="1"/>
      <c r="L480" s="171">
        <v>45710</v>
      </c>
      <c r="M480" s="1"/>
    </row>
    <row r="481" spans="1:13" s="19" customFormat="1" x14ac:dyDescent="0.25">
      <c r="A481" s="2"/>
      <c r="B481" s="2"/>
      <c r="C481" s="9">
        <v>26</v>
      </c>
      <c r="D481" s="9">
        <v>42</v>
      </c>
      <c r="E481" s="9">
        <v>69</v>
      </c>
      <c r="F481" s="9">
        <v>70</v>
      </c>
      <c r="G481" s="9">
        <v>74</v>
      </c>
      <c r="H481" s="9">
        <v>88</v>
      </c>
      <c r="I481" s="1"/>
      <c r="J481" s="9">
        <v>88</v>
      </c>
      <c r="K481" s="1"/>
      <c r="L481" s="171">
        <v>45707</v>
      </c>
      <c r="M481" s="1"/>
    </row>
    <row r="482" spans="1:13" s="19" customFormat="1" x14ac:dyDescent="0.25">
      <c r="A482" s="2"/>
      <c r="B482" s="2"/>
      <c r="C482" s="9">
        <v>10</v>
      </c>
      <c r="D482" s="9">
        <v>40</v>
      </c>
      <c r="E482" s="9">
        <v>46</v>
      </c>
      <c r="F482" s="9">
        <v>47</v>
      </c>
      <c r="G482" s="9">
        <v>57</v>
      </c>
      <c r="H482" s="9">
        <v>72</v>
      </c>
      <c r="I482" s="1"/>
      <c r="J482" s="9">
        <v>72</v>
      </c>
      <c r="K482" s="1"/>
      <c r="L482" s="171">
        <v>45705</v>
      </c>
      <c r="M482" s="1"/>
    </row>
    <row r="483" spans="1:13" s="19" customFormat="1" x14ac:dyDescent="0.25">
      <c r="A483" s="2"/>
      <c r="B483" s="2"/>
      <c r="C483" s="9">
        <v>1</v>
      </c>
      <c r="D483" s="9">
        <v>9</v>
      </c>
      <c r="E483" s="9">
        <v>32</v>
      </c>
      <c r="F483" s="9">
        <v>48</v>
      </c>
      <c r="G483" s="9">
        <v>56</v>
      </c>
      <c r="H483" s="9">
        <v>58</v>
      </c>
      <c r="I483" s="1"/>
      <c r="J483" s="9">
        <v>58</v>
      </c>
      <c r="K483" s="1"/>
      <c r="L483" s="171">
        <v>45703</v>
      </c>
      <c r="M483" s="1"/>
    </row>
    <row r="484" spans="1:13" s="19" customFormat="1" x14ac:dyDescent="0.25">
      <c r="A484" s="2"/>
      <c r="B484" s="2"/>
      <c r="C484" s="9">
        <v>2</v>
      </c>
      <c r="D484" s="9">
        <v>20</v>
      </c>
      <c r="E484" s="9">
        <v>34</v>
      </c>
      <c r="F484" s="9">
        <v>46</v>
      </c>
      <c r="G484" s="9">
        <v>55</v>
      </c>
      <c r="H484" s="9">
        <v>60</v>
      </c>
      <c r="I484" s="1"/>
      <c r="J484" s="9">
        <v>60</v>
      </c>
      <c r="K484" s="1"/>
      <c r="L484" s="171">
        <v>45700</v>
      </c>
      <c r="M484" s="1"/>
    </row>
    <row r="485" spans="1:13" s="19" customFormat="1" x14ac:dyDescent="0.25">
      <c r="A485" s="2"/>
      <c r="B485" s="2"/>
      <c r="C485" s="9">
        <v>13</v>
      </c>
      <c r="D485" s="9">
        <v>31</v>
      </c>
      <c r="E485" s="9">
        <v>34</v>
      </c>
      <c r="F485" s="9">
        <v>64</v>
      </c>
      <c r="G485" s="9">
        <v>69</v>
      </c>
      <c r="H485" s="9">
        <v>88</v>
      </c>
      <c r="I485" s="1"/>
      <c r="J485" s="9">
        <v>88</v>
      </c>
      <c r="K485" s="1"/>
      <c r="L485" s="171">
        <v>45698</v>
      </c>
      <c r="M485" s="1"/>
    </row>
    <row r="486" spans="1:13" s="19" customFormat="1" x14ac:dyDescent="0.25">
      <c r="A486" s="2"/>
      <c r="B486" s="2"/>
      <c r="C486" s="9">
        <v>6</v>
      </c>
      <c r="D486" s="9">
        <v>7</v>
      </c>
      <c r="E486" s="9">
        <v>25</v>
      </c>
      <c r="F486" s="9">
        <v>48</v>
      </c>
      <c r="G486" s="9">
        <v>78</v>
      </c>
      <c r="H486" s="9">
        <v>89</v>
      </c>
      <c r="I486" s="1"/>
      <c r="J486" s="9">
        <v>89</v>
      </c>
      <c r="K486" s="1"/>
      <c r="L486" s="171">
        <v>45696</v>
      </c>
      <c r="M486" s="1"/>
    </row>
    <row r="487" spans="1:13" s="19" customFormat="1" x14ac:dyDescent="0.25">
      <c r="A487" s="2"/>
      <c r="B487" s="2"/>
      <c r="C487" s="9">
        <v>37</v>
      </c>
      <c r="D487" s="9">
        <v>38</v>
      </c>
      <c r="E487" s="9">
        <v>41</v>
      </c>
      <c r="F487" s="9">
        <v>64</v>
      </c>
      <c r="G487" s="9">
        <v>76</v>
      </c>
      <c r="H487" s="9">
        <v>80</v>
      </c>
      <c r="I487" s="1"/>
      <c r="J487" s="9">
        <v>80</v>
      </c>
      <c r="K487" s="1"/>
      <c r="L487" s="171">
        <v>45693</v>
      </c>
      <c r="M487" s="1"/>
    </row>
    <row r="488" spans="1:13" s="19" customFormat="1" x14ac:dyDescent="0.25">
      <c r="A488" s="2"/>
      <c r="B488" s="2"/>
      <c r="C488" s="9">
        <v>11</v>
      </c>
      <c r="D488" s="9">
        <v>29</v>
      </c>
      <c r="E488" s="9">
        <v>33</v>
      </c>
      <c r="F488" s="9">
        <v>51</v>
      </c>
      <c r="G488" s="9">
        <v>56</v>
      </c>
      <c r="H488" s="9">
        <v>86</v>
      </c>
      <c r="I488" s="1"/>
      <c r="J488" s="9">
        <v>86</v>
      </c>
      <c r="K488" s="1"/>
      <c r="L488" s="171">
        <v>45691</v>
      </c>
      <c r="M488" s="1"/>
    </row>
    <row r="489" spans="1:13" s="19" customFormat="1" x14ac:dyDescent="0.25">
      <c r="A489" s="2"/>
      <c r="B489" s="2"/>
      <c r="C489" s="9">
        <v>4</v>
      </c>
      <c r="D489" s="9">
        <v>38</v>
      </c>
      <c r="E489" s="9">
        <v>56</v>
      </c>
      <c r="F489" s="9">
        <v>61</v>
      </c>
      <c r="G489" s="9">
        <v>68</v>
      </c>
      <c r="H489" s="9">
        <v>70</v>
      </c>
      <c r="I489" s="1"/>
      <c r="J489" s="9">
        <v>70</v>
      </c>
      <c r="K489" s="1"/>
      <c r="L489" s="171">
        <v>45689</v>
      </c>
      <c r="M489" s="1"/>
    </row>
    <row r="490" spans="1:13" s="19" customFormat="1" x14ac:dyDescent="0.25">
      <c r="A490" s="2"/>
      <c r="B490" s="2"/>
      <c r="C490" s="9">
        <v>17</v>
      </c>
      <c r="D490" s="9">
        <v>29</v>
      </c>
      <c r="E490" s="9">
        <v>50</v>
      </c>
      <c r="F490" s="9">
        <v>71</v>
      </c>
      <c r="G490" s="9">
        <v>76</v>
      </c>
      <c r="H490" s="9">
        <v>89</v>
      </c>
      <c r="I490" s="1"/>
      <c r="J490" s="9">
        <v>89</v>
      </c>
      <c r="K490" s="1"/>
      <c r="L490" s="171">
        <v>45686</v>
      </c>
      <c r="M490" s="1"/>
    </row>
    <row r="491" spans="1:13" s="19" customFormat="1" x14ac:dyDescent="0.25">
      <c r="A491" s="2"/>
      <c r="B491" s="2"/>
      <c r="C491" s="9">
        <v>1</v>
      </c>
      <c r="D491" s="9">
        <v>2</v>
      </c>
      <c r="E491" s="9">
        <v>14</v>
      </c>
      <c r="F491" s="9">
        <v>34</v>
      </c>
      <c r="G491" s="9">
        <v>54</v>
      </c>
      <c r="H491" s="9">
        <v>56</v>
      </c>
      <c r="I491" s="1"/>
      <c r="J491" s="9">
        <v>56</v>
      </c>
      <c r="K491" s="1"/>
      <c r="L491" s="171">
        <v>45684</v>
      </c>
      <c r="M491" s="1"/>
    </row>
    <row r="492" spans="1:13" s="19" customFormat="1" x14ac:dyDescent="0.25">
      <c r="A492" s="2"/>
      <c r="B492" s="2"/>
      <c r="C492" s="9">
        <v>1</v>
      </c>
      <c r="D492" s="9">
        <v>18</v>
      </c>
      <c r="E492" s="9">
        <v>46</v>
      </c>
      <c r="F492" s="9">
        <v>54</v>
      </c>
      <c r="G492" s="9">
        <v>70</v>
      </c>
      <c r="H492" s="9">
        <v>88</v>
      </c>
      <c r="I492" s="1"/>
      <c r="J492" s="9">
        <v>88</v>
      </c>
      <c r="K492" s="1"/>
      <c r="L492" s="171">
        <v>45682</v>
      </c>
      <c r="M492" s="1"/>
    </row>
    <row r="493" spans="1:13" s="19" customFormat="1" x14ac:dyDescent="0.25">
      <c r="A493" s="2"/>
      <c r="B493" s="2"/>
      <c r="C493" s="9">
        <v>2</v>
      </c>
      <c r="D493" s="9">
        <v>20</v>
      </c>
      <c r="E493" s="9">
        <v>28</v>
      </c>
      <c r="F493" s="9">
        <v>44</v>
      </c>
      <c r="G493" s="9">
        <v>57</v>
      </c>
      <c r="H493" s="9">
        <v>88</v>
      </c>
      <c r="I493" s="1"/>
      <c r="J493" s="9">
        <v>88</v>
      </c>
      <c r="K493" s="1"/>
      <c r="L493" s="171">
        <v>45679</v>
      </c>
      <c r="M493" s="1"/>
    </row>
    <row r="494" spans="1:13" s="19" customFormat="1" x14ac:dyDescent="0.25">
      <c r="A494" s="2"/>
      <c r="B494" s="2"/>
      <c r="C494" s="9">
        <v>13</v>
      </c>
      <c r="D494" s="9">
        <v>25</v>
      </c>
      <c r="E494" s="9">
        <v>30</v>
      </c>
      <c r="F494" s="9">
        <v>33</v>
      </c>
      <c r="G494" s="9">
        <v>82</v>
      </c>
      <c r="H494" s="9">
        <v>86</v>
      </c>
      <c r="I494" s="1"/>
      <c r="J494" s="9">
        <v>86</v>
      </c>
      <c r="K494" s="1"/>
      <c r="L494" s="171">
        <v>45677</v>
      </c>
      <c r="M494" s="1"/>
    </row>
    <row r="495" spans="1:13" s="19" customFormat="1" x14ac:dyDescent="0.25">
      <c r="A495" s="2"/>
      <c r="B495" s="2"/>
      <c r="C495" s="9">
        <v>1</v>
      </c>
      <c r="D495" s="9">
        <v>24</v>
      </c>
      <c r="E495" s="9">
        <v>31</v>
      </c>
      <c r="F495" s="9">
        <v>32</v>
      </c>
      <c r="G495" s="9">
        <v>40</v>
      </c>
      <c r="H495" s="9">
        <v>81</v>
      </c>
      <c r="I495" s="1"/>
      <c r="J495" s="9">
        <v>81</v>
      </c>
      <c r="K495" s="1"/>
      <c r="L495" s="171">
        <v>45675</v>
      </c>
      <c r="M495" s="1"/>
    </row>
    <row r="496" spans="1:13" s="19" customFormat="1" x14ac:dyDescent="0.25">
      <c r="A496" s="2"/>
      <c r="B496" s="2"/>
      <c r="C496" s="9">
        <v>47</v>
      </c>
      <c r="D496" s="9">
        <v>59</v>
      </c>
      <c r="E496" s="9">
        <v>64</v>
      </c>
      <c r="F496" s="9">
        <v>68</v>
      </c>
      <c r="G496" s="9">
        <v>74</v>
      </c>
      <c r="H496" s="9">
        <v>82</v>
      </c>
      <c r="I496" s="1"/>
      <c r="J496" s="9">
        <v>82</v>
      </c>
      <c r="K496" s="1"/>
      <c r="L496" s="171">
        <v>45672</v>
      </c>
      <c r="M496" s="1"/>
    </row>
    <row r="497" spans="1:13" s="19" customFormat="1" x14ac:dyDescent="0.25">
      <c r="A497" s="2"/>
      <c r="B497" s="2"/>
      <c r="C497" s="9">
        <v>14</v>
      </c>
      <c r="D497" s="9">
        <v>28</v>
      </c>
      <c r="E497" s="9">
        <v>42</v>
      </c>
      <c r="F497" s="9">
        <v>54</v>
      </c>
      <c r="G497" s="9">
        <v>64</v>
      </c>
      <c r="H497" s="9">
        <v>89</v>
      </c>
      <c r="I497" s="1"/>
      <c r="J497" s="9">
        <v>89</v>
      </c>
      <c r="K497" s="1"/>
      <c r="L497" s="171">
        <v>45670</v>
      </c>
      <c r="M497" s="1"/>
    </row>
    <row r="498" spans="1:13" s="19" customFormat="1" x14ac:dyDescent="0.25">
      <c r="A498" s="2"/>
      <c r="B498" s="2"/>
      <c r="C498" s="9">
        <v>5</v>
      </c>
      <c r="D498" s="9">
        <v>21</v>
      </c>
      <c r="E498" s="9">
        <v>30</v>
      </c>
      <c r="F498" s="9">
        <v>32</v>
      </c>
      <c r="G498" s="9">
        <v>42</v>
      </c>
      <c r="H498" s="9">
        <v>75</v>
      </c>
      <c r="I498" s="1"/>
      <c r="J498" s="9">
        <v>75</v>
      </c>
      <c r="K498" s="1"/>
      <c r="L498" s="171">
        <v>45668</v>
      </c>
      <c r="M498" s="1"/>
    </row>
    <row r="499" spans="1:13" s="19" customFormat="1" x14ac:dyDescent="0.25">
      <c r="A499" s="2"/>
      <c r="B499" s="2"/>
      <c r="C499" s="9">
        <v>8</v>
      </c>
      <c r="D499" s="9">
        <v>36</v>
      </c>
      <c r="E499" s="9">
        <v>59</v>
      </c>
      <c r="F499" s="9">
        <v>60</v>
      </c>
      <c r="G499" s="9">
        <v>68</v>
      </c>
      <c r="H499" s="9">
        <v>75</v>
      </c>
      <c r="I499" s="1"/>
      <c r="J499" s="9">
        <v>75</v>
      </c>
      <c r="K499" s="1"/>
      <c r="L499" s="171">
        <v>45665</v>
      </c>
      <c r="M499" s="1"/>
    </row>
    <row r="500" spans="1:13" s="19" customFormat="1" x14ac:dyDescent="0.25">
      <c r="A500" s="2"/>
      <c r="B500" s="2"/>
      <c r="C500" s="9">
        <v>5</v>
      </c>
      <c r="D500" s="9">
        <v>16</v>
      </c>
      <c r="E500" s="9">
        <v>54</v>
      </c>
      <c r="F500" s="9">
        <v>58</v>
      </c>
      <c r="G500" s="9">
        <v>68</v>
      </c>
      <c r="H500" s="9">
        <v>84</v>
      </c>
      <c r="I500" s="1"/>
      <c r="J500" s="9">
        <v>84</v>
      </c>
      <c r="K500" s="1"/>
      <c r="L500" s="171">
        <v>45663</v>
      </c>
      <c r="M500" s="1"/>
    </row>
    <row r="501" spans="1:13" s="19" customFormat="1" x14ac:dyDescent="0.25">
      <c r="A501" s="2"/>
      <c r="B501" s="2"/>
      <c r="C501" s="9">
        <v>2</v>
      </c>
      <c r="D501" s="9">
        <v>42</v>
      </c>
      <c r="E501" s="9">
        <v>50</v>
      </c>
      <c r="F501" s="9">
        <v>57</v>
      </c>
      <c r="G501" s="9">
        <v>59</v>
      </c>
      <c r="H501" s="9">
        <v>90</v>
      </c>
      <c r="I501" s="1"/>
      <c r="J501" s="9">
        <v>90</v>
      </c>
      <c r="K501" s="1"/>
      <c r="L501" s="171">
        <v>45661</v>
      </c>
      <c r="M501" s="1"/>
    </row>
    <row r="502" spans="1:13" s="19" customFormat="1" x14ac:dyDescent="0.25">
      <c r="A502" s="2"/>
      <c r="B502" s="2"/>
      <c r="C502" s="9">
        <v>1</v>
      </c>
      <c r="D502" s="9">
        <v>21</v>
      </c>
      <c r="E502" s="9">
        <v>46</v>
      </c>
      <c r="F502" s="9">
        <v>61</v>
      </c>
      <c r="G502" s="9">
        <v>71</v>
      </c>
      <c r="H502" s="9">
        <v>78</v>
      </c>
      <c r="I502" s="1"/>
      <c r="J502" s="9">
        <v>78</v>
      </c>
      <c r="K502" s="1"/>
      <c r="L502" s="171">
        <v>45658</v>
      </c>
      <c r="M502" s="1"/>
    </row>
    <row r="503" spans="1:13" s="19" customFormat="1" x14ac:dyDescent="0.25">
      <c r="A503" s="2"/>
      <c r="B503" s="2"/>
      <c r="C503" s="9">
        <v>1</v>
      </c>
      <c r="D503" s="9">
        <v>20</v>
      </c>
      <c r="E503" s="9">
        <v>34</v>
      </c>
      <c r="F503" s="9">
        <v>43</v>
      </c>
      <c r="G503" s="9">
        <v>88</v>
      </c>
      <c r="H503" s="9">
        <v>90</v>
      </c>
      <c r="I503" s="1"/>
      <c r="J503" s="9">
        <v>90</v>
      </c>
      <c r="K503" s="1"/>
      <c r="L503" s="171">
        <v>45656</v>
      </c>
      <c r="M503" s="1"/>
    </row>
    <row r="504" spans="1:13" s="19" customFormat="1" x14ac:dyDescent="0.25">
      <c r="A504" s="2"/>
      <c r="B504" s="2"/>
      <c r="C504" s="9">
        <v>9</v>
      </c>
      <c r="D504" s="9">
        <v>16</v>
      </c>
      <c r="E504" s="9">
        <v>31</v>
      </c>
      <c r="F504" s="9">
        <v>51</v>
      </c>
      <c r="G504" s="9">
        <v>73</v>
      </c>
      <c r="H504" s="9">
        <v>83</v>
      </c>
      <c r="I504" s="1"/>
      <c r="J504" s="9">
        <v>83</v>
      </c>
      <c r="K504" s="1"/>
      <c r="L504" s="171">
        <v>45654</v>
      </c>
      <c r="M504" s="1"/>
    </row>
    <row r="505" spans="1:13" s="19" customFormat="1" x14ac:dyDescent="0.25">
      <c r="A505" s="2"/>
      <c r="B505" s="2"/>
      <c r="C505" s="9">
        <v>1</v>
      </c>
      <c r="D505" s="9">
        <v>7</v>
      </c>
      <c r="E505" s="9">
        <v>19</v>
      </c>
      <c r="F505" s="9">
        <v>43</v>
      </c>
      <c r="G505" s="9">
        <v>56</v>
      </c>
      <c r="H505" s="9">
        <v>82</v>
      </c>
      <c r="I505" s="1"/>
      <c r="J505" s="9">
        <v>82</v>
      </c>
      <c r="K505" s="1"/>
      <c r="L505" s="171">
        <v>45651</v>
      </c>
      <c r="M505" s="1"/>
    </row>
    <row r="506" spans="1:13" s="19" customFormat="1" x14ac:dyDescent="0.25">
      <c r="A506" s="2"/>
      <c r="B506" s="2"/>
      <c r="C506" s="9">
        <v>5</v>
      </c>
      <c r="D506" s="9">
        <v>27</v>
      </c>
      <c r="E506" s="9">
        <v>34</v>
      </c>
      <c r="F506" s="9">
        <v>58</v>
      </c>
      <c r="G506" s="9">
        <v>77</v>
      </c>
      <c r="H506" s="9">
        <v>86</v>
      </c>
      <c r="I506" s="1"/>
      <c r="J506" s="9">
        <v>86</v>
      </c>
      <c r="K506" s="1"/>
      <c r="L506" s="171">
        <v>45649</v>
      </c>
      <c r="M506" s="1"/>
    </row>
    <row r="507" spans="1:13" s="19" customFormat="1" x14ac:dyDescent="0.25">
      <c r="A507" s="2"/>
      <c r="B507" s="2"/>
      <c r="C507" s="9">
        <v>20</v>
      </c>
      <c r="D507" s="9">
        <v>40</v>
      </c>
      <c r="E507" s="9">
        <v>46</v>
      </c>
      <c r="F507" s="9">
        <v>69</v>
      </c>
      <c r="G507" s="9">
        <v>78</v>
      </c>
      <c r="H507" s="9">
        <v>80</v>
      </c>
      <c r="I507" s="1"/>
      <c r="J507" s="9">
        <v>80</v>
      </c>
      <c r="K507" s="1"/>
      <c r="L507" s="171">
        <v>45647</v>
      </c>
      <c r="M507" s="1"/>
    </row>
    <row r="508" spans="1:13" s="19" customFormat="1" x14ac:dyDescent="0.25">
      <c r="A508" s="2"/>
      <c r="B508" s="2"/>
      <c r="C508" s="9">
        <v>1</v>
      </c>
      <c r="D508" s="9">
        <v>31</v>
      </c>
      <c r="E508" s="9">
        <v>32</v>
      </c>
      <c r="F508" s="9">
        <v>49</v>
      </c>
      <c r="G508" s="9">
        <v>50</v>
      </c>
      <c r="H508" s="9">
        <v>75</v>
      </c>
      <c r="I508" s="1"/>
      <c r="J508" s="9">
        <v>75</v>
      </c>
      <c r="K508" s="1"/>
      <c r="L508" s="171">
        <v>45644</v>
      </c>
      <c r="M508" s="1"/>
    </row>
    <row r="509" spans="1:13" s="19" customFormat="1" x14ac:dyDescent="0.25">
      <c r="A509" s="2"/>
      <c r="B509" s="2"/>
      <c r="C509" s="9">
        <v>3</v>
      </c>
      <c r="D509" s="9">
        <v>12</v>
      </c>
      <c r="E509" s="9">
        <v>17</v>
      </c>
      <c r="F509" s="9">
        <v>56</v>
      </c>
      <c r="G509" s="9">
        <v>69</v>
      </c>
      <c r="H509" s="9">
        <v>76</v>
      </c>
      <c r="I509" s="1"/>
      <c r="J509" s="9">
        <v>76</v>
      </c>
      <c r="K509" s="1"/>
      <c r="L509" s="171">
        <v>45642</v>
      </c>
      <c r="M509" s="1"/>
    </row>
    <row r="510" spans="1:13" s="19" customFormat="1" x14ac:dyDescent="0.25">
      <c r="A510" s="2"/>
      <c r="B510" s="2"/>
      <c r="C510" s="9">
        <v>7</v>
      </c>
      <c r="D510" s="9">
        <v>15</v>
      </c>
      <c r="E510" s="9">
        <v>38</v>
      </c>
      <c r="F510" s="9">
        <v>46</v>
      </c>
      <c r="G510" s="9">
        <v>68</v>
      </c>
      <c r="H510" s="9">
        <v>80</v>
      </c>
      <c r="I510" s="1"/>
      <c r="J510" s="9">
        <v>80</v>
      </c>
      <c r="K510" s="1"/>
      <c r="L510" s="171">
        <v>45640</v>
      </c>
      <c r="M510" s="1"/>
    </row>
    <row r="511" spans="1:13" s="19" customFormat="1" x14ac:dyDescent="0.25">
      <c r="A511" s="2"/>
      <c r="B511" s="2"/>
      <c r="C511" s="9">
        <v>28</v>
      </c>
      <c r="D511" s="9">
        <v>34</v>
      </c>
      <c r="E511" s="9">
        <v>56</v>
      </c>
      <c r="F511" s="9">
        <v>70</v>
      </c>
      <c r="G511" s="9">
        <v>73</v>
      </c>
      <c r="H511" s="9">
        <v>86</v>
      </c>
      <c r="I511" s="1"/>
      <c r="J511" s="9">
        <v>86</v>
      </c>
      <c r="K511" s="1"/>
      <c r="L511" s="171">
        <v>45637</v>
      </c>
      <c r="M511" s="1"/>
    </row>
    <row r="512" spans="1:13" s="19" customFormat="1" x14ac:dyDescent="0.25">
      <c r="A512" s="2"/>
      <c r="B512" s="2"/>
      <c r="C512" s="9">
        <v>10</v>
      </c>
      <c r="D512" s="9">
        <v>12</v>
      </c>
      <c r="E512" s="9">
        <v>74</v>
      </c>
      <c r="F512" s="9">
        <v>80</v>
      </c>
      <c r="G512" s="9">
        <v>81</v>
      </c>
      <c r="H512" s="9">
        <v>82</v>
      </c>
      <c r="I512" s="1"/>
      <c r="J512" s="9">
        <v>82</v>
      </c>
      <c r="K512" s="1"/>
      <c r="L512" s="171">
        <v>45635</v>
      </c>
      <c r="M512" s="1"/>
    </row>
    <row r="513" spans="1:13" s="19" customFormat="1" x14ac:dyDescent="0.25">
      <c r="A513" s="2"/>
      <c r="B513" s="2"/>
      <c r="C513" s="9">
        <v>10</v>
      </c>
      <c r="D513" s="9">
        <v>13</v>
      </c>
      <c r="E513" s="9">
        <v>18</v>
      </c>
      <c r="F513" s="9">
        <v>31</v>
      </c>
      <c r="G513" s="9">
        <v>55</v>
      </c>
      <c r="H513" s="9">
        <v>63</v>
      </c>
      <c r="I513" s="1"/>
      <c r="J513" s="9">
        <v>63</v>
      </c>
      <c r="K513" s="1"/>
      <c r="L513" s="171">
        <v>45633</v>
      </c>
      <c r="M513" s="1"/>
    </row>
    <row r="514" spans="1:13" s="19" customFormat="1" x14ac:dyDescent="0.25">
      <c r="A514" s="2"/>
      <c r="B514" s="2"/>
      <c r="C514" s="9">
        <v>16</v>
      </c>
      <c r="D514" s="9">
        <v>27</v>
      </c>
      <c r="E514" s="9">
        <v>44</v>
      </c>
      <c r="F514" s="9">
        <v>49</v>
      </c>
      <c r="G514" s="9">
        <v>62</v>
      </c>
      <c r="H514" s="9">
        <v>73</v>
      </c>
      <c r="I514" s="1"/>
      <c r="J514" s="9">
        <v>73</v>
      </c>
      <c r="K514" s="1"/>
      <c r="L514" s="171">
        <v>45630</v>
      </c>
      <c r="M514" s="1"/>
    </row>
    <row r="515" spans="1:13" s="19" customFormat="1" x14ac:dyDescent="0.25">
      <c r="A515" s="2"/>
      <c r="B515" s="2"/>
      <c r="C515" s="9">
        <v>3</v>
      </c>
      <c r="D515" s="9">
        <v>16</v>
      </c>
      <c r="E515" s="9">
        <v>40</v>
      </c>
      <c r="F515" s="9">
        <v>44</v>
      </c>
      <c r="G515" s="9">
        <v>50</v>
      </c>
      <c r="H515" s="9">
        <v>77</v>
      </c>
      <c r="I515" s="1"/>
      <c r="J515" s="9">
        <v>77</v>
      </c>
      <c r="K515" s="1"/>
      <c r="L515" s="171">
        <v>45628</v>
      </c>
      <c r="M515" s="1"/>
    </row>
    <row r="516" spans="1:13" s="19" customFormat="1" x14ac:dyDescent="0.25">
      <c r="A516" s="2"/>
      <c r="B516" s="2"/>
      <c r="C516" s="9">
        <v>15</v>
      </c>
      <c r="D516" s="9">
        <v>38</v>
      </c>
      <c r="E516" s="9">
        <v>45</v>
      </c>
      <c r="F516" s="9">
        <v>47</v>
      </c>
      <c r="G516" s="9">
        <v>57</v>
      </c>
      <c r="H516" s="9">
        <v>71</v>
      </c>
      <c r="I516" s="1"/>
      <c r="J516" s="9">
        <v>71</v>
      </c>
      <c r="K516" s="1"/>
      <c r="L516" s="171">
        <v>45626</v>
      </c>
      <c r="M516" s="1"/>
    </row>
    <row r="517" spans="1:13" s="19" customFormat="1" x14ac:dyDescent="0.25">
      <c r="A517" s="2"/>
      <c r="B517" s="2"/>
      <c r="C517" s="9">
        <v>27</v>
      </c>
      <c r="D517" s="9">
        <v>42</v>
      </c>
      <c r="E517" s="9">
        <v>47</v>
      </c>
      <c r="F517" s="9">
        <v>69</v>
      </c>
      <c r="G517" s="9">
        <v>76</v>
      </c>
      <c r="H517" s="9">
        <v>85</v>
      </c>
      <c r="I517" s="1"/>
      <c r="J517" s="9">
        <v>85</v>
      </c>
      <c r="K517" s="1"/>
      <c r="L517" s="171">
        <v>45623</v>
      </c>
      <c r="M517" s="1"/>
    </row>
    <row r="518" spans="1:13" s="19" customFormat="1" x14ac:dyDescent="0.25">
      <c r="A518" s="2"/>
      <c r="B518" s="2"/>
      <c r="C518" s="9">
        <v>11</v>
      </c>
      <c r="D518" s="9">
        <v>12</v>
      </c>
      <c r="E518" s="9">
        <v>23</v>
      </c>
      <c r="F518" s="9">
        <v>24</v>
      </c>
      <c r="G518" s="9">
        <v>55</v>
      </c>
      <c r="H518" s="9">
        <v>80</v>
      </c>
      <c r="I518" s="1"/>
      <c r="J518" s="9">
        <v>80</v>
      </c>
      <c r="K518" s="1"/>
      <c r="L518" s="171">
        <v>45621</v>
      </c>
      <c r="M518" s="1"/>
    </row>
    <row r="519" spans="1:13" s="19" customFormat="1" x14ac:dyDescent="0.25">
      <c r="A519" s="2"/>
      <c r="B519" s="2"/>
      <c r="C519" s="9">
        <v>15</v>
      </c>
      <c r="D519" s="9">
        <v>25</v>
      </c>
      <c r="E519" s="9">
        <v>62</v>
      </c>
      <c r="F519" s="9">
        <v>65</v>
      </c>
      <c r="G519" s="9">
        <v>77</v>
      </c>
      <c r="H519" s="9">
        <v>86</v>
      </c>
      <c r="I519" s="1"/>
      <c r="J519" s="9">
        <v>86</v>
      </c>
      <c r="K519" s="1"/>
      <c r="L519" s="171">
        <v>45619</v>
      </c>
      <c r="M519" s="1"/>
    </row>
    <row r="520" spans="1:13" s="19" customFormat="1" x14ac:dyDescent="0.25">
      <c r="A520" s="2"/>
      <c r="B520" s="2"/>
      <c r="C520" s="9">
        <v>5</v>
      </c>
      <c r="D520" s="9">
        <v>18</v>
      </c>
      <c r="E520" s="9">
        <v>29</v>
      </c>
      <c r="F520" s="9">
        <v>33</v>
      </c>
      <c r="G520" s="9">
        <v>70</v>
      </c>
      <c r="H520" s="9">
        <v>81</v>
      </c>
      <c r="I520" s="1"/>
      <c r="J520" s="9">
        <v>81</v>
      </c>
      <c r="K520" s="1"/>
      <c r="L520" s="171">
        <v>45616</v>
      </c>
      <c r="M520" s="1"/>
    </row>
    <row r="521" spans="1:13" s="19" customFormat="1" x14ac:dyDescent="0.25">
      <c r="A521" s="2"/>
      <c r="B521" s="2"/>
      <c r="C521" s="9">
        <v>2</v>
      </c>
      <c r="D521" s="9">
        <v>25</v>
      </c>
      <c r="E521" s="9">
        <v>36</v>
      </c>
      <c r="F521" s="9">
        <v>58</v>
      </c>
      <c r="G521" s="9">
        <v>79</v>
      </c>
      <c r="H521" s="9">
        <v>80</v>
      </c>
      <c r="I521" s="1"/>
      <c r="J521" s="9">
        <v>80</v>
      </c>
      <c r="K521" s="1"/>
      <c r="L521" s="171">
        <v>45614</v>
      </c>
      <c r="M521" s="1"/>
    </row>
    <row r="522" spans="1:13" s="19" customFormat="1" x14ac:dyDescent="0.25">
      <c r="A522" s="2"/>
      <c r="B522" s="2"/>
      <c r="C522" s="9">
        <v>28</v>
      </c>
      <c r="D522" s="9">
        <v>51</v>
      </c>
      <c r="E522" s="9">
        <v>54</v>
      </c>
      <c r="F522" s="9">
        <v>56</v>
      </c>
      <c r="G522" s="9">
        <v>59</v>
      </c>
      <c r="H522" s="9">
        <v>74</v>
      </c>
      <c r="I522" s="1"/>
      <c r="J522" s="9">
        <v>74</v>
      </c>
      <c r="K522" s="1"/>
      <c r="L522" s="171">
        <v>45612</v>
      </c>
      <c r="M522" s="1"/>
    </row>
    <row r="523" spans="1:13" s="19" customFormat="1" x14ac:dyDescent="0.25">
      <c r="A523" s="2"/>
      <c r="B523" s="2"/>
      <c r="C523" s="9">
        <v>5</v>
      </c>
      <c r="D523" s="9">
        <v>29</v>
      </c>
      <c r="E523" s="9">
        <v>30</v>
      </c>
      <c r="F523" s="9">
        <v>64</v>
      </c>
      <c r="G523" s="9">
        <v>84</v>
      </c>
      <c r="H523" s="9">
        <v>89</v>
      </c>
      <c r="I523" s="1"/>
      <c r="J523" s="9">
        <v>89</v>
      </c>
      <c r="K523" s="1"/>
      <c r="L523" s="171">
        <v>45609</v>
      </c>
      <c r="M523" s="1"/>
    </row>
    <row r="524" spans="1:13" s="19" customFormat="1" x14ac:dyDescent="0.25">
      <c r="A524" s="2"/>
      <c r="B524" s="2"/>
      <c r="C524" s="9">
        <v>4</v>
      </c>
      <c r="D524" s="9">
        <v>18</v>
      </c>
      <c r="E524" s="9">
        <v>46</v>
      </c>
      <c r="F524" s="9">
        <v>47</v>
      </c>
      <c r="G524" s="9">
        <v>64</v>
      </c>
      <c r="H524" s="9">
        <v>66</v>
      </c>
      <c r="I524" s="1"/>
      <c r="J524" s="9">
        <v>66</v>
      </c>
      <c r="K524" s="1"/>
      <c r="L524" s="171">
        <v>45576</v>
      </c>
      <c r="M524" s="1"/>
    </row>
    <row r="525" spans="1:13" s="19" customFormat="1" x14ac:dyDescent="0.25">
      <c r="A525" s="2"/>
      <c r="B525" s="2"/>
      <c r="C525" s="9">
        <v>15</v>
      </c>
      <c r="D525" s="9">
        <v>33</v>
      </c>
      <c r="E525" s="9">
        <v>36</v>
      </c>
      <c r="F525" s="9">
        <v>74</v>
      </c>
      <c r="G525" s="9">
        <v>78</v>
      </c>
      <c r="H525" s="9">
        <v>81</v>
      </c>
      <c r="I525" s="1"/>
      <c r="J525" s="9">
        <v>81</v>
      </c>
      <c r="K525" s="1"/>
      <c r="L525" s="171">
        <v>45605</v>
      </c>
      <c r="M525" s="1"/>
    </row>
    <row r="526" spans="1:13" s="19" customFormat="1" x14ac:dyDescent="0.25">
      <c r="A526" s="2"/>
      <c r="B526" s="2"/>
      <c r="C526" s="9">
        <v>4</v>
      </c>
      <c r="D526" s="9">
        <v>33</v>
      </c>
      <c r="E526" s="9">
        <v>37</v>
      </c>
      <c r="F526" s="9">
        <v>43</v>
      </c>
      <c r="G526" s="9">
        <v>46</v>
      </c>
      <c r="H526" s="9">
        <v>63</v>
      </c>
      <c r="I526" s="1"/>
      <c r="J526" s="9">
        <v>63</v>
      </c>
      <c r="K526" s="1"/>
      <c r="L526" s="171">
        <v>45602</v>
      </c>
      <c r="M526" s="1"/>
    </row>
    <row r="527" spans="1:13" s="19" customFormat="1" x14ac:dyDescent="0.25">
      <c r="A527" s="2"/>
      <c r="B527" s="2"/>
      <c r="C527" s="9">
        <v>9</v>
      </c>
      <c r="D527" s="9">
        <v>12</v>
      </c>
      <c r="E527" s="9">
        <v>26</v>
      </c>
      <c r="F527" s="9">
        <v>38</v>
      </c>
      <c r="G527" s="9">
        <v>63</v>
      </c>
      <c r="H527" s="9">
        <v>69</v>
      </c>
      <c r="I527" s="1"/>
      <c r="J527" s="9">
        <v>69</v>
      </c>
      <c r="K527" s="1"/>
      <c r="L527" s="171">
        <v>45600</v>
      </c>
      <c r="M527" s="1"/>
    </row>
    <row r="528" spans="1:13" s="19" customFormat="1" x14ac:dyDescent="0.25">
      <c r="A528" s="2"/>
      <c r="B528" s="2"/>
      <c r="C528" s="9">
        <v>33</v>
      </c>
      <c r="D528" s="9">
        <v>54</v>
      </c>
      <c r="E528" s="9">
        <v>66</v>
      </c>
      <c r="F528" s="9">
        <v>78</v>
      </c>
      <c r="G528" s="9">
        <v>80</v>
      </c>
      <c r="H528" s="9">
        <v>89</v>
      </c>
      <c r="I528" s="1"/>
      <c r="J528" s="9">
        <v>89</v>
      </c>
      <c r="K528" s="1"/>
      <c r="L528" s="171">
        <v>45598</v>
      </c>
      <c r="M528" s="1"/>
    </row>
    <row r="529" spans="1:13" s="19" customFormat="1" x14ac:dyDescent="0.25">
      <c r="A529" s="2"/>
      <c r="B529" s="2"/>
      <c r="C529" s="9">
        <v>3</v>
      </c>
      <c r="D529" s="9">
        <v>18</v>
      </c>
      <c r="E529" s="9">
        <v>22</v>
      </c>
      <c r="F529" s="9">
        <v>26</v>
      </c>
      <c r="G529" s="9">
        <v>48</v>
      </c>
      <c r="H529" s="9">
        <v>85</v>
      </c>
      <c r="I529" s="1"/>
      <c r="J529" s="9">
        <v>85</v>
      </c>
      <c r="K529" s="1"/>
      <c r="L529" s="171">
        <v>45595</v>
      </c>
      <c r="M529" s="1"/>
    </row>
    <row r="530" spans="1:13" s="19" customFormat="1" x14ac:dyDescent="0.25">
      <c r="A530" s="2"/>
      <c r="B530" s="2"/>
      <c r="C530" s="9">
        <v>8</v>
      </c>
      <c r="D530" s="9">
        <v>28</v>
      </c>
      <c r="E530" s="9">
        <v>43</v>
      </c>
      <c r="F530" s="9">
        <v>57</v>
      </c>
      <c r="G530" s="9">
        <v>75</v>
      </c>
      <c r="H530" s="9">
        <v>87</v>
      </c>
      <c r="I530" s="1"/>
      <c r="J530" s="9">
        <v>87</v>
      </c>
      <c r="K530" s="1"/>
      <c r="L530" s="171">
        <v>45593</v>
      </c>
      <c r="M530" s="1"/>
    </row>
    <row r="531" spans="1:13" s="19" customFormat="1" x14ac:dyDescent="0.25">
      <c r="A531" s="2"/>
      <c r="B531" s="2"/>
      <c r="C531" s="9">
        <v>8</v>
      </c>
      <c r="D531" s="9">
        <v>13</v>
      </c>
      <c r="E531" s="9">
        <v>14</v>
      </c>
      <c r="F531" s="9">
        <v>41</v>
      </c>
      <c r="G531" s="9">
        <v>47</v>
      </c>
      <c r="H531" s="9">
        <v>84</v>
      </c>
      <c r="I531" s="1"/>
      <c r="J531" s="9">
        <v>84</v>
      </c>
      <c r="K531" s="1"/>
      <c r="L531" s="171">
        <v>45591</v>
      </c>
      <c r="M531" s="1"/>
    </row>
    <row r="532" spans="1:13" s="19" customFormat="1" x14ac:dyDescent="0.25">
      <c r="A532" s="2"/>
      <c r="B532" s="2"/>
      <c r="C532" s="9">
        <v>14</v>
      </c>
      <c r="D532" s="9">
        <v>35</v>
      </c>
      <c r="E532" s="9">
        <v>38</v>
      </c>
      <c r="F532" s="9">
        <v>53</v>
      </c>
      <c r="G532" s="9">
        <v>60</v>
      </c>
      <c r="H532" s="9">
        <v>89</v>
      </c>
      <c r="I532" s="1"/>
      <c r="J532" s="9">
        <v>89</v>
      </c>
      <c r="K532" s="1"/>
      <c r="L532" s="171">
        <v>45588</v>
      </c>
      <c r="M532" s="1"/>
    </row>
    <row r="533" spans="1:13" s="19" customFormat="1" x14ac:dyDescent="0.25">
      <c r="A533" s="2"/>
      <c r="B533" s="2"/>
      <c r="C533" s="9">
        <v>20</v>
      </c>
      <c r="D533" s="9">
        <v>33</v>
      </c>
      <c r="E533" s="9">
        <v>52</v>
      </c>
      <c r="F533" s="9">
        <v>54</v>
      </c>
      <c r="G533" s="9">
        <v>59</v>
      </c>
      <c r="H533" s="9">
        <v>76</v>
      </c>
      <c r="I533" s="1"/>
      <c r="J533" s="9">
        <v>76</v>
      </c>
      <c r="K533" s="1"/>
      <c r="L533" s="171">
        <v>45586</v>
      </c>
      <c r="M533" s="1"/>
    </row>
    <row r="534" spans="1:13" s="19" customFormat="1" x14ac:dyDescent="0.25">
      <c r="A534" s="2"/>
      <c r="B534" s="2"/>
      <c r="C534" s="9">
        <v>8</v>
      </c>
      <c r="D534" s="9">
        <v>21</v>
      </c>
      <c r="E534" s="9">
        <v>22</v>
      </c>
      <c r="F534" s="9">
        <v>27</v>
      </c>
      <c r="G534" s="9">
        <v>49</v>
      </c>
      <c r="H534" s="9">
        <v>67</v>
      </c>
      <c r="I534" s="1"/>
      <c r="J534" s="9">
        <v>67</v>
      </c>
      <c r="K534" s="1"/>
      <c r="L534" s="171">
        <v>45584</v>
      </c>
      <c r="M534" s="1"/>
    </row>
    <row r="535" spans="1:13" s="19" customFormat="1" x14ac:dyDescent="0.25">
      <c r="A535" s="2"/>
      <c r="B535" s="2"/>
      <c r="C535" s="9">
        <v>4</v>
      </c>
      <c r="D535" s="9">
        <v>20</v>
      </c>
      <c r="E535" s="9">
        <v>43</v>
      </c>
      <c r="F535" s="9">
        <v>52</v>
      </c>
      <c r="G535" s="9">
        <v>69</v>
      </c>
      <c r="H535" s="9">
        <v>89</v>
      </c>
      <c r="I535" s="1"/>
      <c r="J535" s="9">
        <v>89</v>
      </c>
      <c r="K535" s="1"/>
      <c r="L535" s="171">
        <v>45581</v>
      </c>
      <c r="M535" s="1"/>
    </row>
    <row r="536" spans="1:13" s="19" customFormat="1" x14ac:dyDescent="0.25">
      <c r="A536" s="2"/>
      <c r="B536" s="2"/>
      <c r="C536" s="9">
        <v>8</v>
      </c>
      <c r="D536" s="9">
        <v>33</v>
      </c>
      <c r="E536" s="9">
        <v>50</v>
      </c>
      <c r="F536" s="9">
        <v>59</v>
      </c>
      <c r="G536" s="9">
        <v>71</v>
      </c>
      <c r="H536" s="9">
        <v>77</v>
      </c>
      <c r="I536" s="1"/>
      <c r="J536" s="9">
        <v>77</v>
      </c>
      <c r="K536" s="1"/>
      <c r="L536" s="171">
        <v>45579</v>
      </c>
      <c r="M536" s="1"/>
    </row>
    <row r="537" spans="1:13" s="19" customFormat="1" x14ac:dyDescent="0.25">
      <c r="A537" s="2"/>
      <c r="B537" s="2"/>
      <c r="C537" s="9">
        <v>2</v>
      </c>
      <c r="D537" s="9">
        <v>9</v>
      </c>
      <c r="E537" s="9">
        <v>10</v>
      </c>
      <c r="F537" s="9">
        <v>20</v>
      </c>
      <c r="G537" s="9">
        <v>44</v>
      </c>
      <c r="H537" s="9">
        <v>69</v>
      </c>
      <c r="I537" s="1"/>
      <c r="J537" s="9">
        <v>69</v>
      </c>
      <c r="K537" s="1"/>
      <c r="L537" s="171">
        <v>45577</v>
      </c>
      <c r="M537" s="1"/>
    </row>
    <row r="538" spans="1:13" s="19" customFormat="1" x14ac:dyDescent="0.25">
      <c r="A538" s="2"/>
      <c r="B538" s="2"/>
      <c r="C538" s="9">
        <v>49</v>
      </c>
      <c r="D538" s="9">
        <v>51</v>
      </c>
      <c r="E538" s="9">
        <v>63</v>
      </c>
      <c r="F538" s="9">
        <v>67</v>
      </c>
      <c r="G538" s="9">
        <v>89</v>
      </c>
      <c r="H538" s="9">
        <v>90</v>
      </c>
      <c r="I538" s="1"/>
      <c r="J538" s="9">
        <v>90</v>
      </c>
      <c r="K538" s="1"/>
      <c r="L538" s="171">
        <v>45574</v>
      </c>
      <c r="M538" s="1"/>
    </row>
    <row r="539" spans="1:13" s="19" customFormat="1" x14ac:dyDescent="0.25">
      <c r="A539" s="2"/>
      <c r="B539" s="2"/>
      <c r="C539" s="9">
        <v>27</v>
      </c>
      <c r="D539" s="9">
        <v>37</v>
      </c>
      <c r="E539" s="9">
        <v>44</v>
      </c>
      <c r="F539" s="9">
        <v>46</v>
      </c>
      <c r="G539" s="9">
        <v>79</v>
      </c>
      <c r="H539" s="9">
        <v>81</v>
      </c>
      <c r="I539" s="1"/>
      <c r="J539" s="9">
        <v>81</v>
      </c>
      <c r="K539" s="1"/>
      <c r="L539" s="171">
        <v>45572</v>
      </c>
      <c r="M539" s="1"/>
    </row>
    <row r="540" spans="1:13" s="19" customFormat="1" x14ac:dyDescent="0.25">
      <c r="A540" s="2"/>
      <c r="B540" s="2"/>
      <c r="C540" s="9">
        <v>4</v>
      </c>
      <c r="D540" s="9">
        <v>7</v>
      </c>
      <c r="E540" s="9">
        <v>30</v>
      </c>
      <c r="F540" s="9">
        <v>34</v>
      </c>
      <c r="G540" s="9">
        <v>48</v>
      </c>
      <c r="H540" s="9">
        <v>80</v>
      </c>
      <c r="I540" s="1"/>
      <c r="J540" s="9">
        <v>80</v>
      </c>
      <c r="K540" s="1"/>
      <c r="L540" s="171">
        <v>45570</v>
      </c>
      <c r="M540" s="1"/>
    </row>
    <row r="541" spans="1:13" s="19" customFormat="1" x14ac:dyDescent="0.25">
      <c r="A541" s="2"/>
      <c r="B541" s="2"/>
      <c r="C541" s="9">
        <v>22</v>
      </c>
      <c r="D541" s="9">
        <v>40</v>
      </c>
      <c r="E541" s="9">
        <v>54</v>
      </c>
      <c r="F541" s="9">
        <v>55</v>
      </c>
      <c r="G541" s="9">
        <v>61</v>
      </c>
      <c r="H541" s="9">
        <v>62</v>
      </c>
      <c r="I541" s="1"/>
      <c r="J541" s="9">
        <v>62</v>
      </c>
      <c r="K541" s="1"/>
      <c r="L541" s="171">
        <v>45567</v>
      </c>
      <c r="M541" s="1"/>
    </row>
    <row r="542" spans="1:13" s="19" customFormat="1" x14ac:dyDescent="0.25">
      <c r="A542" s="2"/>
      <c r="B542" s="2"/>
      <c r="C542" s="9">
        <v>30</v>
      </c>
      <c r="D542" s="9">
        <v>37</v>
      </c>
      <c r="E542" s="9">
        <v>39</v>
      </c>
      <c r="F542" s="9">
        <v>65</v>
      </c>
      <c r="G542" s="9">
        <v>77</v>
      </c>
      <c r="H542" s="9">
        <v>90</v>
      </c>
      <c r="I542" s="1"/>
      <c r="J542" s="9">
        <v>90</v>
      </c>
      <c r="K542" s="1"/>
      <c r="L542" s="171">
        <v>45565</v>
      </c>
      <c r="M542" s="1"/>
    </row>
    <row r="543" spans="1:13" s="19" customFormat="1" x14ac:dyDescent="0.25">
      <c r="A543" s="2"/>
      <c r="B543" s="2"/>
      <c r="C543" s="9">
        <v>49</v>
      </c>
      <c r="D543" s="9">
        <v>53</v>
      </c>
      <c r="E543" s="9">
        <v>54</v>
      </c>
      <c r="F543" s="9">
        <v>63</v>
      </c>
      <c r="G543" s="9">
        <v>67</v>
      </c>
      <c r="H543" s="9">
        <v>68</v>
      </c>
      <c r="I543" s="1"/>
      <c r="J543" s="9">
        <v>68</v>
      </c>
      <c r="K543" s="1"/>
      <c r="L543" s="171">
        <v>45563</v>
      </c>
      <c r="M543" s="1"/>
    </row>
    <row r="544" spans="1:13" s="19" customFormat="1" x14ac:dyDescent="0.25">
      <c r="A544" s="2"/>
      <c r="B544" s="2"/>
      <c r="C544" s="9">
        <v>5</v>
      </c>
      <c r="D544" s="9">
        <v>21</v>
      </c>
      <c r="E544" s="9">
        <v>25</v>
      </c>
      <c r="F544" s="9">
        <v>35</v>
      </c>
      <c r="G544" s="9">
        <v>56</v>
      </c>
      <c r="H544" s="9">
        <v>82</v>
      </c>
      <c r="I544" s="1"/>
      <c r="J544" s="9">
        <v>82</v>
      </c>
      <c r="K544" s="1"/>
      <c r="L544" s="171">
        <v>45560</v>
      </c>
      <c r="M544" s="1"/>
    </row>
    <row r="545" spans="1:13" s="19" customFormat="1" x14ac:dyDescent="0.25">
      <c r="A545" s="2"/>
      <c r="B545" s="2"/>
      <c r="C545" s="9">
        <v>3</v>
      </c>
      <c r="D545" s="9">
        <v>14</v>
      </c>
      <c r="E545" s="9">
        <v>16</v>
      </c>
      <c r="F545" s="9">
        <v>54</v>
      </c>
      <c r="G545" s="9">
        <v>58</v>
      </c>
      <c r="H545" s="9">
        <v>69</v>
      </c>
      <c r="I545" s="1"/>
      <c r="J545" s="9">
        <v>69</v>
      </c>
      <c r="K545" s="1"/>
      <c r="L545" s="171">
        <v>45558</v>
      </c>
      <c r="M545" s="1"/>
    </row>
    <row r="546" spans="1:13" s="19" customFormat="1" x14ac:dyDescent="0.25">
      <c r="A546" s="2"/>
      <c r="B546" s="2"/>
      <c r="C546" s="9">
        <v>23</v>
      </c>
      <c r="D546" s="9">
        <v>44</v>
      </c>
      <c r="E546" s="9">
        <v>53</v>
      </c>
      <c r="F546" s="9">
        <v>58</v>
      </c>
      <c r="G546" s="9">
        <v>88</v>
      </c>
      <c r="H546" s="9">
        <v>90</v>
      </c>
      <c r="I546" s="1"/>
      <c r="J546" s="9">
        <v>90</v>
      </c>
      <c r="K546" s="1"/>
      <c r="L546" s="171">
        <v>45556</v>
      </c>
      <c r="M546" s="1"/>
    </row>
    <row r="547" spans="1:13" s="19" customFormat="1" x14ac:dyDescent="0.25">
      <c r="A547" s="2"/>
      <c r="B547" s="2"/>
      <c r="C547" s="9">
        <v>17</v>
      </c>
      <c r="D547" s="9">
        <v>27</v>
      </c>
      <c r="E547" s="9">
        <v>48</v>
      </c>
      <c r="F547" s="9">
        <v>50</v>
      </c>
      <c r="G547" s="9">
        <v>71</v>
      </c>
      <c r="H547" s="9">
        <v>88</v>
      </c>
      <c r="I547" s="1"/>
      <c r="J547" s="9">
        <v>88</v>
      </c>
      <c r="K547" s="1"/>
      <c r="L547" s="171">
        <v>45553</v>
      </c>
      <c r="M547" s="1"/>
    </row>
    <row r="548" spans="1:13" s="19" customFormat="1" x14ac:dyDescent="0.25">
      <c r="A548" s="2"/>
      <c r="B548" s="2"/>
      <c r="C548" s="9">
        <v>1</v>
      </c>
      <c r="D548" s="9">
        <v>17</v>
      </c>
      <c r="E548" s="9">
        <v>25</v>
      </c>
      <c r="F548" s="9">
        <v>35</v>
      </c>
      <c r="G548" s="9">
        <v>44</v>
      </c>
      <c r="H548" s="9">
        <v>90</v>
      </c>
      <c r="I548" s="1"/>
      <c r="J548" s="9">
        <v>90</v>
      </c>
      <c r="K548" s="1"/>
      <c r="L548" s="171">
        <v>45551</v>
      </c>
      <c r="M548" s="1"/>
    </row>
    <row r="549" spans="1:13" s="19" customFormat="1" x14ac:dyDescent="0.25">
      <c r="A549" s="2"/>
      <c r="B549" s="2"/>
      <c r="C549" s="9">
        <v>9</v>
      </c>
      <c r="D549" s="9">
        <v>19</v>
      </c>
      <c r="E549" s="9">
        <v>26</v>
      </c>
      <c r="F549" s="9">
        <v>41</v>
      </c>
      <c r="G549" s="9">
        <v>77</v>
      </c>
      <c r="H549" s="9">
        <v>89</v>
      </c>
      <c r="I549" s="1"/>
      <c r="J549" s="9">
        <v>89</v>
      </c>
      <c r="K549" s="1"/>
      <c r="L549" s="171">
        <v>45549</v>
      </c>
      <c r="M549" s="1"/>
    </row>
    <row r="550" spans="1:13" s="19" customFormat="1" x14ac:dyDescent="0.25">
      <c r="A550" s="2"/>
      <c r="B550" s="2"/>
      <c r="C550" s="9">
        <v>14</v>
      </c>
      <c r="D550" s="9">
        <v>35</v>
      </c>
      <c r="E550" s="9">
        <v>56</v>
      </c>
      <c r="F550" s="9">
        <v>60</v>
      </c>
      <c r="G550" s="9">
        <v>82</v>
      </c>
      <c r="H550" s="9">
        <v>87</v>
      </c>
      <c r="I550" s="1"/>
      <c r="J550" s="9">
        <v>87</v>
      </c>
      <c r="K550" s="1"/>
      <c r="L550" s="171">
        <v>45546</v>
      </c>
      <c r="M550" s="1"/>
    </row>
    <row r="551" spans="1:13" s="19" customFormat="1" x14ac:dyDescent="0.25">
      <c r="A551" s="2"/>
      <c r="B551" s="2"/>
      <c r="C551" s="9">
        <v>4</v>
      </c>
      <c r="D551" s="9">
        <v>5</v>
      </c>
      <c r="E551" s="9">
        <v>13</v>
      </c>
      <c r="F551" s="9">
        <v>15</v>
      </c>
      <c r="G551" s="9">
        <v>48</v>
      </c>
      <c r="H551" s="9">
        <v>90</v>
      </c>
      <c r="I551" s="1"/>
      <c r="J551" s="9">
        <v>90</v>
      </c>
      <c r="K551" s="1"/>
      <c r="L551" s="171">
        <v>45544</v>
      </c>
      <c r="M551" s="1"/>
    </row>
    <row r="552" spans="1:13" s="19" customFormat="1" x14ac:dyDescent="0.25">
      <c r="A552" s="2"/>
      <c r="B552" s="2"/>
      <c r="C552" s="9">
        <v>8</v>
      </c>
      <c r="D552" s="9">
        <v>13</v>
      </c>
      <c r="E552" s="9">
        <v>16</v>
      </c>
      <c r="F552" s="9">
        <v>30</v>
      </c>
      <c r="G552" s="9">
        <v>38</v>
      </c>
      <c r="H552" s="9">
        <v>84</v>
      </c>
      <c r="I552" s="1"/>
      <c r="J552" s="9">
        <v>84</v>
      </c>
      <c r="K552" s="1"/>
      <c r="L552" s="171">
        <v>45542</v>
      </c>
      <c r="M552" s="1"/>
    </row>
    <row r="553" spans="1:13" s="19" customFormat="1" x14ac:dyDescent="0.25">
      <c r="A553" s="2"/>
      <c r="B553" s="2"/>
      <c r="C553" s="9">
        <v>57</v>
      </c>
      <c r="D553" s="9">
        <v>58</v>
      </c>
      <c r="E553" s="9">
        <v>62</v>
      </c>
      <c r="F553" s="9">
        <v>66</v>
      </c>
      <c r="G553" s="9">
        <v>84</v>
      </c>
      <c r="H553" s="9">
        <v>89</v>
      </c>
      <c r="I553" s="1"/>
      <c r="J553" s="9">
        <v>89</v>
      </c>
      <c r="K553" s="1"/>
      <c r="L553" s="171">
        <v>45539</v>
      </c>
      <c r="M553" s="1"/>
    </row>
    <row r="554" spans="1:13" s="19" customFormat="1" x14ac:dyDescent="0.25">
      <c r="A554" s="2"/>
      <c r="B554" s="2"/>
      <c r="C554" s="9">
        <v>15</v>
      </c>
      <c r="D554" s="9">
        <v>30</v>
      </c>
      <c r="E554" s="9">
        <v>35</v>
      </c>
      <c r="F554" s="9">
        <v>45</v>
      </c>
      <c r="G554" s="9">
        <v>61</v>
      </c>
      <c r="H554" s="9">
        <v>68</v>
      </c>
      <c r="I554" s="1"/>
      <c r="J554" s="9">
        <v>68</v>
      </c>
      <c r="K554" s="1"/>
      <c r="L554" s="171">
        <v>45537</v>
      </c>
      <c r="M554" s="1"/>
    </row>
    <row r="555" spans="1:13" s="19" customFormat="1" x14ac:dyDescent="0.25">
      <c r="A555" s="2"/>
      <c r="B555" s="2"/>
      <c r="C555" s="9">
        <v>23</v>
      </c>
      <c r="D555" s="9">
        <v>45</v>
      </c>
      <c r="E555" s="9">
        <v>48</v>
      </c>
      <c r="F555" s="9">
        <v>51</v>
      </c>
      <c r="G555" s="9">
        <v>73</v>
      </c>
      <c r="H555" s="9">
        <v>90</v>
      </c>
      <c r="I555" s="1"/>
      <c r="J555" s="9">
        <v>90</v>
      </c>
      <c r="K555" s="1"/>
      <c r="L555" s="171">
        <v>45535</v>
      </c>
      <c r="M555" s="1"/>
    </row>
    <row r="556" spans="1:13" s="19" customFormat="1" x14ac:dyDescent="0.25">
      <c r="A556" s="2"/>
      <c r="B556" s="2"/>
      <c r="C556" s="9">
        <v>3</v>
      </c>
      <c r="D556" s="9">
        <v>20</v>
      </c>
      <c r="E556" s="9">
        <v>34</v>
      </c>
      <c r="F556" s="9">
        <v>45</v>
      </c>
      <c r="G556" s="9">
        <v>60</v>
      </c>
      <c r="H556" s="9">
        <v>71</v>
      </c>
      <c r="I556" s="1"/>
      <c r="J556" s="9">
        <v>71</v>
      </c>
      <c r="K556" s="1"/>
      <c r="L556" s="171">
        <v>45532</v>
      </c>
      <c r="M556" s="1"/>
    </row>
    <row r="557" spans="1:13" s="19" customFormat="1" x14ac:dyDescent="0.25">
      <c r="A557" s="2"/>
      <c r="B557" s="2"/>
      <c r="C557" s="9">
        <v>35</v>
      </c>
      <c r="D557" s="9">
        <v>45</v>
      </c>
      <c r="E557" s="9">
        <v>48</v>
      </c>
      <c r="F557" s="9">
        <v>50</v>
      </c>
      <c r="G557" s="9">
        <v>63</v>
      </c>
      <c r="H557" s="9">
        <v>69</v>
      </c>
      <c r="I557" s="1"/>
      <c r="J557" s="9">
        <v>69</v>
      </c>
      <c r="K557" s="1"/>
      <c r="L557" s="171">
        <v>45530</v>
      </c>
      <c r="M557" s="1"/>
    </row>
    <row r="558" spans="1:13" s="19" customFormat="1" x14ac:dyDescent="0.25">
      <c r="A558" s="2"/>
      <c r="B558" s="2"/>
      <c r="C558" s="9">
        <v>10</v>
      </c>
      <c r="D558" s="9">
        <v>13</v>
      </c>
      <c r="E558" s="9">
        <v>19</v>
      </c>
      <c r="F558" s="9">
        <v>39</v>
      </c>
      <c r="G558" s="9">
        <v>87</v>
      </c>
      <c r="H558" s="9">
        <v>89</v>
      </c>
      <c r="I558" s="1"/>
      <c r="J558" s="9">
        <v>89</v>
      </c>
      <c r="K558" s="1"/>
      <c r="L558" s="171">
        <v>45528</v>
      </c>
      <c r="M558" s="1"/>
    </row>
    <row r="559" spans="1:13" s="19" customFormat="1" x14ac:dyDescent="0.25">
      <c r="A559" s="2"/>
      <c r="B559" s="2"/>
      <c r="C559" s="9">
        <v>6</v>
      </c>
      <c r="D559" s="9">
        <v>12</v>
      </c>
      <c r="E559" s="9">
        <v>16</v>
      </c>
      <c r="F559" s="9">
        <v>29</v>
      </c>
      <c r="G559" s="9">
        <v>63</v>
      </c>
      <c r="H559" s="9">
        <v>72</v>
      </c>
      <c r="I559" s="1"/>
      <c r="J559" s="9">
        <v>72</v>
      </c>
      <c r="K559" s="1"/>
      <c r="L559" s="171">
        <v>45525</v>
      </c>
      <c r="M559" s="1"/>
    </row>
    <row r="560" spans="1:13" s="19" customFormat="1" x14ac:dyDescent="0.25">
      <c r="A560" s="2"/>
      <c r="B560" s="2"/>
      <c r="C560" s="9">
        <v>3</v>
      </c>
      <c r="D560" s="9">
        <v>6</v>
      </c>
      <c r="E560" s="9">
        <v>36</v>
      </c>
      <c r="F560" s="9">
        <v>45</v>
      </c>
      <c r="G560" s="9">
        <v>67</v>
      </c>
      <c r="H560" s="9">
        <v>82</v>
      </c>
      <c r="I560" s="1"/>
      <c r="J560" s="9">
        <v>82</v>
      </c>
      <c r="K560" s="1"/>
      <c r="L560" s="171">
        <v>45523</v>
      </c>
      <c r="M560" s="1"/>
    </row>
    <row r="561" spans="1:13" s="19" customFormat="1" x14ac:dyDescent="0.25">
      <c r="A561" s="2"/>
      <c r="B561" s="2"/>
      <c r="C561" s="9">
        <v>3</v>
      </c>
      <c r="D561" s="9">
        <v>19</v>
      </c>
      <c r="E561" s="9">
        <v>32</v>
      </c>
      <c r="F561" s="9">
        <v>66</v>
      </c>
      <c r="G561" s="9">
        <v>71</v>
      </c>
      <c r="H561" s="9">
        <v>81</v>
      </c>
      <c r="I561" s="1"/>
      <c r="J561" s="9">
        <v>81</v>
      </c>
      <c r="K561" s="1"/>
      <c r="L561" s="171">
        <v>45521</v>
      </c>
      <c r="M561" s="1"/>
    </row>
    <row r="562" spans="1:13" s="19" customFormat="1" x14ac:dyDescent="0.25">
      <c r="A562" s="2"/>
      <c r="B562" s="2"/>
      <c r="C562" s="9">
        <v>1</v>
      </c>
      <c r="D562" s="9">
        <v>8</v>
      </c>
      <c r="E562" s="9">
        <v>10</v>
      </c>
      <c r="F562" s="9">
        <v>37</v>
      </c>
      <c r="G562" s="9">
        <v>54</v>
      </c>
      <c r="H562" s="9">
        <v>77</v>
      </c>
      <c r="I562" s="1"/>
      <c r="J562" s="9">
        <v>77</v>
      </c>
      <c r="K562" s="1"/>
      <c r="L562" s="171">
        <v>45518</v>
      </c>
      <c r="M562" s="1"/>
    </row>
    <row r="563" spans="1:13" s="19" customFormat="1" x14ac:dyDescent="0.25">
      <c r="A563" s="2"/>
      <c r="B563" s="2"/>
      <c r="C563" s="9">
        <v>16</v>
      </c>
      <c r="D563" s="9">
        <v>24</v>
      </c>
      <c r="E563" s="9">
        <v>37</v>
      </c>
      <c r="F563" s="9">
        <v>73</v>
      </c>
      <c r="G563" s="9">
        <v>77</v>
      </c>
      <c r="H563" s="9">
        <v>85</v>
      </c>
      <c r="I563" s="1"/>
      <c r="J563" s="9">
        <v>85</v>
      </c>
      <c r="K563" s="1"/>
      <c r="L563" s="171">
        <v>45516</v>
      </c>
      <c r="M563" s="1"/>
    </row>
    <row r="564" spans="1:13" s="19" customFormat="1" x14ac:dyDescent="0.25">
      <c r="A564" s="2"/>
      <c r="B564" s="2"/>
      <c r="C564" s="9">
        <v>2</v>
      </c>
      <c r="D564" s="9">
        <v>19</v>
      </c>
      <c r="E564" s="9">
        <v>34</v>
      </c>
      <c r="F564" s="9">
        <v>35</v>
      </c>
      <c r="G564" s="9">
        <v>38</v>
      </c>
      <c r="H564" s="9">
        <v>61</v>
      </c>
      <c r="I564" s="1"/>
      <c r="J564" s="9">
        <v>61</v>
      </c>
      <c r="K564" s="1"/>
      <c r="L564" s="171">
        <v>45514</v>
      </c>
      <c r="M564" s="1"/>
    </row>
    <row r="565" spans="1:13" s="19" customFormat="1" x14ac:dyDescent="0.25">
      <c r="A565" s="2"/>
      <c r="B565" s="2"/>
      <c r="C565" s="9">
        <v>19</v>
      </c>
      <c r="D565" s="9">
        <v>46</v>
      </c>
      <c r="E565" s="9">
        <v>54</v>
      </c>
      <c r="F565" s="9">
        <v>56</v>
      </c>
      <c r="G565" s="9">
        <v>80</v>
      </c>
      <c r="H565" s="9">
        <v>82</v>
      </c>
      <c r="I565" s="1"/>
      <c r="J565" s="9">
        <v>82</v>
      </c>
      <c r="K565" s="1"/>
      <c r="L565" s="171">
        <v>45511</v>
      </c>
      <c r="M565" s="1"/>
    </row>
    <row r="566" spans="1:13" s="19" customFormat="1" x14ac:dyDescent="0.25">
      <c r="A566" s="2"/>
      <c r="B566" s="2"/>
      <c r="C566" s="9">
        <v>15</v>
      </c>
      <c r="D566" s="9">
        <v>17</v>
      </c>
      <c r="E566" s="9">
        <v>46</v>
      </c>
      <c r="F566" s="9">
        <v>51</v>
      </c>
      <c r="G566" s="9">
        <v>66</v>
      </c>
      <c r="H566" s="9">
        <v>72</v>
      </c>
      <c r="I566" s="1"/>
      <c r="J566" s="9">
        <v>72</v>
      </c>
      <c r="K566" s="1"/>
      <c r="L566" s="171">
        <v>45509</v>
      </c>
      <c r="M566" s="1"/>
    </row>
    <row r="567" spans="1:13" s="19" customFormat="1" x14ac:dyDescent="0.25">
      <c r="A567" s="2"/>
      <c r="B567" s="2"/>
      <c r="C567" s="9">
        <v>10</v>
      </c>
      <c r="D567" s="9">
        <v>13</v>
      </c>
      <c r="E567" s="9">
        <v>35</v>
      </c>
      <c r="F567" s="9">
        <v>42</v>
      </c>
      <c r="G567" s="9">
        <v>60</v>
      </c>
      <c r="H567" s="9">
        <v>87</v>
      </c>
      <c r="I567" s="1"/>
      <c r="J567" s="9">
        <v>87</v>
      </c>
      <c r="K567" s="1"/>
      <c r="L567" s="171">
        <v>45507</v>
      </c>
      <c r="M567" s="1"/>
    </row>
    <row r="568" spans="1:13" s="19" customFormat="1" x14ac:dyDescent="0.25">
      <c r="A568" s="2"/>
      <c r="B568" s="2"/>
      <c r="C568" s="9">
        <v>28</v>
      </c>
      <c r="D568" s="9">
        <v>50</v>
      </c>
      <c r="E568" s="9">
        <v>52</v>
      </c>
      <c r="F568" s="9">
        <v>61</v>
      </c>
      <c r="G568" s="9">
        <v>79</v>
      </c>
      <c r="H568" s="9">
        <v>89</v>
      </c>
      <c r="I568" s="1"/>
      <c r="J568" s="9">
        <v>89</v>
      </c>
      <c r="K568" s="1"/>
      <c r="L568" s="171">
        <v>45504</v>
      </c>
      <c r="M568" s="1"/>
    </row>
    <row r="569" spans="1:13" s="19" customFormat="1" x14ac:dyDescent="0.25">
      <c r="A569" s="2"/>
      <c r="B569" s="2"/>
      <c r="C569" s="9">
        <v>3</v>
      </c>
      <c r="D569" s="9">
        <v>24</v>
      </c>
      <c r="E569" s="9">
        <v>54</v>
      </c>
      <c r="F569" s="9">
        <v>72</v>
      </c>
      <c r="G569" s="9">
        <v>75</v>
      </c>
      <c r="H569" s="9">
        <v>84</v>
      </c>
      <c r="I569" s="1"/>
      <c r="J569" s="9">
        <v>84</v>
      </c>
      <c r="K569" s="1"/>
      <c r="L569" s="171">
        <v>45502</v>
      </c>
      <c r="M569" s="1"/>
    </row>
    <row r="570" spans="1:13" s="19" customFormat="1" x14ac:dyDescent="0.25">
      <c r="A570" s="2"/>
      <c r="B570" s="2"/>
      <c r="C570" s="9">
        <v>14</v>
      </c>
      <c r="D570" s="9">
        <v>21</v>
      </c>
      <c r="E570" s="9">
        <v>45</v>
      </c>
      <c r="F570" s="9">
        <v>56</v>
      </c>
      <c r="G570" s="9">
        <v>70</v>
      </c>
      <c r="H570" s="9">
        <v>76</v>
      </c>
      <c r="I570" s="1"/>
      <c r="J570" s="9">
        <v>76</v>
      </c>
      <c r="K570" s="1"/>
      <c r="L570" s="171">
        <v>45500</v>
      </c>
      <c r="M570" s="1"/>
    </row>
    <row r="571" spans="1:13" s="19" customFormat="1" x14ac:dyDescent="0.25">
      <c r="A571" s="2"/>
      <c r="B571" s="2"/>
      <c r="C571" s="9">
        <v>1</v>
      </c>
      <c r="D571" s="9">
        <v>18</v>
      </c>
      <c r="E571" s="9">
        <v>31</v>
      </c>
      <c r="F571" s="9">
        <v>46</v>
      </c>
      <c r="G571" s="9">
        <v>61</v>
      </c>
      <c r="H571" s="9">
        <v>84</v>
      </c>
      <c r="I571" s="1"/>
      <c r="J571" s="9">
        <v>84</v>
      </c>
      <c r="K571" s="1"/>
      <c r="L571" s="171">
        <v>45497</v>
      </c>
      <c r="M571" s="1"/>
    </row>
    <row r="572" spans="1:13" s="19" customFormat="1" x14ac:dyDescent="0.25">
      <c r="A572" s="2"/>
      <c r="B572" s="2"/>
      <c r="C572" s="9">
        <v>1</v>
      </c>
      <c r="D572" s="9">
        <v>38</v>
      </c>
      <c r="E572" s="9">
        <v>56</v>
      </c>
      <c r="F572" s="9">
        <v>60</v>
      </c>
      <c r="G572" s="9">
        <v>64</v>
      </c>
      <c r="H572" s="9">
        <v>87</v>
      </c>
      <c r="I572" s="1"/>
      <c r="J572" s="9">
        <v>87</v>
      </c>
      <c r="K572" s="1"/>
      <c r="L572" s="171">
        <v>45495</v>
      </c>
      <c r="M572" s="1"/>
    </row>
    <row r="573" spans="1:13" s="19" customFormat="1" x14ac:dyDescent="0.25">
      <c r="A573" s="2"/>
      <c r="B573" s="2"/>
      <c r="C573" s="9">
        <v>7</v>
      </c>
      <c r="D573" s="9">
        <v>23</v>
      </c>
      <c r="E573" s="9">
        <v>45</v>
      </c>
      <c r="F573" s="9">
        <v>58</v>
      </c>
      <c r="G573" s="9">
        <v>60</v>
      </c>
      <c r="H573" s="9">
        <v>73</v>
      </c>
      <c r="I573" s="1"/>
      <c r="J573" s="9">
        <v>73</v>
      </c>
      <c r="K573" s="1"/>
      <c r="L573" s="171">
        <v>45493</v>
      </c>
      <c r="M573" s="1"/>
    </row>
    <row r="574" spans="1:13" s="19" customFormat="1" x14ac:dyDescent="0.25">
      <c r="A574" s="2"/>
      <c r="B574" s="2"/>
      <c r="C574" s="9">
        <v>42</v>
      </c>
      <c r="D574" s="9">
        <v>52</v>
      </c>
      <c r="E574" s="9">
        <v>57</v>
      </c>
      <c r="F574" s="9">
        <v>60</v>
      </c>
      <c r="G574" s="9">
        <v>63</v>
      </c>
      <c r="H574" s="9">
        <v>73</v>
      </c>
      <c r="I574" s="1"/>
      <c r="J574" s="9">
        <v>73</v>
      </c>
      <c r="K574" s="1"/>
      <c r="L574" s="171">
        <v>45490</v>
      </c>
      <c r="M574" s="1"/>
    </row>
    <row r="575" spans="1:13" s="19" customFormat="1" x14ac:dyDescent="0.25">
      <c r="A575" s="2"/>
      <c r="B575" s="2"/>
      <c r="C575" s="9">
        <v>2</v>
      </c>
      <c r="D575" s="9">
        <v>8</v>
      </c>
      <c r="E575" s="9">
        <v>23</v>
      </c>
      <c r="F575" s="9">
        <v>48</v>
      </c>
      <c r="G575" s="9">
        <v>63</v>
      </c>
      <c r="H575" s="9">
        <v>83</v>
      </c>
      <c r="I575" s="1"/>
      <c r="J575" s="9">
        <v>83</v>
      </c>
      <c r="K575" s="1"/>
      <c r="L575" s="171">
        <v>45488</v>
      </c>
      <c r="M575" s="1"/>
    </row>
    <row r="576" spans="1:13" s="19" customFormat="1" x14ac:dyDescent="0.25">
      <c r="A576" s="2"/>
      <c r="B576" s="2"/>
      <c r="C576" s="9">
        <v>6</v>
      </c>
      <c r="D576" s="9">
        <v>29</v>
      </c>
      <c r="E576" s="9">
        <v>38</v>
      </c>
      <c r="F576" s="9">
        <v>69</v>
      </c>
      <c r="G576" s="9">
        <v>78</v>
      </c>
      <c r="H576" s="9">
        <v>79</v>
      </c>
      <c r="I576" s="1"/>
      <c r="J576" s="9">
        <v>79</v>
      </c>
      <c r="K576" s="1"/>
      <c r="L576" s="171">
        <v>45486</v>
      </c>
      <c r="M576" s="1"/>
    </row>
    <row r="577" spans="1:13" s="19" customFormat="1" x14ac:dyDescent="0.25">
      <c r="A577" s="2"/>
      <c r="B577" s="2"/>
      <c r="C577" s="9">
        <v>15</v>
      </c>
      <c r="D577" s="9">
        <v>24</v>
      </c>
      <c r="E577" s="9">
        <v>31</v>
      </c>
      <c r="F577" s="9">
        <v>40</v>
      </c>
      <c r="G577" s="9">
        <v>48</v>
      </c>
      <c r="H577" s="9">
        <v>90</v>
      </c>
      <c r="I577" s="1"/>
      <c r="J577" s="9">
        <v>90</v>
      </c>
      <c r="K577" s="1"/>
      <c r="L577" s="171">
        <v>45483</v>
      </c>
      <c r="M577" s="1"/>
    </row>
    <row r="578" spans="1:13" s="19" customFormat="1" x14ac:dyDescent="0.25">
      <c r="A578" s="2"/>
      <c r="B578" s="2"/>
      <c r="C578" s="9">
        <v>6</v>
      </c>
      <c r="D578" s="9">
        <v>35</v>
      </c>
      <c r="E578" s="9">
        <v>44</v>
      </c>
      <c r="F578" s="9">
        <v>53</v>
      </c>
      <c r="G578" s="9">
        <v>57</v>
      </c>
      <c r="H578" s="9">
        <v>85</v>
      </c>
      <c r="I578" s="1"/>
      <c r="J578" s="9">
        <v>85</v>
      </c>
      <c r="K578" s="1"/>
      <c r="L578" s="171">
        <v>45481</v>
      </c>
      <c r="M578" s="1"/>
    </row>
    <row r="579" spans="1:13" s="19" customFormat="1" x14ac:dyDescent="0.25">
      <c r="A579" s="2"/>
      <c r="B579" s="2"/>
      <c r="C579" s="9">
        <v>26</v>
      </c>
      <c r="D579" s="9">
        <v>32</v>
      </c>
      <c r="E579" s="9">
        <v>35</v>
      </c>
      <c r="F579" s="9">
        <v>43</v>
      </c>
      <c r="G579" s="9">
        <v>56</v>
      </c>
      <c r="H579" s="9">
        <v>81</v>
      </c>
      <c r="I579" s="1"/>
      <c r="J579" s="9">
        <v>81</v>
      </c>
      <c r="K579" s="1"/>
      <c r="L579" s="171">
        <v>45479</v>
      </c>
      <c r="M579" s="1"/>
    </row>
    <row r="580" spans="1:13" s="19" customFormat="1" x14ac:dyDescent="0.25">
      <c r="A580" s="2"/>
      <c r="B580" s="2"/>
      <c r="C580" s="9">
        <v>10</v>
      </c>
      <c r="D580" s="9">
        <v>12</v>
      </c>
      <c r="E580" s="9">
        <v>32</v>
      </c>
      <c r="F580" s="9">
        <v>60</v>
      </c>
      <c r="G580" s="9">
        <v>77</v>
      </c>
      <c r="H580" s="9">
        <v>87</v>
      </c>
      <c r="I580" s="1"/>
      <c r="J580" s="9">
        <v>87</v>
      </c>
      <c r="K580" s="1"/>
      <c r="L580" s="171">
        <v>45476</v>
      </c>
      <c r="M580" s="1"/>
    </row>
    <row r="581" spans="1:13" s="19" customFormat="1" x14ac:dyDescent="0.25">
      <c r="A581" s="2"/>
      <c r="B581" s="2"/>
      <c r="C581" s="9">
        <v>13</v>
      </c>
      <c r="D581" s="9">
        <v>36</v>
      </c>
      <c r="E581" s="9">
        <v>40</v>
      </c>
      <c r="F581" s="9">
        <v>44</v>
      </c>
      <c r="G581" s="9">
        <v>53</v>
      </c>
      <c r="H581" s="9">
        <v>75</v>
      </c>
      <c r="I581" s="1"/>
      <c r="J581" s="9">
        <v>75</v>
      </c>
      <c r="K581" s="1"/>
      <c r="L581" s="171">
        <v>45474</v>
      </c>
      <c r="M581" s="1"/>
    </row>
    <row r="582" spans="1:13" s="19" customFormat="1" x14ac:dyDescent="0.25">
      <c r="A582" s="2"/>
      <c r="B582" s="2"/>
      <c r="C582" s="9">
        <v>8</v>
      </c>
      <c r="D582" s="9">
        <v>40</v>
      </c>
      <c r="E582" s="9">
        <v>46</v>
      </c>
      <c r="F582" s="9">
        <v>47</v>
      </c>
      <c r="G582" s="9">
        <v>57</v>
      </c>
      <c r="H582" s="9">
        <v>84</v>
      </c>
      <c r="I582" s="1"/>
      <c r="J582" s="9">
        <v>84</v>
      </c>
      <c r="K582" s="1"/>
      <c r="L582" s="171">
        <v>45472</v>
      </c>
      <c r="M582" s="1"/>
    </row>
    <row r="583" spans="1:13" s="19" customFormat="1" x14ac:dyDescent="0.25">
      <c r="A583" s="2"/>
      <c r="B583" s="2"/>
      <c r="C583" s="9">
        <v>18</v>
      </c>
      <c r="D583" s="9">
        <v>33</v>
      </c>
      <c r="E583" s="9">
        <v>38</v>
      </c>
      <c r="F583" s="9">
        <v>48</v>
      </c>
      <c r="G583" s="9">
        <v>52</v>
      </c>
      <c r="H583" s="9">
        <v>75</v>
      </c>
      <c r="I583" s="1"/>
      <c r="J583" s="9">
        <v>75</v>
      </c>
      <c r="K583" s="1"/>
      <c r="L583" s="171">
        <v>45469</v>
      </c>
      <c r="M583" s="1"/>
    </row>
    <row r="584" spans="1:13" s="19" customFormat="1" x14ac:dyDescent="0.25">
      <c r="A584" s="2"/>
      <c r="B584" s="2"/>
      <c r="C584" s="9">
        <v>18</v>
      </c>
      <c r="D584" s="9">
        <v>26</v>
      </c>
      <c r="E584" s="9">
        <v>44</v>
      </c>
      <c r="F584" s="9">
        <v>63</v>
      </c>
      <c r="G584" s="9">
        <v>64</v>
      </c>
      <c r="H584" s="9">
        <v>72</v>
      </c>
      <c r="I584" s="1"/>
      <c r="J584" s="9">
        <v>72</v>
      </c>
      <c r="K584" s="1"/>
      <c r="L584" s="171">
        <v>45467</v>
      </c>
      <c r="M584" s="1"/>
    </row>
    <row r="585" spans="1:13" s="19" customFormat="1" x14ac:dyDescent="0.25">
      <c r="A585" s="2"/>
      <c r="B585" s="2"/>
      <c r="C585" s="9">
        <v>19</v>
      </c>
      <c r="D585" s="9">
        <v>30</v>
      </c>
      <c r="E585" s="9">
        <v>45</v>
      </c>
      <c r="F585" s="9">
        <v>57</v>
      </c>
      <c r="G585" s="9">
        <v>78</v>
      </c>
      <c r="H585" s="9">
        <v>87</v>
      </c>
      <c r="I585" s="1"/>
      <c r="J585" s="9">
        <v>87</v>
      </c>
      <c r="K585" s="1"/>
      <c r="L585" s="171">
        <v>45465</v>
      </c>
      <c r="M585" s="1"/>
    </row>
    <row r="586" spans="1:13" s="19" customFormat="1" x14ac:dyDescent="0.25">
      <c r="A586" s="2"/>
      <c r="B586" s="2"/>
      <c r="C586" s="9">
        <v>12</v>
      </c>
      <c r="D586" s="9">
        <v>16</v>
      </c>
      <c r="E586" s="9">
        <v>33</v>
      </c>
      <c r="F586" s="9">
        <v>62</v>
      </c>
      <c r="G586" s="9">
        <v>80</v>
      </c>
      <c r="H586" s="9">
        <v>84</v>
      </c>
      <c r="I586" s="1"/>
      <c r="J586" s="9">
        <v>84</v>
      </c>
      <c r="K586" s="1"/>
      <c r="L586" s="171">
        <v>45462</v>
      </c>
      <c r="M586" s="1"/>
    </row>
    <row r="587" spans="1:13" s="19" customFormat="1" x14ac:dyDescent="0.25">
      <c r="A587" s="2"/>
      <c r="B587" s="2"/>
      <c r="C587" s="9">
        <v>23</v>
      </c>
      <c r="D587" s="9">
        <v>32</v>
      </c>
      <c r="E587" s="9">
        <v>48</v>
      </c>
      <c r="F587" s="9">
        <v>51</v>
      </c>
      <c r="G587" s="9">
        <v>58</v>
      </c>
      <c r="H587" s="9">
        <v>89</v>
      </c>
      <c r="I587" s="1"/>
      <c r="J587" s="9">
        <v>89</v>
      </c>
      <c r="K587" s="1"/>
      <c r="L587" s="171">
        <v>45460</v>
      </c>
      <c r="M587" s="1"/>
    </row>
    <row r="588" spans="1:13" s="19" customFormat="1" x14ac:dyDescent="0.25">
      <c r="A588" s="2"/>
      <c r="B588" s="2"/>
      <c r="C588" s="9">
        <v>18</v>
      </c>
      <c r="D588" s="9">
        <v>20</v>
      </c>
      <c r="E588" s="9">
        <v>47</v>
      </c>
      <c r="F588" s="9">
        <v>63</v>
      </c>
      <c r="G588" s="9">
        <v>64</v>
      </c>
      <c r="H588" s="9">
        <v>77</v>
      </c>
      <c r="I588" s="1"/>
      <c r="J588" s="9">
        <v>77</v>
      </c>
      <c r="K588" s="1"/>
      <c r="L588" s="171">
        <v>45458</v>
      </c>
      <c r="M588" s="1"/>
    </row>
    <row r="589" spans="1:13" s="19" customFormat="1" x14ac:dyDescent="0.25">
      <c r="A589" s="2"/>
      <c r="B589" s="2"/>
      <c r="C589" s="9">
        <v>2</v>
      </c>
      <c r="D589" s="9">
        <v>12</v>
      </c>
      <c r="E589" s="9">
        <v>13</v>
      </c>
      <c r="F589" s="9">
        <v>51</v>
      </c>
      <c r="G589" s="9">
        <v>75</v>
      </c>
      <c r="H589" s="9">
        <v>89</v>
      </c>
      <c r="I589" s="1"/>
      <c r="J589" s="9">
        <v>89</v>
      </c>
      <c r="K589" s="1"/>
      <c r="L589" s="171">
        <v>45455</v>
      </c>
      <c r="M589" s="1"/>
    </row>
    <row r="590" spans="1:13" s="19" customFormat="1" x14ac:dyDescent="0.25">
      <c r="A590" s="2"/>
      <c r="B590" s="2"/>
      <c r="C590" s="9">
        <v>3</v>
      </c>
      <c r="D590" s="9">
        <v>11</v>
      </c>
      <c r="E590" s="9">
        <v>24</v>
      </c>
      <c r="F590" s="9">
        <v>33</v>
      </c>
      <c r="G590" s="9">
        <v>61</v>
      </c>
      <c r="H590" s="9">
        <v>82</v>
      </c>
      <c r="I590" s="1"/>
      <c r="J590" s="9">
        <v>82</v>
      </c>
      <c r="K590" s="1"/>
      <c r="L590" s="171">
        <v>45453</v>
      </c>
      <c r="M590" s="1"/>
    </row>
    <row r="591" spans="1:13" s="19" customFormat="1" x14ac:dyDescent="0.25">
      <c r="A591" s="2"/>
      <c r="B591" s="2"/>
      <c r="C591" s="9">
        <v>6</v>
      </c>
      <c r="D591" s="9">
        <v>7</v>
      </c>
      <c r="E591" s="9">
        <v>24</v>
      </c>
      <c r="F591" s="9">
        <v>33</v>
      </c>
      <c r="G591" s="9">
        <v>35</v>
      </c>
      <c r="H591" s="9">
        <v>96</v>
      </c>
      <c r="I591" s="1"/>
      <c r="J591" s="9">
        <v>96</v>
      </c>
      <c r="K591" s="1"/>
      <c r="L591" s="171">
        <v>45451</v>
      </c>
      <c r="M591" s="1"/>
    </row>
    <row r="592" spans="1:13" s="19" customFormat="1" x14ac:dyDescent="0.25">
      <c r="A592" s="2"/>
      <c r="B592" s="2"/>
      <c r="C592" s="9">
        <v>12</v>
      </c>
      <c r="D592" s="9">
        <v>16</v>
      </c>
      <c r="E592" s="9">
        <v>45</v>
      </c>
      <c r="F592" s="9">
        <v>55</v>
      </c>
      <c r="G592" s="9">
        <v>88</v>
      </c>
      <c r="H592" s="9">
        <v>90</v>
      </c>
      <c r="I592" s="1"/>
      <c r="J592" s="9">
        <v>90</v>
      </c>
      <c r="K592" s="1"/>
      <c r="L592" s="171">
        <v>45448</v>
      </c>
      <c r="M592" s="1"/>
    </row>
    <row r="593" spans="1:13" s="19" customFormat="1" x14ac:dyDescent="0.25">
      <c r="A593" s="2"/>
      <c r="B593" s="2"/>
      <c r="C593" s="9">
        <v>6</v>
      </c>
      <c r="D593" s="9">
        <v>34</v>
      </c>
      <c r="E593" s="9">
        <v>49</v>
      </c>
      <c r="F593" s="9">
        <v>61</v>
      </c>
      <c r="G593" s="9">
        <v>69</v>
      </c>
      <c r="H593" s="9">
        <v>86</v>
      </c>
      <c r="I593" s="1"/>
      <c r="J593" s="9">
        <v>86</v>
      </c>
      <c r="K593" s="1"/>
      <c r="L593" s="171">
        <v>45446</v>
      </c>
      <c r="M593" s="1"/>
    </row>
    <row r="594" spans="1:13" s="19" customFormat="1" x14ac:dyDescent="0.25">
      <c r="A594" s="2"/>
      <c r="B594" s="2"/>
      <c r="C594" s="9">
        <v>6</v>
      </c>
      <c r="D594" s="9">
        <v>34</v>
      </c>
      <c r="E594" s="9">
        <v>55</v>
      </c>
      <c r="F594" s="9">
        <v>65</v>
      </c>
      <c r="G594" s="9">
        <v>74</v>
      </c>
      <c r="H594" s="9">
        <v>86</v>
      </c>
      <c r="I594" s="1"/>
      <c r="J594" s="9">
        <v>86</v>
      </c>
      <c r="K594" s="1"/>
      <c r="L594" s="171">
        <v>45444</v>
      </c>
      <c r="M594" s="1"/>
    </row>
    <row r="595" spans="1:13" s="19" customFormat="1" x14ac:dyDescent="0.25">
      <c r="A595" s="2"/>
      <c r="B595" s="2"/>
      <c r="C595" s="9">
        <v>23</v>
      </c>
      <c r="D595" s="9">
        <v>28</v>
      </c>
      <c r="E595" s="9">
        <v>44</v>
      </c>
      <c r="F595" s="9">
        <v>58</v>
      </c>
      <c r="G595" s="9">
        <v>69</v>
      </c>
      <c r="H595" s="9">
        <v>78</v>
      </c>
      <c r="I595" s="1"/>
      <c r="J595" s="9">
        <v>78</v>
      </c>
      <c r="K595" s="1"/>
      <c r="L595" s="171">
        <v>45441</v>
      </c>
      <c r="M595" s="1"/>
    </row>
    <row r="596" spans="1:13" s="19" customFormat="1" x14ac:dyDescent="0.25">
      <c r="A596" s="2"/>
      <c r="B596" s="2"/>
      <c r="C596" s="9">
        <v>18</v>
      </c>
      <c r="D596" s="9">
        <v>28</v>
      </c>
      <c r="E596" s="9">
        <v>38</v>
      </c>
      <c r="F596" s="9">
        <v>41</v>
      </c>
      <c r="G596" s="9">
        <v>43</v>
      </c>
      <c r="H596" s="9">
        <v>73</v>
      </c>
      <c r="I596" s="1"/>
      <c r="J596" s="9">
        <v>73</v>
      </c>
      <c r="K596" s="1"/>
      <c r="L596" s="171">
        <v>45439</v>
      </c>
      <c r="M596" s="1"/>
    </row>
    <row r="597" spans="1:13" s="19" customFormat="1" x14ac:dyDescent="0.25">
      <c r="A597" s="2"/>
      <c r="B597" s="2"/>
      <c r="C597" s="9">
        <v>19</v>
      </c>
      <c r="D597" s="9">
        <v>28</v>
      </c>
      <c r="E597" s="9">
        <v>44</v>
      </c>
      <c r="F597" s="9">
        <v>62</v>
      </c>
      <c r="G597" s="9">
        <v>73</v>
      </c>
      <c r="H597" s="9">
        <v>81</v>
      </c>
      <c r="I597" s="1"/>
      <c r="J597" s="9">
        <v>81</v>
      </c>
      <c r="K597" s="1"/>
      <c r="L597" s="171">
        <v>45437</v>
      </c>
      <c r="M597" s="1"/>
    </row>
    <row r="598" spans="1:13" s="19" customFormat="1" x14ac:dyDescent="0.25">
      <c r="A598" s="2"/>
      <c r="B598" s="2"/>
      <c r="C598" s="9">
        <v>13</v>
      </c>
      <c r="D598" s="9">
        <v>26</v>
      </c>
      <c r="E598" s="9">
        <v>30</v>
      </c>
      <c r="F598" s="9">
        <v>34</v>
      </c>
      <c r="G598" s="9">
        <v>37</v>
      </c>
      <c r="H598" s="9">
        <v>56</v>
      </c>
      <c r="I598" s="1"/>
      <c r="J598" s="9">
        <v>56</v>
      </c>
      <c r="K598" s="1"/>
      <c r="L598" s="171">
        <v>45434</v>
      </c>
      <c r="M598" s="1"/>
    </row>
    <row r="599" spans="1:13" s="19" customFormat="1" x14ac:dyDescent="0.25">
      <c r="A599" s="2"/>
      <c r="B599" s="2"/>
      <c r="C599" s="9">
        <v>6</v>
      </c>
      <c r="D599" s="9">
        <v>7</v>
      </c>
      <c r="E599" s="9">
        <v>24</v>
      </c>
      <c r="F599" s="9">
        <v>51</v>
      </c>
      <c r="G599" s="9">
        <v>52</v>
      </c>
      <c r="H599" s="9">
        <v>86</v>
      </c>
      <c r="I599" s="1"/>
      <c r="J599" s="9">
        <v>86</v>
      </c>
      <c r="K599" s="1"/>
      <c r="L599" s="171">
        <v>45432</v>
      </c>
      <c r="M599" s="1"/>
    </row>
    <row r="600" spans="1:13" s="19" customFormat="1" x14ac:dyDescent="0.25">
      <c r="A600" s="2"/>
      <c r="B600" s="2"/>
      <c r="C600" s="9">
        <v>30</v>
      </c>
      <c r="D600" s="9">
        <v>42</v>
      </c>
      <c r="E600" s="9">
        <v>53</v>
      </c>
      <c r="F600" s="9">
        <v>65</v>
      </c>
      <c r="G600" s="9">
        <v>79</v>
      </c>
      <c r="H600" s="9">
        <v>80</v>
      </c>
      <c r="I600" s="1"/>
      <c r="J600" s="9">
        <v>80</v>
      </c>
      <c r="K600" s="1"/>
      <c r="L600" s="171">
        <v>45430</v>
      </c>
      <c r="M600" s="1"/>
    </row>
    <row r="601" spans="1:13" s="19" customFormat="1" x14ac:dyDescent="0.25">
      <c r="A601" s="2"/>
      <c r="B601" s="2"/>
      <c r="C601" s="9">
        <v>21</v>
      </c>
      <c r="D601" s="9">
        <v>30</v>
      </c>
      <c r="E601" s="9">
        <v>42</v>
      </c>
      <c r="F601" s="9">
        <v>43</v>
      </c>
      <c r="G601" s="9">
        <v>48</v>
      </c>
      <c r="H601" s="9">
        <v>50</v>
      </c>
      <c r="I601" s="1"/>
      <c r="J601" s="9">
        <v>50</v>
      </c>
      <c r="K601" s="1"/>
      <c r="L601" s="171">
        <v>45427</v>
      </c>
      <c r="M601" s="1"/>
    </row>
    <row r="602" spans="1:13" s="19" customFormat="1" x14ac:dyDescent="0.25">
      <c r="A602" s="2"/>
      <c r="B602" s="2"/>
      <c r="C602" s="9">
        <v>25</v>
      </c>
      <c r="D602" s="9">
        <v>36</v>
      </c>
      <c r="E602" s="9">
        <v>55</v>
      </c>
      <c r="F602" s="9">
        <v>61</v>
      </c>
      <c r="G602" s="9">
        <v>64</v>
      </c>
      <c r="H602" s="9">
        <v>87</v>
      </c>
      <c r="I602" s="1"/>
      <c r="J602" s="9">
        <v>87</v>
      </c>
      <c r="K602" s="1"/>
      <c r="L602" s="171">
        <v>45425</v>
      </c>
      <c r="M602" s="1"/>
    </row>
    <row r="603" spans="1:13" s="19" customFormat="1" x14ac:dyDescent="0.25">
      <c r="A603" s="2"/>
      <c r="B603" s="2"/>
      <c r="C603" s="9">
        <v>13</v>
      </c>
      <c r="D603" s="9">
        <v>32</v>
      </c>
      <c r="E603" s="9">
        <v>44</v>
      </c>
      <c r="F603" s="9">
        <v>55</v>
      </c>
      <c r="G603" s="9">
        <v>57</v>
      </c>
      <c r="H603" s="9">
        <v>90</v>
      </c>
      <c r="I603" s="1"/>
      <c r="J603" s="9">
        <v>90</v>
      </c>
      <c r="K603" s="1"/>
      <c r="L603" s="171">
        <v>45423</v>
      </c>
      <c r="M603" s="1"/>
    </row>
    <row r="604" spans="1:13" s="19" customFormat="1" x14ac:dyDescent="0.25">
      <c r="A604" s="2"/>
      <c r="B604" s="2"/>
      <c r="C604" s="9">
        <v>2</v>
      </c>
      <c r="D604" s="9">
        <v>7</v>
      </c>
      <c r="E604" s="9">
        <v>19</v>
      </c>
      <c r="F604" s="9">
        <v>50</v>
      </c>
      <c r="G604" s="9">
        <v>53</v>
      </c>
      <c r="H604" s="9">
        <v>54</v>
      </c>
      <c r="I604" s="1"/>
      <c r="J604" s="9">
        <v>54</v>
      </c>
      <c r="K604" s="1"/>
      <c r="L604" s="171">
        <v>45420</v>
      </c>
      <c r="M604" s="1"/>
    </row>
    <row r="605" spans="1:13" s="19" customFormat="1" x14ac:dyDescent="0.25">
      <c r="A605" s="2"/>
      <c r="B605" s="2"/>
      <c r="C605" s="9">
        <v>5</v>
      </c>
      <c r="D605" s="9">
        <v>17</v>
      </c>
      <c r="E605" s="9">
        <v>21</v>
      </c>
      <c r="F605" s="9">
        <v>52</v>
      </c>
      <c r="G605" s="9">
        <v>56</v>
      </c>
      <c r="H605" s="9">
        <v>85</v>
      </c>
      <c r="I605" s="1"/>
      <c r="J605" s="9">
        <v>85</v>
      </c>
      <c r="K605" s="1"/>
      <c r="L605" s="171">
        <v>45418</v>
      </c>
      <c r="M605" s="1"/>
    </row>
    <row r="606" spans="1:13" s="19" customFormat="1" x14ac:dyDescent="0.25">
      <c r="A606" s="2"/>
      <c r="B606" s="2"/>
      <c r="C606" s="9">
        <v>3</v>
      </c>
      <c r="D606" s="9">
        <v>26</v>
      </c>
      <c r="E606" s="9">
        <v>32</v>
      </c>
      <c r="F606" s="9">
        <v>61</v>
      </c>
      <c r="G606" s="9">
        <v>82</v>
      </c>
      <c r="H606" s="9">
        <v>83</v>
      </c>
      <c r="I606" s="1"/>
      <c r="J606" s="9">
        <v>83</v>
      </c>
      <c r="K606" s="1"/>
      <c r="L606" s="171">
        <v>45416</v>
      </c>
      <c r="M606" s="1"/>
    </row>
    <row r="607" spans="1:13" s="19" customFormat="1" x14ac:dyDescent="0.25">
      <c r="A607" s="2"/>
      <c r="B607" s="2"/>
      <c r="C607" s="9">
        <v>8</v>
      </c>
      <c r="D607" s="9">
        <v>23</v>
      </c>
      <c r="E607" s="9">
        <v>44</v>
      </c>
      <c r="F607" s="9">
        <v>77</v>
      </c>
      <c r="G607" s="9">
        <v>84</v>
      </c>
      <c r="H607" s="9">
        <v>86</v>
      </c>
      <c r="I607" s="1"/>
      <c r="J607" s="9">
        <v>86</v>
      </c>
      <c r="K607" s="1"/>
      <c r="L607" s="171">
        <v>45413</v>
      </c>
      <c r="M607" s="1"/>
    </row>
    <row r="608" spans="1:13" s="19" customFormat="1" x14ac:dyDescent="0.25">
      <c r="A608" s="2"/>
      <c r="B608" s="2"/>
      <c r="C608" s="9">
        <v>10</v>
      </c>
      <c r="D608" s="9">
        <v>20</v>
      </c>
      <c r="E608" s="9">
        <v>23</v>
      </c>
      <c r="F608" s="9">
        <v>47</v>
      </c>
      <c r="G608" s="9">
        <v>64</v>
      </c>
      <c r="H608" s="9">
        <v>68</v>
      </c>
      <c r="I608" s="1"/>
      <c r="J608" s="9">
        <v>68</v>
      </c>
      <c r="K608" s="1"/>
      <c r="L608" s="171">
        <v>45411</v>
      </c>
      <c r="M608" s="1"/>
    </row>
    <row r="609" spans="1:13" s="19" customFormat="1" x14ac:dyDescent="0.25">
      <c r="A609" s="2"/>
      <c r="B609" s="2"/>
      <c r="C609" s="9">
        <v>28</v>
      </c>
      <c r="D609" s="9">
        <v>47</v>
      </c>
      <c r="E609" s="9">
        <v>71</v>
      </c>
      <c r="F609" s="9">
        <v>77</v>
      </c>
      <c r="G609" s="9">
        <v>81</v>
      </c>
      <c r="H609" s="9">
        <v>85</v>
      </c>
      <c r="I609" s="1"/>
      <c r="J609" s="9">
        <v>85</v>
      </c>
      <c r="K609" s="1"/>
      <c r="L609" s="171">
        <v>45409</v>
      </c>
      <c r="M609" s="1"/>
    </row>
    <row r="610" spans="1:13" s="19" customFormat="1" x14ac:dyDescent="0.25">
      <c r="A610" s="2"/>
      <c r="B610" s="2"/>
      <c r="C610" s="9">
        <v>37</v>
      </c>
      <c r="D610" s="9">
        <v>38</v>
      </c>
      <c r="E610" s="9">
        <v>49</v>
      </c>
      <c r="F610" s="9">
        <v>69</v>
      </c>
      <c r="G610" s="9">
        <v>84</v>
      </c>
      <c r="H610" s="9">
        <v>90</v>
      </c>
      <c r="I610" s="1"/>
      <c r="J610" s="9">
        <v>90</v>
      </c>
      <c r="K610" s="1"/>
      <c r="L610" s="171">
        <v>45406</v>
      </c>
      <c r="M610" s="1"/>
    </row>
    <row r="611" spans="1:13" s="19" customFormat="1" x14ac:dyDescent="0.25">
      <c r="A611" s="2"/>
      <c r="B611" s="2"/>
      <c r="C611" s="9">
        <v>3</v>
      </c>
      <c r="D611" s="9">
        <v>48</v>
      </c>
      <c r="E611" s="9">
        <v>61</v>
      </c>
      <c r="F611" s="9">
        <v>71</v>
      </c>
      <c r="G611" s="9">
        <v>81</v>
      </c>
      <c r="H611" s="9">
        <v>82</v>
      </c>
      <c r="I611" s="1"/>
      <c r="J611" s="9">
        <v>82</v>
      </c>
      <c r="K611" s="1"/>
      <c r="L611" s="171">
        <v>45404</v>
      </c>
      <c r="M611" s="1"/>
    </row>
    <row r="612" spans="1:13" s="19" customFormat="1" x14ac:dyDescent="0.25">
      <c r="A612" s="2"/>
      <c r="B612" s="2"/>
      <c r="C612" s="9">
        <v>8</v>
      </c>
      <c r="D612" s="9">
        <v>15</v>
      </c>
      <c r="E612" s="9">
        <v>26</v>
      </c>
      <c r="F612" s="9">
        <v>32</v>
      </c>
      <c r="G612" s="9">
        <v>47</v>
      </c>
      <c r="H612" s="9">
        <v>88</v>
      </c>
      <c r="I612" s="1"/>
      <c r="J612" s="9">
        <v>88</v>
      </c>
      <c r="K612" s="1"/>
      <c r="L612" s="171">
        <v>45402</v>
      </c>
      <c r="M612" s="1"/>
    </row>
    <row r="613" spans="1:13" s="19" customFormat="1" x14ac:dyDescent="0.25">
      <c r="A613" s="2"/>
      <c r="B613" s="2"/>
      <c r="C613" s="9">
        <v>16</v>
      </c>
      <c r="D613" s="9">
        <v>23</v>
      </c>
      <c r="E613" s="9">
        <v>24</v>
      </c>
      <c r="F613" s="9">
        <v>41</v>
      </c>
      <c r="G613" s="9">
        <v>63</v>
      </c>
      <c r="H613" s="9">
        <v>85</v>
      </c>
      <c r="I613" s="1"/>
      <c r="J613" s="9">
        <v>85</v>
      </c>
      <c r="K613" s="1"/>
      <c r="L613" s="171">
        <v>45399</v>
      </c>
      <c r="M613" s="1"/>
    </row>
    <row r="614" spans="1:13" s="19" customFormat="1" x14ac:dyDescent="0.25">
      <c r="A614" s="2"/>
      <c r="B614" s="2"/>
      <c r="C614" s="9">
        <v>4</v>
      </c>
      <c r="D614" s="9">
        <v>7</v>
      </c>
      <c r="E614" s="9">
        <v>32</v>
      </c>
      <c r="F614" s="9">
        <v>42</v>
      </c>
      <c r="G614" s="9">
        <v>58</v>
      </c>
      <c r="H614" s="9">
        <v>64</v>
      </c>
      <c r="I614" s="1"/>
      <c r="J614" s="9">
        <v>64</v>
      </c>
      <c r="K614" s="1"/>
      <c r="L614" s="171">
        <v>45397</v>
      </c>
      <c r="M614" s="1"/>
    </row>
    <row r="615" spans="1:13" s="19" customFormat="1" x14ac:dyDescent="0.25">
      <c r="A615" s="2"/>
      <c r="B615" s="2"/>
      <c r="C615" s="9">
        <v>8</v>
      </c>
      <c r="D615" s="9">
        <v>55</v>
      </c>
      <c r="E615" s="9">
        <v>60</v>
      </c>
      <c r="F615" s="9">
        <v>64</v>
      </c>
      <c r="G615" s="9">
        <v>70</v>
      </c>
      <c r="H615" s="9">
        <v>81</v>
      </c>
      <c r="I615" s="1"/>
      <c r="J615" s="9">
        <v>81</v>
      </c>
      <c r="K615" s="1"/>
      <c r="L615" s="171">
        <v>45395</v>
      </c>
      <c r="M615" s="1"/>
    </row>
    <row r="616" spans="1:13" s="19" customFormat="1" x14ac:dyDescent="0.25">
      <c r="A616" s="2"/>
      <c r="B616" s="2"/>
      <c r="C616" s="9">
        <v>28</v>
      </c>
      <c r="D616" s="9">
        <v>35</v>
      </c>
      <c r="E616" s="9">
        <v>36</v>
      </c>
      <c r="F616" s="9">
        <v>37</v>
      </c>
      <c r="G616" s="9">
        <v>40</v>
      </c>
      <c r="H616" s="9">
        <v>73</v>
      </c>
      <c r="I616" s="1"/>
      <c r="J616" s="9">
        <v>73</v>
      </c>
      <c r="K616" s="1"/>
      <c r="L616" s="171">
        <v>45392</v>
      </c>
      <c r="M616" s="1"/>
    </row>
    <row r="617" spans="1:13" s="19" customFormat="1" x14ac:dyDescent="0.25">
      <c r="A617" s="2"/>
      <c r="B617" s="2"/>
      <c r="C617" s="9">
        <v>27</v>
      </c>
      <c r="D617" s="9">
        <v>38</v>
      </c>
      <c r="E617" s="9">
        <v>39</v>
      </c>
      <c r="F617" s="9">
        <v>42</v>
      </c>
      <c r="G617" s="9">
        <v>48</v>
      </c>
      <c r="H617" s="9">
        <v>51</v>
      </c>
      <c r="I617" s="1"/>
      <c r="J617" s="9">
        <v>51</v>
      </c>
      <c r="K617" s="1"/>
      <c r="L617" s="171">
        <v>45390</v>
      </c>
      <c r="M617" s="1"/>
    </row>
    <row r="618" spans="1:13" s="19" customFormat="1" x14ac:dyDescent="0.25">
      <c r="A618" s="2"/>
      <c r="B618" s="2"/>
      <c r="C618" s="9">
        <v>20</v>
      </c>
      <c r="D618" s="9">
        <v>32</v>
      </c>
      <c r="E618" s="9">
        <v>47</v>
      </c>
      <c r="F618" s="9">
        <v>62</v>
      </c>
      <c r="G618" s="9">
        <v>72</v>
      </c>
      <c r="H618" s="9">
        <v>88</v>
      </c>
      <c r="I618" s="1"/>
      <c r="J618" s="9">
        <v>88</v>
      </c>
      <c r="K618" s="1"/>
      <c r="L618" s="171">
        <v>45388</v>
      </c>
      <c r="M618" s="1"/>
    </row>
    <row r="619" spans="1:13" s="19" customFormat="1" x14ac:dyDescent="0.25">
      <c r="A619" s="2"/>
      <c r="B619" s="2"/>
      <c r="C619" s="9">
        <v>8</v>
      </c>
      <c r="D619" s="9">
        <v>21</v>
      </c>
      <c r="E619" s="9">
        <v>27</v>
      </c>
      <c r="F619" s="9">
        <v>45</v>
      </c>
      <c r="G619" s="9">
        <v>70</v>
      </c>
      <c r="H619" s="9">
        <v>82</v>
      </c>
      <c r="I619" s="1"/>
      <c r="J619" s="9">
        <v>82</v>
      </c>
      <c r="K619" s="1"/>
      <c r="L619" s="171">
        <v>45385</v>
      </c>
      <c r="M619" s="1"/>
    </row>
    <row r="620" spans="1:13" s="19" customFormat="1" x14ac:dyDescent="0.25">
      <c r="A620" s="2"/>
      <c r="B620" s="2"/>
      <c r="C620" s="9">
        <v>6</v>
      </c>
      <c r="D620" s="9">
        <v>19</v>
      </c>
      <c r="E620" s="9">
        <v>46</v>
      </c>
      <c r="F620" s="9">
        <v>49</v>
      </c>
      <c r="G620" s="9">
        <v>59</v>
      </c>
      <c r="H620" s="9">
        <v>64</v>
      </c>
      <c r="I620" s="1"/>
      <c r="J620" s="9">
        <v>64</v>
      </c>
      <c r="K620" s="1"/>
      <c r="L620" s="171">
        <v>45383</v>
      </c>
      <c r="M620" s="1"/>
    </row>
    <row r="621" spans="1:13" s="19" customFormat="1" x14ac:dyDescent="0.25">
      <c r="A621" s="2"/>
      <c r="B621" s="2"/>
      <c r="C621" s="9">
        <v>14</v>
      </c>
      <c r="D621" s="9">
        <v>17</v>
      </c>
      <c r="E621" s="9">
        <v>31</v>
      </c>
      <c r="F621" s="9">
        <v>55</v>
      </c>
      <c r="G621" s="9">
        <v>56</v>
      </c>
      <c r="H621" s="9">
        <v>69</v>
      </c>
      <c r="I621" s="1"/>
      <c r="J621" s="9">
        <v>69</v>
      </c>
      <c r="K621" s="1"/>
      <c r="L621" s="171">
        <v>45381</v>
      </c>
      <c r="M621" s="1"/>
    </row>
    <row r="622" spans="1:13" s="19" customFormat="1" x14ac:dyDescent="0.25">
      <c r="A622" s="2"/>
      <c r="B622" s="2"/>
      <c r="C622" s="9">
        <v>3</v>
      </c>
      <c r="D622" s="9">
        <v>6</v>
      </c>
      <c r="E622" s="9">
        <v>18</v>
      </c>
      <c r="F622" s="9">
        <v>31</v>
      </c>
      <c r="G622" s="9">
        <v>62</v>
      </c>
      <c r="H622" s="9">
        <v>87</v>
      </c>
      <c r="I622" s="1"/>
      <c r="J622" s="9">
        <v>87</v>
      </c>
      <c r="K622" s="1"/>
      <c r="L622" s="171">
        <v>45378</v>
      </c>
      <c r="M622" s="1"/>
    </row>
    <row r="623" spans="1:13" s="19" customFormat="1" x14ac:dyDescent="0.25">
      <c r="A623" s="2"/>
      <c r="B623" s="2"/>
      <c r="C623" s="9">
        <v>9</v>
      </c>
      <c r="D623" s="9">
        <v>47</v>
      </c>
      <c r="E623" s="9">
        <v>62</v>
      </c>
      <c r="F623" s="9">
        <v>68</v>
      </c>
      <c r="G623" s="9">
        <v>77</v>
      </c>
      <c r="H623" s="9">
        <v>90</v>
      </c>
      <c r="I623" s="1"/>
      <c r="J623" s="9">
        <v>90</v>
      </c>
      <c r="K623" s="1"/>
      <c r="L623" s="171">
        <v>45376</v>
      </c>
      <c r="M623" s="1"/>
    </row>
    <row r="624" spans="1:13" s="19" customFormat="1" x14ac:dyDescent="0.25">
      <c r="A624" s="2"/>
      <c r="B624" s="2"/>
      <c r="C624" s="9">
        <v>15</v>
      </c>
      <c r="D624" s="9">
        <v>19</v>
      </c>
      <c r="E624" s="9">
        <v>39</v>
      </c>
      <c r="F624" s="9">
        <v>60</v>
      </c>
      <c r="G624" s="9">
        <v>69</v>
      </c>
      <c r="H624" s="9">
        <v>83</v>
      </c>
      <c r="I624" s="1"/>
      <c r="J624" s="9">
        <v>83</v>
      </c>
      <c r="K624" s="1"/>
      <c r="L624" s="171">
        <v>45374</v>
      </c>
      <c r="M624" s="1"/>
    </row>
    <row r="625" spans="1:13" s="19" customFormat="1" x14ac:dyDescent="0.25">
      <c r="A625" s="2"/>
      <c r="B625" s="2"/>
      <c r="C625" s="9">
        <v>7</v>
      </c>
      <c r="D625" s="9">
        <v>37</v>
      </c>
      <c r="E625" s="9">
        <v>44</v>
      </c>
      <c r="F625" s="9">
        <v>51</v>
      </c>
      <c r="G625" s="9">
        <v>61</v>
      </c>
      <c r="H625" s="9">
        <v>66</v>
      </c>
      <c r="I625" s="1"/>
      <c r="J625" s="9">
        <v>66</v>
      </c>
      <c r="K625" s="1"/>
      <c r="L625" s="171">
        <v>45371</v>
      </c>
      <c r="M625" s="1"/>
    </row>
    <row r="626" spans="1:13" s="19" customFormat="1" x14ac:dyDescent="0.25">
      <c r="A626" s="2"/>
      <c r="B626" s="2"/>
      <c r="C626" s="9">
        <v>3</v>
      </c>
      <c r="D626" s="9">
        <v>18</v>
      </c>
      <c r="E626" s="9">
        <v>68</v>
      </c>
      <c r="F626" s="9">
        <v>84</v>
      </c>
      <c r="G626" s="9">
        <v>87</v>
      </c>
      <c r="H626" s="9">
        <v>88</v>
      </c>
      <c r="I626" s="1"/>
      <c r="J626" s="9">
        <v>88</v>
      </c>
      <c r="K626" s="1"/>
      <c r="L626" s="171">
        <v>45369</v>
      </c>
      <c r="M626" s="1"/>
    </row>
    <row r="627" spans="1:13" s="19" customFormat="1" x14ac:dyDescent="0.25">
      <c r="A627" s="2"/>
      <c r="B627" s="2"/>
      <c r="C627" s="9">
        <v>28</v>
      </c>
      <c r="D627" s="9">
        <v>34</v>
      </c>
      <c r="E627" s="9">
        <v>45</v>
      </c>
      <c r="F627" s="9">
        <v>60</v>
      </c>
      <c r="G627" s="9">
        <v>71</v>
      </c>
      <c r="H627" s="9">
        <v>80</v>
      </c>
      <c r="I627" s="1"/>
      <c r="J627" s="9">
        <v>80</v>
      </c>
      <c r="K627" s="1"/>
      <c r="L627" s="171">
        <v>45367</v>
      </c>
      <c r="M627" s="1"/>
    </row>
    <row r="628" spans="1:13" s="19" customFormat="1" x14ac:dyDescent="0.25">
      <c r="A628" s="2"/>
      <c r="B628" s="2"/>
      <c r="C628" s="9">
        <v>5</v>
      </c>
      <c r="D628" s="9">
        <v>56</v>
      </c>
      <c r="E628" s="9">
        <v>59</v>
      </c>
      <c r="F628" s="9">
        <v>62</v>
      </c>
      <c r="G628" s="9">
        <v>78</v>
      </c>
      <c r="H628" s="9">
        <v>84</v>
      </c>
      <c r="I628" s="1"/>
      <c r="J628" s="9">
        <v>84</v>
      </c>
      <c r="K628" s="1"/>
      <c r="L628" s="171">
        <v>45364</v>
      </c>
      <c r="M628" s="1"/>
    </row>
    <row r="629" spans="1:13" s="19" customFormat="1" x14ac:dyDescent="0.25">
      <c r="A629" s="2"/>
      <c r="B629" s="2"/>
      <c r="C629" s="9">
        <v>27</v>
      </c>
      <c r="D629" s="9">
        <v>42</v>
      </c>
      <c r="E629" s="9">
        <v>57</v>
      </c>
      <c r="F629" s="9">
        <v>65</v>
      </c>
      <c r="G629" s="9">
        <v>67</v>
      </c>
      <c r="H629" s="9">
        <v>83</v>
      </c>
      <c r="I629" s="1"/>
      <c r="J629" s="9">
        <v>83</v>
      </c>
      <c r="K629" s="1"/>
      <c r="L629" s="171">
        <v>45362</v>
      </c>
      <c r="M629" s="1"/>
    </row>
    <row r="630" spans="1:13" s="19" customFormat="1" x14ac:dyDescent="0.25">
      <c r="A630" s="2"/>
      <c r="B630" s="2"/>
      <c r="C630" s="9">
        <v>2</v>
      </c>
      <c r="D630" s="9">
        <v>8</v>
      </c>
      <c r="E630" s="9">
        <v>23</v>
      </c>
      <c r="F630" s="9">
        <v>50</v>
      </c>
      <c r="G630" s="9">
        <v>51</v>
      </c>
      <c r="H630" s="9">
        <v>68</v>
      </c>
      <c r="I630" s="1"/>
      <c r="J630" s="9">
        <v>68</v>
      </c>
      <c r="K630" s="1"/>
      <c r="L630" s="171">
        <v>45360</v>
      </c>
      <c r="M630" s="1"/>
    </row>
    <row r="631" spans="1:13" s="19" customFormat="1" x14ac:dyDescent="0.25">
      <c r="A631" s="2"/>
      <c r="B631" s="2"/>
      <c r="C631" s="9">
        <v>9</v>
      </c>
      <c r="D631" s="9">
        <v>11</v>
      </c>
      <c r="E631" s="9">
        <v>46</v>
      </c>
      <c r="F631" s="9">
        <v>48</v>
      </c>
      <c r="G631" s="9">
        <v>49</v>
      </c>
      <c r="H631" s="9">
        <v>86</v>
      </c>
      <c r="I631" s="1"/>
      <c r="J631" s="9">
        <v>86</v>
      </c>
      <c r="K631" s="1"/>
      <c r="L631" s="171">
        <v>45357</v>
      </c>
      <c r="M631" s="1"/>
    </row>
    <row r="632" spans="1:13" s="19" customFormat="1" x14ac:dyDescent="0.25">
      <c r="A632" s="2"/>
      <c r="B632" s="2"/>
      <c r="C632" s="9">
        <v>35</v>
      </c>
      <c r="D632" s="9">
        <v>42</v>
      </c>
      <c r="E632" s="9">
        <v>56</v>
      </c>
      <c r="F632" s="9">
        <v>58</v>
      </c>
      <c r="G632" s="9">
        <v>69</v>
      </c>
      <c r="H632" s="9">
        <v>87</v>
      </c>
      <c r="I632" s="1"/>
      <c r="J632" s="9">
        <v>87</v>
      </c>
      <c r="K632" s="1"/>
      <c r="L632" s="171">
        <v>45355</v>
      </c>
      <c r="M632" s="1"/>
    </row>
    <row r="633" spans="1:13" s="19" customFormat="1" x14ac:dyDescent="0.25">
      <c r="A633" s="2"/>
      <c r="B633" s="2"/>
      <c r="C633" s="9">
        <v>8</v>
      </c>
      <c r="D633" s="9">
        <v>19</v>
      </c>
      <c r="E633" s="9">
        <v>47</v>
      </c>
      <c r="F633" s="9">
        <v>54</v>
      </c>
      <c r="G633" s="9">
        <v>56</v>
      </c>
      <c r="H633" s="9">
        <v>78</v>
      </c>
      <c r="I633" s="1"/>
      <c r="J633" s="9">
        <v>78</v>
      </c>
      <c r="K633" s="1"/>
      <c r="L633" s="171">
        <v>45353</v>
      </c>
      <c r="M633" s="1"/>
    </row>
    <row r="634" spans="1:13" s="19" customFormat="1" x14ac:dyDescent="0.25">
      <c r="A634" s="2"/>
      <c r="B634" s="2"/>
      <c r="C634" s="9">
        <v>9</v>
      </c>
      <c r="D634" s="9">
        <v>10</v>
      </c>
      <c r="E634" s="9">
        <v>17</v>
      </c>
      <c r="F634" s="9">
        <v>23</v>
      </c>
      <c r="G634" s="9">
        <v>30</v>
      </c>
      <c r="H634" s="9">
        <v>60</v>
      </c>
      <c r="I634" s="1"/>
      <c r="J634" s="9">
        <v>60</v>
      </c>
      <c r="K634" s="1"/>
      <c r="L634" s="171">
        <v>45350</v>
      </c>
      <c r="M634" s="1"/>
    </row>
    <row r="635" spans="1:13" s="19" customFormat="1" x14ac:dyDescent="0.25">
      <c r="A635" s="2"/>
      <c r="B635" s="2"/>
      <c r="C635" s="9">
        <v>1</v>
      </c>
      <c r="D635" s="9">
        <v>22</v>
      </c>
      <c r="E635" s="9">
        <v>36</v>
      </c>
      <c r="F635" s="9">
        <v>58</v>
      </c>
      <c r="G635" s="9">
        <v>76</v>
      </c>
      <c r="H635" s="9">
        <v>87</v>
      </c>
      <c r="I635" s="1"/>
      <c r="J635" s="9">
        <v>87</v>
      </c>
      <c r="K635" s="1"/>
      <c r="L635" s="171">
        <v>45348</v>
      </c>
      <c r="M635" s="1"/>
    </row>
    <row r="636" spans="1:13" s="19" customFormat="1" x14ac:dyDescent="0.25">
      <c r="A636" s="2"/>
      <c r="B636" s="2"/>
      <c r="C636" s="9">
        <v>37</v>
      </c>
      <c r="D636" s="9">
        <v>69</v>
      </c>
      <c r="E636" s="9">
        <v>71</v>
      </c>
      <c r="F636" s="9">
        <v>74</v>
      </c>
      <c r="G636" s="9">
        <v>77</v>
      </c>
      <c r="H636" s="9">
        <v>88</v>
      </c>
      <c r="I636" s="1"/>
      <c r="J636" s="9">
        <v>88</v>
      </c>
      <c r="K636" s="1"/>
      <c r="L636" s="171">
        <v>45346</v>
      </c>
      <c r="M636" s="1"/>
    </row>
    <row r="637" spans="1:13" s="19" customFormat="1" x14ac:dyDescent="0.25">
      <c r="A637" s="2"/>
      <c r="B637" s="2"/>
      <c r="C637" s="9">
        <v>10</v>
      </c>
      <c r="D637" s="9">
        <v>11</v>
      </c>
      <c r="E637" s="9">
        <v>47</v>
      </c>
      <c r="F637" s="9">
        <v>57</v>
      </c>
      <c r="G637" s="9">
        <v>60</v>
      </c>
      <c r="H637" s="9">
        <v>67</v>
      </c>
      <c r="I637" s="1"/>
      <c r="J637" s="9">
        <v>67</v>
      </c>
      <c r="K637" s="1"/>
      <c r="L637" s="171">
        <v>45343</v>
      </c>
      <c r="M637" s="1"/>
    </row>
    <row r="638" spans="1:13" s="19" customFormat="1" x14ac:dyDescent="0.25">
      <c r="A638" s="2"/>
      <c r="B638" s="2"/>
      <c r="C638" s="9">
        <v>7</v>
      </c>
      <c r="D638" s="9">
        <v>10</v>
      </c>
      <c r="E638" s="9">
        <v>15</v>
      </c>
      <c r="F638" s="9">
        <v>31</v>
      </c>
      <c r="G638" s="9">
        <v>52</v>
      </c>
      <c r="H638" s="9">
        <v>77</v>
      </c>
      <c r="I638" s="1"/>
      <c r="J638" s="9">
        <v>77</v>
      </c>
      <c r="K638" s="1"/>
      <c r="L638" s="171">
        <v>45341</v>
      </c>
      <c r="M638" s="1"/>
    </row>
    <row r="639" spans="1:13" s="19" customFormat="1" x14ac:dyDescent="0.25">
      <c r="A639" s="2"/>
      <c r="B639" s="2"/>
      <c r="C639" s="9">
        <v>15</v>
      </c>
      <c r="D639" s="9">
        <v>36</v>
      </c>
      <c r="E639" s="9">
        <v>40</v>
      </c>
      <c r="F639" s="9">
        <v>63</v>
      </c>
      <c r="G639" s="9">
        <v>74</v>
      </c>
      <c r="H639" s="9">
        <v>79</v>
      </c>
      <c r="I639" s="1"/>
      <c r="J639" s="9">
        <v>79</v>
      </c>
      <c r="K639" s="1"/>
      <c r="L639" s="171">
        <v>45339</v>
      </c>
      <c r="M639" s="1"/>
    </row>
    <row r="640" spans="1:13" s="19" customFormat="1" x14ac:dyDescent="0.25">
      <c r="A640" s="2"/>
      <c r="B640" s="2"/>
      <c r="C640" s="9">
        <v>1</v>
      </c>
      <c r="D640" s="9">
        <v>29</v>
      </c>
      <c r="E640" s="9">
        <v>40</v>
      </c>
      <c r="F640" s="9">
        <v>45</v>
      </c>
      <c r="G640" s="9">
        <v>63</v>
      </c>
      <c r="H640" s="9">
        <v>74</v>
      </c>
      <c r="I640" s="1"/>
      <c r="J640" s="9">
        <v>74</v>
      </c>
      <c r="K640" s="1"/>
      <c r="L640" s="171">
        <v>45336</v>
      </c>
      <c r="M640" s="1"/>
    </row>
    <row r="641" spans="1:13" s="19" customFormat="1" x14ac:dyDescent="0.25">
      <c r="A641" s="2"/>
      <c r="B641" s="2"/>
      <c r="C641" s="9">
        <v>36</v>
      </c>
      <c r="D641" s="9">
        <v>40</v>
      </c>
      <c r="E641" s="9">
        <v>50</v>
      </c>
      <c r="F641" s="9">
        <v>53</v>
      </c>
      <c r="G641" s="9">
        <v>70</v>
      </c>
      <c r="H641" s="9">
        <v>76</v>
      </c>
      <c r="I641" s="1"/>
      <c r="J641" s="9">
        <v>76</v>
      </c>
      <c r="K641" s="1"/>
      <c r="L641" s="171">
        <v>45334</v>
      </c>
      <c r="M641" s="1"/>
    </row>
    <row r="642" spans="1:13" s="19" customFormat="1" x14ac:dyDescent="0.25">
      <c r="A642" s="2"/>
      <c r="B642" s="2"/>
      <c r="C642" s="9">
        <v>3</v>
      </c>
      <c r="D642" s="9">
        <v>42</v>
      </c>
      <c r="E642" s="9">
        <v>47</v>
      </c>
      <c r="F642" s="9">
        <v>64</v>
      </c>
      <c r="G642" s="9">
        <v>71</v>
      </c>
      <c r="H642" s="9">
        <v>74</v>
      </c>
      <c r="I642" s="1"/>
      <c r="J642" s="9">
        <v>74</v>
      </c>
      <c r="K642" s="1"/>
      <c r="L642" s="171">
        <v>45332</v>
      </c>
      <c r="M642" s="1"/>
    </row>
    <row r="643" spans="1:13" s="19" customFormat="1" x14ac:dyDescent="0.25">
      <c r="A643" s="2"/>
      <c r="B643" s="2"/>
      <c r="C643" s="9">
        <v>23</v>
      </c>
      <c r="D643" s="9">
        <v>26</v>
      </c>
      <c r="E643" s="9">
        <v>29</v>
      </c>
      <c r="F643" s="9">
        <v>41</v>
      </c>
      <c r="G643" s="9">
        <v>69</v>
      </c>
      <c r="H643" s="9">
        <v>77</v>
      </c>
      <c r="I643" s="1"/>
      <c r="J643" s="9">
        <v>77</v>
      </c>
      <c r="K643" s="1"/>
      <c r="L643" s="171">
        <v>45329</v>
      </c>
      <c r="M643" s="1"/>
    </row>
    <row r="644" spans="1:13" s="19" customFormat="1" x14ac:dyDescent="0.25">
      <c r="A644" s="2"/>
      <c r="B644" s="2"/>
      <c r="C644" s="9">
        <v>15</v>
      </c>
      <c r="D644" s="9">
        <v>30</v>
      </c>
      <c r="E644" s="9">
        <v>48</v>
      </c>
      <c r="F644" s="9">
        <v>53</v>
      </c>
      <c r="G644" s="9">
        <v>76</v>
      </c>
      <c r="H644" s="9">
        <v>77</v>
      </c>
      <c r="I644" s="1"/>
      <c r="J644" s="9">
        <v>77</v>
      </c>
      <c r="K644" s="1"/>
      <c r="L644" s="171">
        <v>45327</v>
      </c>
      <c r="M644" s="1"/>
    </row>
    <row r="645" spans="1:13" s="19" customFormat="1" x14ac:dyDescent="0.25">
      <c r="A645" s="2"/>
      <c r="B645" s="2"/>
      <c r="C645" s="9">
        <v>9</v>
      </c>
      <c r="D645" s="9">
        <v>13</v>
      </c>
      <c r="E645" s="9">
        <v>79</v>
      </c>
      <c r="F645" s="9">
        <v>83</v>
      </c>
      <c r="G645" s="9">
        <v>84</v>
      </c>
      <c r="H645" s="9">
        <v>89</v>
      </c>
      <c r="I645" s="1"/>
      <c r="J645" s="9">
        <v>89</v>
      </c>
      <c r="K645" s="1"/>
      <c r="L645" s="171">
        <v>45322</v>
      </c>
      <c r="M645" s="1"/>
    </row>
    <row r="646" spans="1:13" s="19" customFormat="1" x14ac:dyDescent="0.25">
      <c r="A646" s="2"/>
      <c r="B646" s="2"/>
      <c r="C646" s="9">
        <v>16</v>
      </c>
      <c r="D646" s="9">
        <v>18</v>
      </c>
      <c r="E646" s="9">
        <v>25</v>
      </c>
      <c r="F646" s="9">
        <v>26</v>
      </c>
      <c r="G646" s="9">
        <v>71</v>
      </c>
      <c r="H646" s="9">
        <v>83</v>
      </c>
      <c r="I646" s="1"/>
      <c r="J646" s="9">
        <v>83</v>
      </c>
      <c r="K646" s="1"/>
      <c r="L646" s="171">
        <v>45320</v>
      </c>
      <c r="M646" s="1"/>
    </row>
    <row r="647" spans="1:13" s="19" customFormat="1" x14ac:dyDescent="0.25">
      <c r="A647" s="2"/>
      <c r="B647" s="2"/>
      <c r="C647" s="9">
        <v>22</v>
      </c>
      <c r="D647" s="9">
        <v>57</v>
      </c>
      <c r="E647" s="9">
        <v>60</v>
      </c>
      <c r="F647" s="9">
        <v>62</v>
      </c>
      <c r="G647" s="9">
        <v>64</v>
      </c>
      <c r="H647" s="9">
        <v>83</v>
      </c>
      <c r="I647" s="1"/>
      <c r="J647" s="9">
        <v>83</v>
      </c>
      <c r="K647" s="1"/>
      <c r="L647" s="171">
        <v>45318</v>
      </c>
      <c r="M647" s="1"/>
    </row>
    <row r="648" spans="1:13" s="19" customFormat="1" x14ac:dyDescent="0.25">
      <c r="A648" s="2"/>
      <c r="B648" s="2"/>
      <c r="C648" s="9">
        <v>3</v>
      </c>
      <c r="D648" s="9">
        <v>5</v>
      </c>
      <c r="E648" s="9">
        <v>37</v>
      </c>
      <c r="F648" s="9">
        <v>50</v>
      </c>
      <c r="G648" s="9">
        <v>52</v>
      </c>
      <c r="H648" s="9">
        <v>62</v>
      </c>
      <c r="I648" s="1"/>
      <c r="J648" s="9">
        <v>62</v>
      </c>
      <c r="K648" s="1"/>
      <c r="L648" s="171">
        <v>45315</v>
      </c>
      <c r="M648" s="1"/>
    </row>
    <row r="649" spans="1:13" s="19" customFormat="1" x14ac:dyDescent="0.25">
      <c r="A649" s="2"/>
      <c r="B649" s="2"/>
      <c r="C649" s="9">
        <v>9</v>
      </c>
      <c r="D649" s="9">
        <v>17</v>
      </c>
      <c r="E649" s="9">
        <v>20</v>
      </c>
      <c r="F649" s="9">
        <v>33</v>
      </c>
      <c r="G649" s="9">
        <v>63</v>
      </c>
      <c r="H649" s="9">
        <v>75</v>
      </c>
      <c r="I649" s="1"/>
      <c r="J649" s="9">
        <v>75</v>
      </c>
      <c r="K649" s="1"/>
      <c r="L649" s="171">
        <v>45313</v>
      </c>
      <c r="M649" s="1"/>
    </row>
    <row r="650" spans="1:13" s="19" customFormat="1" x14ac:dyDescent="0.25">
      <c r="A650" s="2"/>
      <c r="B650" s="2"/>
      <c r="C650" s="9">
        <v>10</v>
      </c>
      <c r="D650" s="9">
        <v>25</v>
      </c>
      <c r="E650" s="9">
        <v>31</v>
      </c>
      <c r="F650" s="9">
        <v>45</v>
      </c>
      <c r="G650" s="9">
        <v>65</v>
      </c>
      <c r="H650" s="9">
        <v>77</v>
      </c>
      <c r="I650" s="1"/>
      <c r="J650" s="9">
        <v>77</v>
      </c>
      <c r="K650" s="1"/>
      <c r="L650" s="171">
        <v>45311</v>
      </c>
      <c r="M650" s="1"/>
    </row>
    <row r="651" spans="1:13" s="19" customFormat="1" x14ac:dyDescent="0.25">
      <c r="A651" s="2"/>
      <c r="B651" s="2"/>
      <c r="C651" s="9">
        <v>13</v>
      </c>
      <c r="D651" s="9">
        <v>26</v>
      </c>
      <c r="E651" s="9">
        <v>38</v>
      </c>
      <c r="F651" s="9">
        <v>55</v>
      </c>
      <c r="G651" s="9">
        <v>60</v>
      </c>
      <c r="H651" s="9">
        <v>63</v>
      </c>
      <c r="I651" s="1"/>
      <c r="J651" s="9">
        <v>63</v>
      </c>
      <c r="K651" s="1"/>
      <c r="L651" s="171">
        <v>45308</v>
      </c>
      <c r="M651" s="1"/>
    </row>
    <row r="652" spans="1:13" s="19" customFormat="1" x14ac:dyDescent="0.25">
      <c r="A652" s="2"/>
      <c r="B652" s="2"/>
      <c r="C652" s="9">
        <v>7</v>
      </c>
      <c r="D652" s="9">
        <v>11</v>
      </c>
      <c r="E652" s="9">
        <v>21</v>
      </c>
      <c r="F652" s="9">
        <v>22</v>
      </c>
      <c r="G652" s="9">
        <v>27</v>
      </c>
      <c r="H652" s="9">
        <v>63</v>
      </c>
      <c r="I652" s="1"/>
      <c r="J652" s="9">
        <v>63</v>
      </c>
      <c r="K652" s="1"/>
      <c r="L652" s="171">
        <v>45306</v>
      </c>
      <c r="M652" s="1"/>
    </row>
    <row r="653" spans="1:13" s="19" customFormat="1" x14ac:dyDescent="0.25">
      <c r="A653" s="2"/>
      <c r="B653" s="2"/>
      <c r="C653" s="9">
        <v>27</v>
      </c>
      <c r="D653" s="9">
        <v>44</v>
      </c>
      <c r="E653" s="9">
        <v>60</v>
      </c>
      <c r="F653" s="9">
        <v>67</v>
      </c>
      <c r="G653" s="9">
        <v>68</v>
      </c>
      <c r="H653" s="9">
        <v>88</v>
      </c>
      <c r="I653" s="1"/>
      <c r="J653" s="9">
        <v>88</v>
      </c>
      <c r="K653" s="1"/>
      <c r="L653" s="171">
        <v>45304</v>
      </c>
      <c r="M653" s="1"/>
    </row>
    <row r="654" spans="1:13" s="19" customFormat="1" x14ac:dyDescent="0.25">
      <c r="A654" s="2"/>
      <c r="B654" s="2"/>
      <c r="C654" s="9">
        <v>14</v>
      </c>
      <c r="D654" s="9">
        <v>28</v>
      </c>
      <c r="E654" s="9">
        <v>41</v>
      </c>
      <c r="F654" s="9">
        <v>45</v>
      </c>
      <c r="G654" s="9">
        <v>49</v>
      </c>
      <c r="H654" s="9">
        <v>62</v>
      </c>
      <c r="I654" s="1"/>
      <c r="J654" s="9">
        <v>62</v>
      </c>
      <c r="K654" s="1"/>
      <c r="L654" s="171">
        <v>45301</v>
      </c>
      <c r="M654" s="1"/>
    </row>
    <row r="655" spans="1:13" s="19" customFormat="1" x14ac:dyDescent="0.25">
      <c r="A655" s="2"/>
      <c r="B655" s="2"/>
      <c r="C655" s="9">
        <v>4</v>
      </c>
      <c r="D655" s="9">
        <v>33</v>
      </c>
      <c r="E655" s="9">
        <v>35</v>
      </c>
      <c r="F655" s="9">
        <v>62</v>
      </c>
      <c r="G655" s="9">
        <v>65</v>
      </c>
      <c r="H655" s="9">
        <v>76</v>
      </c>
      <c r="I655" s="1"/>
      <c r="J655" s="9">
        <v>76</v>
      </c>
      <c r="K655" s="1"/>
      <c r="L655" s="171">
        <v>45299</v>
      </c>
      <c r="M655" s="1"/>
    </row>
    <row r="656" spans="1:13" s="19" customFormat="1" x14ac:dyDescent="0.25">
      <c r="A656" s="2"/>
      <c r="B656" s="2"/>
      <c r="C656" s="9">
        <v>45</v>
      </c>
      <c r="D656" s="9">
        <v>49</v>
      </c>
      <c r="E656" s="9">
        <v>51</v>
      </c>
      <c r="F656" s="9">
        <v>60</v>
      </c>
      <c r="G656" s="9">
        <v>71</v>
      </c>
      <c r="H656" s="9">
        <v>86</v>
      </c>
      <c r="I656" s="1"/>
      <c r="J656" s="9">
        <v>86</v>
      </c>
      <c r="K656" s="1"/>
      <c r="L656" s="171">
        <v>45297</v>
      </c>
      <c r="M656" s="1"/>
    </row>
    <row r="657" spans="1:13" s="19" customFormat="1" x14ac:dyDescent="0.25">
      <c r="A657" s="2"/>
      <c r="B657" s="2"/>
      <c r="C657" s="9">
        <v>3</v>
      </c>
      <c r="D657" s="9">
        <v>18</v>
      </c>
      <c r="E657" s="9">
        <v>50</v>
      </c>
      <c r="F657" s="9">
        <v>54</v>
      </c>
      <c r="G657" s="9">
        <v>66</v>
      </c>
      <c r="H657" s="9">
        <v>86</v>
      </c>
      <c r="I657" s="1"/>
      <c r="J657" s="9">
        <v>86</v>
      </c>
      <c r="K657" s="1"/>
      <c r="L657" s="171">
        <v>45294</v>
      </c>
      <c r="M657" s="1"/>
    </row>
    <row r="658" spans="1:13" s="19" customFormat="1" x14ac:dyDescent="0.25">
      <c r="A658" s="2"/>
      <c r="B658" s="2"/>
      <c r="C658" s="9">
        <v>20</v>
      </c>
      <c r="D658" s="9">
        <v>21</v>
      </c>
      <c r="E658" s="9">
        <v>31</v>
      </c>
      <c r="F658" s="9">
        <v>45</v>
      </c>
      <c r="G658" s="9">
        <v>46</v>
      </c>
      <c r="H658" s="9">
        <v>87</v>
      </c>
      <c r="I658" s="1"/>
      <c r="J658" s="9">
        <v>87</v>
      </c>
      <c r="K658" s="1"/>
      <c r="L658" s="171">
        <v>45292</v>
      </c>
      <c r="M658" s="1"/>
    </row>
    <row r="659" spans="1:13" s="19" customFormat="1" x14ac:dyDescent="0.25">
      <c r="A659" s="2"/>
      <c r="B659" s="2"/>
      <c r="C659" s="9">
        <v>33</v>
      </c>
      <c r="D659" s="9">
        <v>38</v>
      </c>
      <c r="E659" s="9">
        <v>47</v>
      </c>
      <c r="F659" s="9">
        <v>57</v>
      </c>
      <c r="G659" s="9">
        <v>81</v>
      </c>
      <c r="H659" s="9">
        <v>85</v>
      </c>
      <c r="I659" s="1"/>
      <c r="J659" s="9">
        <v>85</v>
      </c>
      <c r="K659" s="1"/>
      <c r="L659" s="171">
        <v>44960</v>
      </c>
      <c r="M659" s="1"/>
    </row>
    <row r="660" spans="1:13" s="19" customFormat="1" x14ac:dyDescent="0.25">
      <c r="A660" s="2"/>
      <c r="B660" s="2"/>
      <c r="C660" s="9">
        <v>40</v>
      </c>
      <c r="D660" s="9">
        <v>41</v>
      </c>
      <c r="E660" s="9">
        <v>46</v>
      </c>
      <c r="F660" s="9">
        <v>62</v>
      </c>
      <c r="G660" s="9">
        <v>74</v>
      </c>
      <c r="H660" s="9">
        <v>85</v>
      </c>
      <c r="I660" s="1"/>
      <c r="J660" s="9">
        <v>85</v>
      </c>
      <c r="K660" s="1"/>
      <c r="L660" s="171">
        <v>45290</v>
      </c>
      <c r="M660" s="1"/>
    </row>
    <row r="661" spans="1:13" s="19" customFormat="1" x14ac:dyDescent="0.25">
      <c r="A661" s="2"/>
      <c r="B661" s="2"/>
      <c r="C661" s="9">
        <v>17</v>
      </c>
      <c r="D661" s="9">
        <v>39</v>
      </c>
      <c r="E661" s="9">
        <v>44</v>
      </c>
      <c r="F661" s="9">
        <v>60</v>
      </c>
      <c r="G661" s="9">
        <v>68</v>
      </c>
      <c r="H661" s="9">
        <v>87</v>
      </c>
      <c r="I661" s="1"/>
      <c r="J661" s="9">
        <v>87</v>
      </c>
      <c r="K661" s="1"/>
      <c r="L661" s="171">
        <v>45287</v>
      </c>
      <c r="M661" s="1"/>
    </row>
    <row r="662" spans="1:13" s="19" customFormat="1" x14ac:dyDescent="0.25">
      <c r="A662" s="2"/>
      <c r="B662" s="2"/>
      <c r="C662" s="9">
        <v>43</v>
      </c>
      <c r="D662" s="9">
        <v>55</v>
      </c>
      <c r="E662" s="9">
        <v>56</v>
      </c>
      <c r="F662" s="9">
        <v>60</v>
      </c>
      <c r="G662" s="9">
        <v>64</v>
      </c>
      <c r="H662" s="9">
        <v>66</v>
      </c>
      <c r="I662" s="1"/>
      <c r="J662" s="9">
        <v>66</v>
      </c>
      <c r="K662" s="1"/>
      <c r="L662" s="171">
        <v>45285</v>
      </c>
      <c r="M662" s="1"/>
    </row>
    <row r="663" spans="1:13" s="19" customFormat="1" x14ac:dyDescent="0.25">
      <c r="A663" s="2"/>
      <c r="B663" s="2"/>
      <c r="C663" s="9">
        <v>18</v>
      </c>
      <c r="D663" s="9">
        <v>20</v>
      </c>
      <c r="E663" s="9">
        <v>42</v>
      </c>
      <c r="F663" s="9">
        <v>50</v>
      </c>
      <c r="G663" s="9">
        <v>54</v>
      </c>
      <c r="H663" s="9">
        <v>85</v>
      </c>
      <c r="I663" s="1"/>
      <c r="J663" s="9">
        <v>85</v>
      </c>
      <c r="K663" s="1"/>
      <c r="L663" s="171">
        <v>45283</v>
      </c>
      <c r="M663" s="1"/>
    </row>
    <row r="664" spans="1:13" s="19" customFormat="1" x14ac:dyDescent="0.25">
      <c r="A664" s="2"/>
      <c r="B664" s="2"/>
      <c r="C664" s="9">
        <v>1</v>
      </c>
      <c r="D664" s="9">
        <v>16</v>
      </c>
      <c r="E664" s="9">
        <v>45</v>
      </c>
      <c r="F664" s="9">
        <v>50</v>
      </c>
      <c r="G664" s="9">
        <v>54</v>
      </c>
      <c r="H664" s="9">
        <v>78</v>
      </c>
      <c r="I664" s="1"/>
      <c r="J664" s="9">
        <v>78</v>
      </c>
      <c r="K664" s="1"/>
      <c r="L664" s="171">
        <v>45280</v>
      </c>
      <c r="M664" s="1"/>
    </row>
    <row r="665" spans="1:13" s="19" customFormat="1" x14ac:dyDescent="0.25">
      <c r="A665" s="2"/>
      <c r="B665" s="2"/>
      <c r="C665" s="9">
        <v>33</v>
      </c>
      <c r="D665" s="9">
        <v>45</v>
      </c>
      <c r="E665" s="9">
        <v>53</v>
      </c>
      <c r="F665" s="9">
        <v>80</v>
      </c>
      <c r="G665" s="9">
        <v>85</v>
      </c>
      <c r="H665" s="9">
        <v>89</v>
      </c>
      <c r="I665" s="1"/>
      <c r="J665" s="9">
        <v>89</v>
      </c>
      <c r="K665" s="1"/>
      <c r="L665" s="171">
        <v>45278</v>
      </c>
      <c r="M665" s="1"/>
    </row>
    <row r="666" spans="1:13" s="19" customFormat="1" x14ac:dyDescent="0.25">
      <c r="A666" s="2"/>
      <c r="B666" s="2"/>
      <c r="C666" s="9">
        <v>4</v>
      </c>
      <c r="D666" s="9">
        <v>10</v>
      </c>
      <c r="E666" s="9">
        <v>24</v>
      </c>
      <c r="F666" s="9">
        <v>41</v>
      </c>
      <c r="G666" s="9">
        <v>87</v>
      </c>
      <c r="H666" s="9">
        <v>88</v>
      </c>
      <c r="I666" s="1"/>
      <c r="J666" s="9">
        <v>88</v>
      </c>
      <c r="K666" s="1"/>
      <c r="L666" s="171">
        <v>45276</v>
      </c>
      <c r="M666" s="1"/>
    </row>
    <row r="667" spans="1:13" s="19" customFormat="1" x14ac:dyDescent="0.25">
      <c r="A667" s="2"/>
      <c r="B667" s="2"/>
      <c r="C667" s="9">
        <v>1</v>
      </c>
      <c r="D667" s="9">
        <v>13</v>
      </c>
      <c r="E667" s="9">
        <v>20</v>
      </c>
      <c r="F667" s="9">
        <v>78</v>
      </c>
      <c r="G667" s="9">
        <v>86</v>
      </c>
      <c r="H667" s="9">
        <v>87</v>
      </c>
      <c r="I667" s="1"/>
      <c r="J667" s="9">
        <v>87</v>
      </c>
      <c r="K667" s="1"/>
      <c r="L667" s="171">
        <v>45273</v>
      </c>
      <c r="M667" s="1"/>
    </row>
    <row r="668" spans="1:13" s="19" customFormat="1" x14ac:dyDescent="0.25">
      <c r="A668" s="2"/>
      <c r="B668" s="2"/>
      <c r="C668" s="9">
        <v>27</v>
      </c>
      <c r="D668" s="9">
        <v>36</v>
      </c>
      <c r="E668" s="9">
        <v>41</v>
      </c>
      <c r="F668" s="9">
        <v>47</v>
      </c>
      <c r="G668" s="9">
        <v>59</v>
      </c>
      <c r="H668" s="9">
        <v>67</v>
      </c>
      <c r="I668" s="1"/>
      <c r="J668" s="9">
        <v>67</v>
      </c>
      <c r="K668" s="1"/>
      <c r="L668" s="171">
        <v>45271</v>
      </c>
      <c r="M668" s="1"/>
    </row>
    <row r="669" spans="1:13" s="19" customFormat="1" x14ac:dyDescent="0.25">
      <c r="A669" s="2"/>
      <c r="B669" s="2"/>
      <c r="C669" s="9">
        <v>9</v>
      </c>
      <c r="D669" s="9">
        <v>22</v>
      </c>
      <c r="E669" s="9">
        <v>29</v>
      </c>
      <c r="F669" s="9">
        <v>53</v>
      </c>
      <c r="G669" s="9">
        <v>72</v>
      </c>
      <c r="H669" s="9">
        <v>87</v>
      </c>
      <c r="I669" s="1"/>
      <c r="J669" s="9">
        <v>87</v>
      </c>
      <c r="K669" s="1"/>
      <c r="L669" s="171">
        <v>45269</v>
      </c>
      <c r="M669" s="1"/>
    </row>
    <row r="670" spans="1:13" s="19" customFormat="1" x14ac:dyDescent="0.25">
      <c r="A670" s="2"/>
      <c r="B670" s="2"/>
      <c r="C670" s="9">
        <v>14</v>
      </c>
      <c r="D670" s="9">
        <v>16</v>
      </c>
      <c r="E670" s="9">
        <v>44</v>
      </c>
      <c r="F670" s="9">
        <v>59</v>
      </c>
      <c r="G670" s="9">
        <v>70</v>
      </c>
      <c r="H670" s="9">
        <v>89</v>
      </c>
      <c r="I670" s="1"/>
      <c r="J670" s="9">
        <v>89</v>
      </c>
      <c r="K670" s="1"/>
      <c r="L670" s="171">
        <v>45266</v>
      </c>
      <c r="M670" s="1"/>
    </row>
    <row r="671" spans="1:13" s="19" customFormat="1" x14ac:dyDescent="0.25">
      <c r="A671" s="2"/>
      <c r="B671" s="2"/>
      <c r="C671" s="9">
        <v>5</v>
      </c>
      <c r="D671" s="9">
        <v>29</v>
      </c>
      <c r="E671" s="9">
        <v>36</v>
      </c>
      <c r="F671" s="9">
        <v>39</v>
      </c>
      <c r="G671" s="9">
        <v>47</v>
      </c>
      <c r="H671" s="9">
        <v>51</v>
      </c>
      <c r="I671" s="1"/>
      <c r="J671" s="9">
        <v>51</v>
      </c>
      <c r="K671" s="1"/>
      <c r="L671" s="171">
        <v>45264</v>
      </c>
      <c r="M671" s="1"/>
    </row>
    <row r="672" spans="1:13" s="19" customFormat="1" x14ac:dyDescent="0.25">
      <c r="A672" s="2"/>
      <c r="B672" s="2"/>
      <c r="C672" s="9">
        <v>43</v>
      </c>
      <c r="D672" s="9">
        <v>48</v>
      </c>
      <c r="E672" s="9">
        <v>51</v>
      </c>
      <c r="F672" s="9">
        <v>69</v>
      </c>
      <c r="G672" s="9">
        <v>82</v>
      </c>
      <c r="H672" s="9">
        <v>86</v>
      </c>
      <c r="I672" s="1"/>
      <c r="J672" s="9">
        <v>86</v>
      </c>
      <c r="K672" s="1"/>
      <c r="L672" s="171">
        <v>45262</v>
      </c>
      <c r="M672" s="1"/>
    </row>
    <row r="673" spans="1:13" s="19" customFormat="1" x14ac:dyDescent="0.25">
      <c r="A673" s="2"/>
      <c r="B673" s="2"/>
      <c r="C673" s="9">
        <v>13</v>
      </c>
      <c r="D673" s="9">
        <v>42</v>
      </c>
      <c r="E673" s="9">
        <v>44</v>
      </c>
      <c r="F673" s="9">
        <v>52</v>
      </c>
      <c r="G673" s="9">
        <v>67</v>
      </c>
      <c r="H673" s="9">
        <v>75</v>
      </c>
      <c r="I673" s="1"/>
      <c r="J673" s="9">
        <v>75</v>
      </c>
      <c r="K673" s="1"/>
      <c r="L673" s="171">
        <v>45259</v>
      </c>
      <c r="M673" s="1"/>
    </row>
    <row r="674" spans="1:13" s="19" customFormat="1" x14ac:dyDescent="0.25">
      <c r="A674" s="2"/>
      <c r="B674" s="2"/>
      <c r="C674" s="9">
        <v>32</v>
      </c>
      <c r="D674" s="9">
        <v>35</v>
      </c>
      <c r="E674" s="9">
        <v>36</v>
      </c>
      <c r="F674" s="9">
        <v>47</v>
      </c>
      <c r="G674" s="9">
        <v>62</v>
      </c>
      <c r="H674" s="9">
        <v>63</v>
      </c>
      <c r="I674" s="1"/>
      <c r="J674" s="9">
        <v>63</v>
      </c>
      <c r="K674" s="1"/>
      <c r="L674" s="171">
        <v>45257</v>
      </c>
      <c r="M674" s="1"/>
    </row>
    <row r="675" spans="1:13" s="19" customFormat="1" x14ac:dyDescent="0.25">
      <c r="A675" s="2"/>
      <c r="B675" s="2"/>
      <c r="C675" s="9">
        <v>25</v>
      </c>
      <c r="D675" s="9">
        <v>28</v>
      </c>
      <c r="E675" s="9">
        <v>40</v>
      </c>
      <c r="F675" s="9">
        <v>50</v>
      </c>
      <c r="G675" s="9">
        <v>53</v>
      </c>
      <c r="H675" s="9">
        <v>90</v>
      </c>
      <c r="I675" s="1"/>
      <c r="J675" s="9">
        <v>90</v>
      </c>
      <c r="K675" s="1"/>
      <c r="L675" s="171">
        <v>45255</v>
      </c>
      <c r="M675" s="1"/>
    </row>
    <row r="676" spans="1:13" s="19" customFormat="1" x14ac:dyDescent="0.25">
      <c r="A676" s="2"/>
      <c r="B676" s="2"/>
      <c r="C676" s="9">
        <v>2</v>
      </c>
      <c r="D676" s="9">
        <v>5</v>
      </c>
      <c r="E676" s="9">
        <v>15</v>
      </c>
      <c r="F676" s="9">
        <v>23</v>
      </c>
      <c r="G676" s="9">
        <v>36</v>
      </c>
      <c r="H676" s="9">
        <v>49</v>
      </c>
      <c r="I676" s="1"/>
      <c r="J676" s="9">
        <v>49</v>
      </c>
      <c r="K676" s="1"/>
      <c r="L676" s="171">
        <v>45252</v>
      </c>
      <c r="M676" s="1"/>
    </row>
    <row r="677" spans="1:13" s="19" customFormat="1" x14ac:dyDescent="0.25">
      <c r="A677" s="2"/>
      <c r="B677" s="2"/>
      <c r="C677" s="9">
        <v>24</v>
      </c>
      <c r="D677" s="9">
        <v>25</v>
      </c>
      <c r="E677" s="9">
        <v>31</v>
      </c>
      <c r="F677" s="9">
        <v>68</v>
      </c>
      <c r="G677" s="9">
        <v>74</v>
      </c>
      <c r="H677" s="9">
        <v>75</v>
      </c>
      <c r="I677" s="1"/>
      <c r="J677" s="9">
        <v>75</v>
      </c>
      <c r="K677" s="1"/>
      <c r="L677" s="171">
        <v>45250</v>
      </c>
      <c r="M677" s="1"/>
    </row>
    <row r="678" spans="1:13" s="19" customFormat="1" x14ac:dyDescent="0.25">
      <c r="A678" s="2"/>
      <c r="B678" s="2"/>
      <c r="C678" s="9">
        <v>3</v>
      </c>
      <c r="D678" s="9">
        <v>49</v>
      </c>
      <c r="E678" s="9">
        <v>55</v>
      </c>
      <c r="F678" s="9">
        <v>76</v>
      </c>
      <c r="G678" s="9">
        <v>81</v>
      </c>
      <c r="H678" s="9">
        <v>86</v>
      </c>
      <c r="I678" s="1"/>
      <c r="J678" s="9">
        <v>86</v>
      </c>
      <c r="K678" s="1"/>
      <c r="L678" s="171">
        <v>45248</v>
      </c>
      <c r="M678" s="1"/>
    </row>
    <row r="679" spans="1:13" s="19" customFormat="1" x14ac:dyDescent="0.25">
      <c r="A679" s="2"/>
      <c r="B679" s="2"/>
      <c r="C679" s="9">
        <v>31</v>
      </c>
      <c r="D679" s="9">
        <v>33</v>
      </c>
      <c r="E679" s="9">
        <v>38</v>
      </c>
      <c r="F679" s="9">
        <v>56</v>
      </c>
      <c r="G679" s="9">
        <v>67</v>
      </c>
      <c r="H679" s="9">
        <v>78</v>
      </c>
      <c r="I679" s="1"/>
      <c r="J679" s="9">
        <v>78</v>
      </c>
      <c r="K679" s="1"/>
      <c r="L679" s="171">
        <v>45245</v>
      </c>
      <c r="M679" s="1"/>
    </row>
    <row r="680" spans="1:13" s="19" customFormat="1" x14ac:dyDescent="0.25">
      <c r="A680" s="2"/>
      <c r="B680" s="2"/>
      <c r="C680" s="9">
        <v>43</v>
      </c>
      <c r="D680" s="9">
        <v>60</v>
      </c>
      <c r="E680" s="9">
        <v>68</v>
      </c>
      <c r="F680" s="9">
        <v>71</v>
      </c>
      <c r="G680" s="9">
        <v>74</v>
      </c>
      <c r="H680" s="9">
        <v>90</v>
      </c>
      <c r="I680" s="1"/>
      <c r="J680" s="9">
        <v>90</v>
      </c>
      <c r="K680" s="1"/>
      <c r="L680" s="171">
        <v>45243</v>
      </c>
      <c r="M680" s="1"/>
    </row>
    <row r="681" spans="1:13" s="19" customFormat="1" x14ac:dyDescent="0.25">
      <c r="A681" s="2"/>
      <c r="B681" s="2"/>
      <c r="C681" s="9">
        <v>24</v>
      </c>
      <c r="D681" s="9">
        <v>30</v>
      </c>
      <c r="E681" s="9">
        <v>56</v>
      </c>
      <c r="F681" s="9">
        <v>60</v>
      </c>
      <c r="G681" s="9">
        <v>63</v>
      </c>
      <c r="H681" s="9">
        <v>85</v>
      </c>
      <c r="I681" s="1"/>
      <c r="J681" s="9">
        <v>85</v>
      </c>
      <c r="K681" s="1"/>
      <c r="L681" s="171">
        <v>45241</v>
      </c>
      <c r="M681" s="1"/>
    </row>
    <row r="682" spans="1:13" s="19" customFormat="1" x14ac:dyDescent="0.25">
      <c r="A682" s="2"/>
      <c r="B682" s="2"/>
      <c r="C682" s="9">
        <v>6</v>
      </c>
      <c r="D682" s="9">
        <v>19</v>
      </c>
      <c r="E682" s="9">
        <v>44</v>
      </c>
      <c r="F682" s="9">
        <v>45</v>
      </c>
      <c r="G682" s="9">
        <v>50</v>
      </c>
      <c r="H682" s="9">
        <v>81</v>
      </c>
      <c r="I682" s="1"/>
      <c r="J682" s="9">
        <v>81</v>
      </c>
      <c r="K682" s="1"/>
      <c r="L682" s="171">
        <v>45238</v>
      </c>
      <c r="M682" s="1"/>
    </row>
    <row r="683" spans="1:13" s="19" customFormat="1" x14ac:dyDescent="0.25">
      <c r="A683" s="2"/>
      <c r="B683" s="2"/>
      <c r="C683" s="9">
        <v>22</v>
      </c>
      <c r="D683" s="9">
        <v>34</v>
      </c>
      <c r="E683" s="9">
        <v>36</v>
      </c>
      <c r="F683" s="9">
        <v>46</v>
      </c>
      <c r="G683" s="9">
        <v>50</v>
      </c>
      <c r="H683" s="9">
        <v>69</v>
      </c>
      <c r="I683" s="1"/>
      <c r="J683" s="9">
        <v>69</v>
      </c>
      <c r="K683" s="1"/>
      <c r="L683" s="171">
        <v>45236</v>
      </c>
      <c r="M683" s="1"/>
    </row>
    <row r="684" spans="1:13" s="19" customFormat="1" x14ac:dyDescent="0.25">
      <c r="A684" s="2"/>
      <c r="B684" s="2"/>
      <c r="C684" s="9">
        <v>8</v>
      </c>
      <c r="D684" s="9">
        <v>42</v>
      </c>
      <c r="E684" s="9">
        <v>64</v>
      </c>
      <c r="F684" s="9">
        <v>76</v>
      </c>
      <c r="G684" s="9">
        <v>83</v>
      </c>
      <c r="H684" s="9">
        <v>86</v>
      </c>
      <c r="I684" s="1"/>
      <c r="J684" s="9">
        <v>86</v>
      </c>
      <c r="K684" s="1"/>
      <c r="L684" s="171">
        <v>45234</v>
      </c>
      <c r="M684" s="1"/>
    </row>
    <row r="685" spans="1:13" s="19" customFormat="1" x14ac:dyDescent="0.25">
      <c r="A685" s="2"/>
      <c r="B685" s="2"/>
      <c r="C685" s="9">
        <v>2</v>
      </c>
      <c r="D685" s="9">
        <v>31</v>
      </c>
      <c r="E685" s="9">
        <v>33</v>
      </c>
      <c r="F685" s="9">
        <v>65</v>
      </c>
      <c r="G685" s="9">
        <v>69</v>
      </c>
      <c r="H685" s="9">
        <v>87</v>
      </c>
      <c r="I685" s="1"/>
      <c r="J685" s="9">
        <v>87</v>
      </c>
      <c r="K685" s="1"/>
      <c r="L685" s="171">
        <v>45231</v>
      </c>
      <c r="M685" s="1"/>
    </row>
    <row r="686" spans="1:13" s="19" customFormat="1" x14ac:dyDescent="0.25">
      <c r="A686" s="2"/>
      <c r="B686" s="2"/>
      <c r="C686" s="9">
        <v>6</v>
      </c>
      <c r="D686" s="9">
        <v>34</v>
      </c>
      <c r="E686" s="9">
        <v>46</v>
      </c>
      <c r="F686" s="9">
        <v>66</v>
      </c>
      <c r="G686" s="9">
        <v>71</v>
      </c>
      <c r="H686" s="9">
        <v>83</v>
      </c>
      <c r="I686" s="1"/>
      <c r="J686" s="9">
        <v>83</v>
      </c>
      <c r="K686" s="1"/>
      <c r="L686" s="171">
        <v>45229</v>
      </c>
      <c r="M686" s="1"/>
    </row>
    <row r="687" spans="1:13" s="19" customFormat="1" x14ac:dyDescent="0.25">
      <c r="A687" s="2"/>
      <c r="B687" s="2"/>
      <c r="C687" s="9">
        <v>1</v>
      </c>
      <c r="D687" s="9">
        <v>2</v>
      </c>
      <c r="E687" s="9">
        <v>11</v>
      </c>
      <c r="F687" s="9">
        <v>20</v>
      </c>
      <c r="G687" s="9">
        <v>21</v>
      </c>
      <c r="H687" s="9">
        <v>41</v>
      </c>
      <c r="I687" s="1"/>
      <c r="J687" s="9">
        <v>41</v>
      </c>
      <c r="K687" s="1"/>
      <c r="L687" s="171">
        <v>45227</v>
      </c>
      <c r="M687" s="1"/>
    </row>
    <row r="688" spans="1:13" s="19" customFormat="1" x14ac:dyDescent="0.25">
      <c r="A688" s="2"/>
      <c r="B688" s="2"/>
      <c r="C688" s="9">
        <v>11</v>
      </c>
      <c r="D688" s="9">
        <v>20</v>
      </c>
      <c r="E688" s="9">
        <v>42</v>
      </c>
      <c r="F688" s="9">
        <v>47</v>
      </c>
      <c r="G688" s="9">
        <v>54</v>
      </c>
      <c r="H688" s="9">
        <v>57</v>
      </c>
      <c r="I688" s="1"/>
      <c r="J688" s="9">
        <v>57</v>
      </c>
      <c r="K688" s="1"/>
      <c r="L688" s="171">
        <v>45224</v>
      </c>
      <c r="M688" s="1"/>
    </row>
    <row r="689" spans="1:13" s="19" customFormat="1" x14ac:dyDescent="0.25">
      <c r="A689" s="2"/>
      <c r="B689" s="2"/>
      <c r="C689" s="9">
        <v>35</v>
      </c>
      <c r="D689" s="9">
        <v>37</v>
      </c>
      <c r="E689" s="9">
        <v>59</v>
      </c>
      <c r="F689" s="9">
        <v>60</v>
      </c>
      <c r="G689" s="9">
        <v>75</v>
      </c>
      <c r="H689" s="9">
        <v>85</v>
      </c>
      <c r="I689" s="1"/>
      <c r="J689" s="9">
        <v>85</v>
      </c>
      <c r="K689" s="1"/>
      <c r="L689" s="171">
        <v>45222</v>
      </c>
      <c r="M689" s="1"/>
    </row>
    <row r="690" spans="1:13" s="19" customFormat="1" x14ac:dyDescent="0.25">
      <c r="A690" s="2"/>
      <c r="B690" s="2"/>
      <c r="C690" s="9">
        <v>13</v>
      </c>
      <c r="D690" s="9">
        <v>18</v>
      </c>
      <c r="E690" s="9">
        <v>32</v>
      </c>
      <c r="F690" s="9">
        <v>37</v>
      </c>
      <c r="G690" s="9">
        <v>58</v>
      </c>
      <c r="H690" s="9">
        <v>75</v>
      </c>
      <c r="I690" s="1"/>
      <c r="J690" s="9">
        <v>75</v>
      </c>
      <c r="K690" s="1"/>
      <c r="L690" s="171">
        <v>45220</v>
      </c>
      <c r="M690" s="1"/>
    </row>
    <row r="691" spans="1:13" s="19" customFormat="1" x14ac:dyDescent="0.25">
      <c r="A691" s="2"/>
      <c r="B691" s="2"/>
      <c r="C691" s="9">
        <v>49</v>
      </c>
      <c r="D691" s="9">
        <v>51</v>
      </c>
      <c r="E691" s="9">
        <v>60</v>
      </c>
      <c r="F691" s="9">
        <v>61</v>
      </c>
      <c r="G691" s="9">
        <v>66</v>
      </c>
      <c r="H691" s="9">
        <v>73</v>
      </c>
      <c r="I691" s="1"/>
      <c r="J691" s="9">
        <v>73</v>
      </c>
      <c r="K691" s="1"/>
      <c r="L691" s="171">
        <v>45217</v>
      </c>
      <c r="M691" s="1"/>
    </row>
    <row r="692" spans="1:13" s="19" customFormat="1" x14ac:dyDescent="0.25">
      <c r="A692" s="2"/>
      <c r="B692" s="2"/>
      <c r="C692" s="9">
        <v>2</v>
      </c>
      <c r="D692" s="9">
        <v>12</v>
      </c>
      <c r="E692" s="9">
        <v>15</v>
      </c>
      <c r="F692" s="9">
        <v>31</v>
      </c>
      <c r="G692" s="9">
        <v>48</v>
      </c>
      <c r="H692" s="9">
        <v>58</v>
      </c>
      <c r="I692" s="1"/>
      <c r="J692" s="9">
        <v>58</v>
      </c>
      <c r="K692" s="1"/>
      <c r="L692" s="171">
        <v>45215</v>
      </c>
      <c r="M692" s="1"/>
    </row>
    <row r="693" spans="1:13" s="19" customFormat="1" x14ac:dyDescent="0.25">
      <c r="A693" s="2"/>
      <c r="B693" s="2"/>
      <c r="C693" s="9">
        <v>4</v>
      </c>
      <c r="D693" s="9">
        <v>59</v>
      </c>
      <c r="E693" s="9">
        <v>76</v>
      </c>
      <c r="F693" s="9">
        <v>83</v>
      </c>
      <c r="G693" s="9">
        <v>86</v>
      </c>
      <c r="H693" s="9">
        <v>90</v>
      </c>
      <c r="I693" s="1"/>
      <c r="J693" s="9">
        <v>90</v>
      </c>
      <c r="K693" s="1"/>
      <c r="L693" s="171">
        <v>45213</v>
      </c>
      <c r="M693" s="1"/>
    </row>
    <row r="694" spans="1:13" s="19" customFormat="1" x14ac:dyDescent="0.25">
      <c r="A694" s="2"/>
      <c r="B694" s="2"/>
      <c r="C694" s="9">
        <v>10</v>
      </c>
      <c r="D694" s="9">
        <v>14</v>
      </c>
      <c r="E694" s="9">
        <v>38</v>
      </c>
      <c r="F694" s="9">
        <v>43</v>
      </c>
      <c r="G694" s="9">
        <v>50</v>
      </c>
      <c r="H694" s="9">
        <v>81</v>
      </c>
      <c r="I694" s="1"/>
      <c r="J694" s="9">
        <v>81</v>
      </c>
      <c r="K694" s="1"/>
      <c r="L694" s="171">
        <v>45210</v>
      </c>
      <c r="M694" s="1"/>
    </row>
    <row r="695" spans="1:13" s="19" customFormat="1" x14ac:dyDescent="0.25">
      <c r="A695" s="2"/>
      <c r="B695" s="2"/>
      <c r="C695" s="9">
        <v>19</v>
      </c>
      <c r="D695" s="9">
        <v>26</v>
      </c>
      <c r="E695" s="9">
        <v>28</v>
      </c>
      <c r="F695" s="9">
        <v>38</v>
      </c>
      <c r="G695" s="9">
        <v>59</v>
      </c>
      <c r="H695" s="9">
        <v>77</v>
      </c>
      <c r="I695" s="1"/>
      <c r="J695" s="9">
        <v>77</v>
      </c>
      <c r="K695" s="1"/>
      <c r="L695" s="171">
        <v>45208</v>
      </c>
      <c r="M695" s="1"/>
    </row>
    <row r="696" spans="1:13" s="19" customFormat="1" x14ac:dyDescent="0.25">
      <c r="A696" s="2"/>
      <c r="B696" s="2"/>
      <c r="C696" s="9">
        <v>20</v>
      </c>
      <c r="D696" s="9">
        <v>22</v>
      </c>
      <c r="E696" s="9">
        <v>36</v>
      </c>
      <c r="F696" s="9">
        <v>65</v>
      </c>
      <c r="G696" s="9">
        <v>66</v>
      </c>
      <c r="H696" s="9">
        <v>69</v>
      </c>
      <c r="I696" s="1"/>
      <c r="J696" s="9">
        <v>69</v>
      </c>
      <c r="K696" s="1"/>
      <c r="L696" s="171">
        <v>45206</v>
      </c>
      <c r="M696" s="1"/>
    </row>
    <row r="697" spans="1:13" s="19" customFormat="1" x14ac:dyDescent="0.25">
      <c r="A697" s="2"/>
      <c r="B697" s="2"/>
      <c r="C697" s="9">
        <v>5</v>
      </c>
      <c r="D697" s="9">
        <v>22</v>
      </c>
      <c r="E697" s="9">
        <v>39</v>
      </c>
      <c r="F697" s="9">
        <v>61</v>
      </c>
      <c r="G697" s="9">
        <v>75</v>
      </c>
      <c r="H697" s="9">
        <v>80</v>
      </c>
      <c r="I697" s="1"/>
      <c r="J697" s="9">
        <v>80</v>
      </c>
      <c r="K697" s="1"/>
      <c r="L697" s="171">
        <v>45203</v>
      </c>
      <c r="M697" s="1"/>
    </row>
    <row r="698" spans="1:13" s="19" customFormat="1" x14ac:dyDescent="0.25">
      <c r="A698" s="2"/>
      <c r="B698" s="2"/>
      <c r="C698" s="9">
        <v>3</v>
      </c>
      <c r="D698" s="9">
        <v>19</v>
      </c>
      <c r="E698" s="9">
        <v>45</v>
      </c>
      <c r="F698" s="9">
        <v>58</v>
      </c>
      <c r="G698" s="9">
        <v>62</v>
      </c>
      <c r="H698" s="9">
        <v>88</v>
      </c>
      <c r="I698" s="1"/>
      <c r="J698" s="9">
        <v>88</v>
      </c>
      <c r="K698" s="1"/>
      <c r="L698" s="171">
        <v>45201</v>
      </c>
      <c r="M698" s="1"/>
    </row>
    <row r="699" spans="1:13" s="19" customFormat="1" x14ac:dyDescent="0.25">
      <c r="A699" s="2"/>
      <c r="B699" s="2"/>
      <c r="C699" s="9">
        <v>22</v>
      </c>
      <c r="D699" s="9">
        <v>27</v>
      </c>
      <c r="E699" s="9">
        <v>28</v>
      </c>
      <c r="F699" s="9">
        <v>62</v>
      </c>
      <c r="G699" s="9">
        <v>75</v>
      </c>
      <c r="H699" s="9">
        <v>76</v>
      </c>
      <c r="I699" s="1"/>
      <c r="J699" s="9">
        <v>76</v>
      </c>
      <c r="K699" s="1"/>
      <c r="L699" s="171">
        <v>45199</v>
      </c>
      <c r="M699" s="1"/>
    </row>
    <row r="700" spans="1:13" s="19" customFormat="1" x14ac:dyDescent="0.25">
      <c r="A700" s="2"/>
      <c r="B700" s="2"/>
      <c r="C700" s="9">
        <v>32</v>
      </c>
      <c r="D700" s="9">
        <v>50</v>
      </c>
      <c r="E700" s="9">
        <v>57</v>
      </c>
      <c r="F700" s="9">
        <v>69</v>
      </c>
      <c r="G700" s="9">
        <v>70</v>
      </c>
      <c r="H700" s="9">
        <v>75</v>
      </c>
      <c r="I700" s="1"/>
      <c r="J700" s="9">
        <v>75</v>
      </c>
      <c r="K700" s="1"/>
      <c r="L700" s="171">
        <v>45196</v>
      </c>
      <c r="M700" s="1"/>
    </row>
    <row r="701" spans="1:13" s="19" customFormat="1" x14ac:dyDescent="0.25">
      <c r="A701" s="2"/>
      <c r="B701" s="2"/>
      <c r="C701" s="9">
        <v>15</v>
      </c>
      <c r="D701" s="9">
        <v>23</v>
      </c>
      <c r="E701" s="9">
        <v>25</v>
      </c>
      <c r="F701" s="9">
        <v>76</v>
      </c>
      <c r="G701" s="9">
        <v>79</v>
      </c>
      <c r="H701" s="9">
        <v>89</v>
      </c>
      <c r="I701" s="1"/>
      <c r="J701" s="9">
        <v>89</v>
      </c>
      <c r="K701" s="1"/>
      <c r="L701" s="171">
        <v>45194</v>
      </c>
      <c r="M701" s="1"/>
    </row>
    <row r="702" spans="1:13" s="19" customFormat="1" x14ac:dyDescent="0.25">
      <c r="A702" s="2"/>
      <c r="B702" s="2"/>
      <c r="C702" s="9">
        <v>1</v>
      </c>
      <c r="D702" s="9">
        <v>11</v>
      </c>
      <c r="E702" s="9">
        <v>34</v>
      </c>
      <c r="F702" s="9">
        <v>40</v>
      </c>
      <c r="G702" s="9">
        <v>60</v>
      </c>
      <c r="H702" s="9">
        <v>72</v>
      </c>
      <c r="I702" s="1"/>
      <c r="J702" s="9">
        <v>72</v>
      </c>
      <c r="K702" s="1"/>
      <c r="L702" s="171">
        <v>45192</v>
      </c>
      <c r="M702" s="1"/>
    </row>
    <row r="703" spans="1:13" s="19" customFormat="1" x14ac:dyDescent="0.25">
      <c r="A703" s="2"/>
      <c r="B703" s="2"/>
      <c r="C703" s="9">
        <v>26</v>
      </c>
      <c r="D703" s="9">
        <v>34</v>
      </c>
      <c r="E703" s="9">
        <v>38</v>
      </c>
      <c r="F703" s="9">
        <v>43</v>
      </c>
      <c r="G703" s="9">
        <v>68</v>
      </c>
      <c r="H703" s="9">
        <v>76</v>
      </c>
      <c r="I703" s="1"/>
      <c r="J703" s="9">
        <v>76</v>
      </c>
      <c r="K703" s="1"/>
      <c r="L703" s="171">
        <v>45189</v>
      </c>
      <c r="M703" s="1"/>
    </row>
    <row r="704" spans="1:13" s="19" customFormat="1" x14ac:dyDescent="0.25">
      <c r="A704" s="2"/>
      <c r="B704" s="2"/>
      <c r="C704" s="9">
        <v>39</v>
      </c>
      <c r="D704" s="9">
        <v>40</v>
      </c>
      <c r="E704" s="9">
        <v>42</v>
      </c>
      <c r="F704" s="9">
        <v>45</v>
      </c>
      <c r="G704" s="9">
        <v>50</v>
      </c>
      <c r="H704" s="9">
        <v>55</v>
      </c>
      <c r="I704" s="1"/>
      <c r="J704" s="9">
        <v>55</v>
      </c>
      <c r="K704" s="1"/>
      <c r="L704" s="171">
        <v>45187</v>
      </c>
      <c r="M704" s="1"/>
    </row>
    <row r="705" spans="1:13" s="19" customFormat="1" x14ac:dyDescent="0.25">
      <c r="A705" s="2"/>
      <c r="B705" s="2"/>
      <c r="C705" s="9">
        <v>14</v>
      </c>
      <c r="D705" s="9">
        <v>45</v>
      </c>
      <c r="E705" s="9">
        <v>67</v>
      </c>
      <c r="F705" s="9">
        <v>73</v>
      </c>
      <c r="G705" s="9">
        <v>82</v>
      </c>
      <c r="H705" s="9">
        <v>88</v>
      </c>
      <c r="I705" s="1"/>
      <c r="J705" s="9">
        <v>88</v>
      </c>
      <c r="K705" s="1"/>
      <c r="L705" s="171">
        <v>45185</v>
      </c>
      <c r="M705" s="1"/>
    </row>
    <row r="706" spans="1:13" s="19" customFormat="1" x14ac:dyDescent="0.25">
      <c r="A706" s="2"/>
      <c r="B706" s="2"/>
      <c r="C706" s="9">
        <v>11</v>
      </c>
      <c r="D706" s="9">
        <v>14</v>
      </c>
      <c r="E706" s="9">
        <v>50</v>
      </c>
      <c r="F706" s="9">
        <v>54</v>
      </c>
      <c r="G706" s="9">
        <v>61</v>
      </c>
      <c r="H706" s="9">
        <v>73</v>
      </c>
      <c r="I706" s="1"/>
      <c r="J706" s="9">
        <v>73</v>
      </c>
      <c r="K706" s="1"/>
      <c r="L706" s="171">
        <v>45182</v>
      </c>
      <c r="M706" s="1"/>
    </row>
    <row r="707" spans="1:13" s="19" customFormat="1" x14ac:dyDescent="0.25">
      <c r="A707" s="2"/>
      <c r="B707" s="2"/>
      <c r="C707" s="9">
        <v>3</v>
      </c>
      <c r="D707" s="9">
        <v>14</v>
      </c>
      <c r="E707" s="9">
        <v>20</v>
      </c>
      <c r="F707" s="9">
        <v>40</v>
      </c>
      <c r="G707" s="9">
        <v>79</v>
      </c>
      <c r="H707" s="9">
        <v>84</v>
      </c>
      <c r="I707" s="1"/>
      <c r="J707" s="9">
        <v>84</v>
      </c>
      <c r="K707" s="1"/>
      <c r="L707" s="171">
        <v>45180</v>
      </c>
      <c r="M707" s="1"/>
    </row>
    <row r="708" spans="1:13" s="19" customFormat="1" x14ac:dyDescent="0.25">
      <c r="A708" s="2"/>
      <c r="B708" s="2"/>
      <c r="C708" s="9">
        <v>1</v>
      </c>
      <c r="D708" s="9">
        <v>2</v>
      </c>
      <c r="E708" s="9">
        <v>13</v>
      </c>
      <c r="F708" s="9">
        <v>16</v>
      </c>
      <c r="G708" s="9">
        <v>24</v>
      </c>
      <c r="H708" s="9">
        <v>47</v>
      </c>
      <c r="I708" s="1"/>
      <c r="J708" s="9">
        <v>47</v>
      </c>
      <c r="K708" s="1"/>
      <c r="L708" s="171">
        <v>45178</v>
      </c>
      <c r="M708" s="1"/>
    </row>
    <row r="709" spans="1:13" s="19" customFormat="1" x14ac:dyDescent="0.25">
      <c r="A709" s="2"/>
      <c r="B709" s="2"/>
      <c r="C709" s="9">
        <v>12</v>
      </c>
      <c r="D709" s="9">
        <v>35</v>
      </c>
      <c r="E709" s="9">
        <v>45</v>
      </c>
      <c r="F709" s="9">
        <v>60</v>
      </c>
      <c r="G709" s="9">
        <v>68</v>
      </c>
      <c r="H709" s="9">
        <v>70</v>
      </c>
      <c r="I709" s="1"/>
      <c r="J709" s="9">
        <v>70</v>
      </c>
      <c r="K709" s="1"/>
      <c r="L709" s="171">
        <v>45175</v>
      </c>
      <c r="M709" s="1"/>
    </row>
    <row r="710" spans="1:13" s="19" customFormat="1" x14ac:dyDescent="0.25">
      <c r="A710" s="2"/>
      <c r="B710" s="2"/>
      <c r="C710" s="9">
        <v>3</v>
      </c>
      <c r="D710" s="9">
        <v>37</v>
      </c>
      <c r="E710" s="9">
        <v>70</v>
      </c>
      <c r="F710" s="9">
        <v>80</v>
      </c>
      <c r="G710" s="9">
        <v>86</v>
      </c>
      <c r="H710" s="9">
        <v>90</v>
      </c>
      <c r="I710" s="1"/>
      <c r="J710" s="9">
        <v>90</v>
      </c>
      <c r="K710" s="1"/>
      <c r="L710" s="171">
        <v>45173</v>
      </c>
      <c r="M710" s="1"/>
    </row>
    <row r="711" spans="1:13" s="19" customFormat="1" x14ac:dyDescent="0.25">
      <c r="A711" s="2"/>
      <c r="B711" s="2"/>
      <c r="C711" s="9">
        <v>29</v>
      </c>
      <c r="D711" s="9">
        <v>36</v>
      </c>
      <c r="E711" s="9">
        <v>38</v>
      </c>
      <c r="F711" s="9">
        <v>43</v>
      </c>
      <c r="G711" s="9">
        <v>49</v>
      </c>
      <c r="H711" s="9">
        <v>78</v>
      </c>
      <c r="I711" s="1"/>
      <c r="J711" s="9">
        <v>78</v>
      </c>
      <c r="K711" s="1"/>
      <c r="L711" s="171">
        <v>45171</v>
      </c>
      <c r="M711" s="1"/>
    </row>
    <row r="712" spans="1:13" s="19" customFormat="1" x14ac:dyDescent="0.25">
      <c r="A712" s="2"/>
      <c r="B712" s="2"/>
      <c r="C712" s="9">
        <v>6</v>
      </c>
      <c r="D712" s="9">
        <v>20</v>
      </c>
      <c r="E712" s="9">
        <v>40</v>
      </c>
      <c r="F712" s="9">
        <v>46</v>
      </c>
      <c r="G712" s="9">
        <v>47</v>
      </c>
      <c r="H712" s="9">
        <v>48</v>
      </c>
      <c r="I712" s="1"/>
      <c r="J712" s="9">
        <v>48</v>
      </c>
      <c r="K712" s="1"/>
      <c r="L712" s="171">
        <v>45168</v>
      </c>
      <c r="M712" s="1"/>
    </row>
    <row r="713" spans="1:13" s="19" customFormat="1" x14ac:dyDescent="0.25">
      <c r="A713" s="2"/>
      <c r="B713" s="2"/>
      <c r="C713" s="9">
        <v>1</v>
      </c>
      <c r="D713" s="9">
        <v>29</v>
      </c>
      <c r="E713" s="9">
        <v>36</v>
      </c>
      <c r="F713" s="9">
        <v>48</v>
      </c>
      <c r="G713" s="9">
        <v>60</v>
      </c>
      <c r="H713" s="9">
        <v>89</v>
      </c>
      <c r="I713" s="1"/>
      <c r="J713" s="9">
        <v>89</v>
      </c>
      <c r="K713" s="1"/>
      <c r="L713" s="171">
        <v>45166</v>
      </c>
      <c r="M713" s="1"/>
    </row>
    <row r="714" spans="1:13" s="19" customFormat="1" x14ac:dyDescent="0.25">
      <c r="A714" s="2"/>
      <c r="B714" s="2"/>
      <c r="C714" s="9">
        <v>15</v>
      </c>
      <c r="D714" s="9">
        <v>30</v>
      </c>
      <c r="E714" s="9">
        <v>72</v>
      </c>
      <c r="F714" s="9">
        <v>76</v>
      </c>
      <c r="G714" s="9">
        <v>78</v>
      </c>
      <c r="H714" s="9">
        <v>79</v>
      </c>
      <c r="I714" s="1"/>
      <c r="J714" s="9">
        <v>79</v>
      </c>
      <c r="K714" s="1"/>
      <c r="L714" s="171">
        <v>45164</v>
      </c>
      <c r="M714" s="1"/>
    </row>
    <row r="715" spans="1:13" s="19" customFormat="1" x14ac:dyDescent="0.25">
      <c r="A715" s="2"/>
      <c r="B715" s="2"/>
      <c r="C715" s="9">
        <v>9</v>
      </c>
      <c r="D715" s="9">
        <v>18</v>
      </c>
      <c r="E715" s="9">
        <v>24</v>
      </c>
      <c r="F715" s="9">
        <v>42</v>
      </c>
      <c r="G715" s="9">
        <v>76</v>
      </c>
      <c r="H715" s="9">
        <v>86</v>
      </c>
      <c r="I715" s="1"/>
      <c r="J715" s="9">
        <v>86</v>
      </c>
      <c r="K715" s="1"/>
      <c r="L715" s="171">
        <v>45161</v>
      </c>
      <c r="M715" s="1"/>
    </row>
    <row r="716" spans="1:13" s="19" customFormat="1" x14ac:dyDescent="0.25">
      <c r="A716" s="2"/>
      <c r="B716" s="2"/>
      <c r="C716" s="9">
        <v>17</v>
      </c>
      <c r="D716" s="9">
        <v>20</v>
      </c>
      <c r="E716" s="9">
        <v>32</v>
      </c>
      <c r="F716" s="9">
        <v>33</v>
      </c>
      <c r="G716" s="9">
        <v>49</v>
      </c>
      <c r="H716" s="9">
        <v>57</v>
      </c>
      <c r="I716" s="1"/>
      <c r="J716" s="9">
        <v>57</v>
      </c>
      <c r="K716" s="1"/>
      <c r="L716" s="171">
        <v>45159</v>
      </c>
      <c r="M716" s="1"/>
    </row>
    <row r="717" spans="1:13" s="19" customFormat="1" x14ac:dyDescent="0.25">
      <c r="A717" s="2"/>
      <c r="B717" s="2"/>
      <c r="C717" s="9">
        <v>37</v>
      </c>
      <c r="D717" s="9">
        <v>45</v>
      </c>
      <c r="E717" s="9">
        <v>48</v>
      </c>
      <c r="F717" s="9">
        <v>55</v>
      </c>
      <c r="G717" s="9">
        <v>73</v>
      </c>
      <c r="H717" s="9">
        <v>84</v>
      </c>
      <c r="I717" s="1"/>
      <c r="J717" s="9">
        <v>84</v>
      </c>
      <c r="K717" s="1"/>
      <c r="L717" s="171">
        <v>45157</v>
      </c>
      <c r="M717" s="1"/>
    </row>
    <row r="718" spans="1:13" s="19" customFormat="1" x14ac:dyDescent="0.25">
      <c r="A718" s="2"/>
      <c r="B718" s="2"/>
      <c r="C718" s="9">
        <v>45</v>
      </c>
      <c r="D718" s="9">
        <v>58</v>
      </c>
      <c r="E718" s="9">
        <v>66</v>
      </c>
      <c r="F718" s="9">
        <v>79</v>
      </c>
      <c r="G718" s="9">
        <v>84</v>
      </c>
      <c r="H718" s="9">
        <v>89</v>
      </c>
      <c r="I718" s="1"/>
      <c r="J718" s="9">
        <v>89</v>
      </c>
      <c r="K718" s="1"/>
      <c r="L718" s="171">
        <v>45154</v>
      </c>
      <c r="M718" s="1"/>
    </row>
    <row r="719" spans="1:13" s="19" customFormat="1" x14ac:dyDescent="0.25">
      <c r="A719" s="2"/>
      <c r="B719" s="2"/>
      <c r="C719" s="9">
        <v>5</v>
      </c>
      <c r="D719" s="9">
        <v>6</v>
      </c>
      <c r="E719" s="9">
        <v>31</v>
      </c>
      <c r="F719" s="9">
        <v>66</v>
      </c>
      <c r="G719" s="9">
        <v>67</v>
      </c>
      <c r="H719" s="9">
        <v>77</v>
      </c>
      <c r="I719" s="1"/>
      <c r="J719" s="9">
        <v>77</v>
      </c>
      <c r="K719" s="1"/>
      <c r="L719" s="171">
        <v>45152</v>
      </c>
      <c r="M719" s="1"/>
    </row>
    <row r="720" spans="1:13" x14ac:dyDescent="0.25">
      <c r="C720" s="9">
        <v>39</v>
      </c>
      <c r="D720" s="9">
        <v>59</v>
      </c>
      <c r="E720" s="9">
        <v>60</v>
      </c>
      <c r="F720" s="9">
        <v>63</v>
      </c>
      <c r="G720" s="9">
        <v>81</v>
      </c>
      <c r="H720" s="9">
        <v>84</v>
      </c>
      <c r="J720" s="9">
        <v>84</v>
      </c>
      <c r="L720" s="171">
        <v>45150</v>
      </c>
    </row>
    <row r="721" spans="1:13" x14ac:dyDescent="0.25">
      <c r="C721" s="9">
        <v>20</v>
      </c>
      <c r="D721" s="9">
        <v>36</v>
      </c>
      <c r="E721" s="9">
        <v>39</v>
      </c>
      <c r="F721" s="9">
        <v>69</v>
      </c>
      <c r="G721" s="9">
        <v>71</v>
      </c>
      <c r="H721" s="9">
        <v>75</v>
      </c>
      <c r="J721" s="9">
        <v>75</v>
      </c>
      <c r="L721" s="171">
        <v>45140</v>
      </c>
    </row>
    <row r="722" spans="1:13" x14ac:dyDescent="0.25">
      <c r="C722" s="9">
        <v>21</v>
      </c>
      <c r="D722" s="9">
        <v>34</v>
      </c>
      <c r="E722" s="9">
        <v>40</v>
      </c>
      <c r="F722" s="9">
        <v>51</v>
      </c>
      <c r="G722" s="9">
        <v>79</v>
      </c>
      <c r="H722" s="9">
        <v>88</v>
      </c>
      <c r="J722" s="9">
        <v>88</v>
      </c>
      <c r="L722" s="171">
        <v>45145</v>
      </c>
    </row>
    <row r="723" spans="1:13" x14ac:dyDescent="0.25">
      <c r="C723" s="9">
        <v>18</v>
      </c>
      <c r="D723" s="9">
        <v>26</v>
      </c>
      <c r="E723" s="9">
        <v>34</v>
      </c>
      <c r="F723" s="9">
        <v>43</v>
      </c>
      <c r="G723" s="9">
        <v>52</v>
      </c>
      <c r="H723" s="9">
        <v>80</v>
      </c>
      <c r="J723" s="9">
        <v>80</v>
      </c>
      <c r="L723" s="171">
        <v>45082</v>
      </c>
    </row>
    <row r="724" spans="1:13" x14ac:dyDescent="0.25">
      <c r="C724" s="9">
        <v>4</v>
      </c>
      <c r="D724" s="9">
        <v>32</v>
      </c>
      <c r="E724" s="9">
        <v>64</v>
      </c>
      <c r="F724" s="9">
        <v>71</v>
      </c>
      <c r="G724" s="9">
        <v>82</v>
      </c>
      <c r="H724" s="9">
        <v>89</v>
      </c>
      <c r="J724" s="9">
        <v>89</v>
      </c>
      <c r="L724" s="171">
        <v>45140</v>
      </c>
    </row>
    <row r="725" spans="1:13" x14ac:dyDescent="0.25">
      <c r="C725" s="9">
        <v>1</v>
      </c>
      <c r="D725" s="9">
        <v>26</v>
      </c>
      <c r="E725" s="9">
        <v>34</v>
      </c>
      <c r="F725" s="9">
        <v>56</v>
      </c>
      <c r="G725" s="9">
        <v>64</v>
      </c>
      <c r="H725" s="9">
        <v>67</v>
      </c>
      <c r="J725" s="9">
        <v>67</v>
      </c>
      <c r="L725" s="171">
        <v>45138</v>
      </c>
    </row>
    <row r="726" spans="1:13" x14ac:dyDescent="0.25">
      <c r="C726" s="9">
        <v>33</v>
      </c>
      <c r="D726" s="9">
        <v>45</v>
      </c>
      <c r="E726" s="9">
        <v>63</v>
      </c>
      <c r="F726" s="9">
        <v>66</v>
      </c>
      <c r="G726" s="9">
        <v>74</v>
      </c>
      <c r="H726" s="9">
        <v>89</v>
      </c>
      <c r="J726" s="9">
        <v>89</v>
      </c>
      <c r="L726" s="171">
        <v>45136</v>
      </c>
    </row>
    <row r="727" spans="1:13" x14ac:dyDescent="0.25">
      <c r="C727" s="9">
        <v>10</v>
      </c>
      <c r="D727" s="9">
        <v>20</v>
      </c>
      <c r="E727" s="9">
        <v>23</v>
      </c>
      <c r="F727" s="9">
        <v>30</v>
      </c>
      <c r="G727" s="9">
        <v>83</v>
      </c>
      <c r="H727" s="9">
        <v>89</v>
      </c>
      <c r="J727" s="9">
        <v>89</v>
      </c>
      <c r="L727" s="171">
        <v>45133</v>
      </c>
    </row>
    <row r="728" spans="1:13" x14ac:dyDescent="0.25">
      <c r="C728" s="9">
        <v>4</v>
      </c>
      <c r="D728" s="9">
        <v>12</v>
      </c>
      <c r="E728" s="9">
        <v>31</v>
      </c>
      <c r="F728" s="9">
        <v>38</v>
      </c>
      <c r="G728" s="9">
        <v>68</v>
      </c>
      <c r="H728" s="9">
        <v>83</v>
      </c>
      <c r="J728" s="9">
        <v>83</v>
      </c>
      <c r="L728" s="171">
        <v>45131</v>
      </c>
    </row>
    <row r="729" spans="1:13" x14ac:dyDescent="0.25">
      <c r="C729" s="9">
        <v>12</v>
      </c>
      <c r="D729" s="9">
        <v>34</v>
      </c>
      <c r="E729" s="9">
        <v>52</v>
      </c>
      <c r="F729" s="9">
        <v>56</v>
      </c>
      <c r="G729" s="9">
        <v>59</v>
      </c>
      <c r="H729" s="9">
        <v>82</v>
      </c>
      <c r="J729" s="9">
        <v>82</v>
      </c>
      <c r="L729" s="171">
        <v>45129</v>
      </c>
    </row>
    <row r="730" spans="1:13" x14ac:dyDescent="0.25">
      <c r="C730" s="9">
        <v>25</v>
      </c>
      <c r="D730" s="9">
        <v>28</v>
      </c>
      <c r="E730" s="9">
        <v>44</v>
      </c>
      <c r="F730" s="9">
        <v>60</v>
      </c>
      <c r="G730" s="9">
        <v>77</v>
      </c>
      <c r="H730" s="9">
        <v>89</v>
      </c>
      <c r="J730" s="9">
        <v>89</v>
      </c>
      <c r="L730" s="171">
        <v>45126</v>
      </c>
    </row>
    <row r="731" spans="1:13" x14ac:dyDescent="0.25">
      <c r="C731" s="9">
        <v>5</v>
      </c>
      <c r="D731" s="9">
        <v>30</v>
      </c>
      <c r="E731" s="9">
        <v>55</v>
      </c>
      <c r="F731" s="9">
        <v>62</v>
      </c>
      <c r="G731" s="9">
        <v>66</v>
      </c>
      <c r="H731" s="9">
        <v>78</v>
      </c>
      <c r="J731" s="9">
        <v>78</v>
      </c>
      <c r="L731" s="171">
        <v>45124</v>
      </c>
    </row>
    <row r="732" spans="1:13" x14ac:dyDescent="0.25">
      <c r="C732" s="9">
        <v>14</v>
      </c>
      <c r="D732" s="9">
        <v>28</v>
      </c>
      <c r="E732" s="9">
        <v>41</v>
      </c>
      <c r="F732" s="9">
        <v>45</v>
      </c>
      <c r="G732" s="9">
        <v>66</v>
      </c>
      <c r="H732" s="9">
        <v>87</v>
      </c>
      <c r="J732" s="9">
        <v>87</v>
      </c>
      <c r="L732" s="171">
        <v>45122</v>
      </c>
    </row>
    <row r="733" spans="1:13" x14ac:dyDescent="0.25">
      <c r="C733" s="9">
        <v>21</v>
      </c>
      <c r="D733" s="9">
        <v>30</v>
      </c>
      <c r="E733" s="9">
        <v>31</v>
      </c>
      <c r="F733" s="9">
        <v>40</v>
      </c>
      <c r="G733" s="9">
        <v>51</v>
      </c>
      <c r="H733" s="9">
        <v>71</v>
      </c>
      <c r="J733" s="9">
        <v>71</v>
      </c>
      <c r="L733" s="171">
        <v>45119</v>
      </c>
    </row>
    <row r="734" spans="1:13" x14ac:dyDescent="0.25">
      <c r="C734" s="9">
        <v>27</v>
      </c>
      <c r="D734" s="9">
        <v>42</v>
      </c>
      <c r="E734" s="9">
        <v>45</v>
      </c>
      <c r="F734" s="9">
        <v>53</v>
      </c>
      <c r="G734" s="9">
        <v>63</v>
      </c>
      <c r="H734" s="9">
        <v>81</v>
      </c>
      <c r="J734" s="9">
        <v>81</v>
      </c>
      <c r="L734" s="171">
        <v>45117</v>
      </c>
    </row>
    <row r="735" spans="1:13" x14ac:dyDescent="0.25">
      <c r="C735" s="9">
        <v>10</v>
      </c>
      <c r="D735" s="9">
        <v>37</v>
      </c>
      <c r="E735" s="9">
        <v>45</v>
      </c>
      <c r="F735" s="9">
        <v>67</v>
      </c>
      <c r="G735" s="9">
        <v>73</v>
      </c>
      <c r="H735" s="9">
        <v>84</v>
      </c>
      <c r="J735" s="9">
        <v>84</v>
      </c>
      <c r="L735" s="171">
        <v>45115</v>
      </c>
    </row>
    <row r="736" spans="1:13" s="19" customFormat="1" x14ac:dyDescent="0.25">
      <c r="A736" s="2"/>
      <c r="B736" s="2"/>
      <c r="C736" s="9">
        <v>4</v>
      </c>
      <c r="D736" s="9">
        <v>16</v>
      </c>
      <c r="E736" s="9">
        <v>37</v>
      </c>
      <c r="F736" s="9">
        <v>38</v>
      </c>
      <c r="G736" s="9">
        <v>64</v>
      </c>
      <c r="H736" s="9">
        <v>81</v>
      </c>
      <c r="I736" s="1"/>
      <c r="J736" s="9">
        <v>81</v>
      </c>
      <c r="K736" s="1"/>
      <c r="L736" s="171">
        <v>45112</v>
      </c>
      <c r="M736" s="1"/>
    </row>
    <row r="737" spans="1:13" s="19" customFormat="1" x14ac:dyDescent="0.25">
      <c r="A737" s="2"/>
      <c r="B737" s="2"/>
      <c r="C737" s="9">
        <v>7</v>
      </c>
      <c r="D737" s="9">
        <v>14</v>
      </c>
      <c r="E737" s="9">
        <v>52</v>
      </c>
      <c r="F737" s="9">
        <v>71</v>
      </c>
      <c r="G737" s="9">
        <v>77</v>
      </c>
      <c r="H737" s="9">
        <v>87</v>
      </c>
      <c r="I737" s="1"/>
      <c r="J737" s="9">
        <v>87</v>
      </c>
      <c r="K737" s="1"/>
      <c r="L737" s="171">
        <v>45110</v>
      </c>
      <c r="M737" s="1"/>
    </row>
    <row r="738" spans="1:13" s="19" customFormat="1" x14ac:dyDescent="0.25">
      <c r="A738" s="2"/>
      <c r="B738" s="2"/>
      <c r="C738" s="9">
        <v>3</v>
      </c>
      <c r="D738" s="9">
        <v>19</v>
      </c>
      <c r="E738" s="9">
        <v>24</v>
      </c>
      <c r="F738" s="9">
        <v>41</v>
      </c>
      <c r="G738" s="9">
        <v>46</v>
      </c>
      <c r="H738" s="9">
        <v>50</v>
      </c>
      <c r="I738" s="1"/>
      <c r="J738" s="9">
        <v>50</v>
      </c>
      <c r="K738" s="1"/>
      <c r="L738" s="171">
        <v>45108</v>
      </c>
      <c r="M738" s="1"/>
    </row>
    <row r="739" spans="1:13" s="19" customFormat="1" x14ac:dyDescent="0.25">
      <c r="A739" s="2"/>
      <c r="B739" s="2"/>
      <c r="C739" s="9">
        <v>14</v>
      </c>
      <c r="D739" s="9">
        <v>19</v>
      </c>
      <c r="E739" s="9">
        <v>72</v>
      </c>
      <c r="F739" s="9">
        <v>73</v>
      </c>
      <c r="G739" s="9">
        <v>75</v>
      </c>
      <c r="H739" s="9">
        <v>82</v>
      </c>
      <c r="I739" s="1"/>
      <c r="J739" s="9">
        <v>82</v>
      </c>
      <c r="K739" s="1"/>
      <c r="L739" s="171">
        <v>45095</v>
      </c>
      <c r="M739" s="1"/>
    </row>
    <row r="740" spans="1:13" s="19" customFormat="1" x14ac:dyDescent="0.25">
      <c r="A740" s="2"/>
      <c r="B740" s="2"/>
      <c r="C740" s="9">
        <v>51</v>
      </c>
      <c r="D740" s="9">
        <v>64</v>
      </c>
      <c r="E740" s="9">
        <v>69</v>
      </c>
      <c r="F740" s="9">
        <v>70</v>
      </c>
      <c r="G740" s="9">
        <v>78</v>
      </c>
      <c r="H740" s="9">
        <v>85</v>
      </c>
      <c r="I740" s="1"/>
      <c r="J740" s="9">
        <v>85</v>
      </c>
      <c r="K740" s="1"/>
      <c r="L740" s="171">
        <v>45103</v>
      </c>
      <c r="M740" s="1"/>
    </row>
    <row r="741" spans="1:13" s="19" customFormat="1" x14ac:dyDescent="0.25">
      <c r="A741" s="2"/>
      <c r="B741" s="2"/>
      <c r="C741" s="9">
        <v>18</v>
      </c>
      <c r="D741" s="9">
        <v>51</v>
      </c>
      <c r="E741" s="9">
        <v>64</v>
      </c>
      <c r="F741" s="9">
        <v>66</v>
      </c>
      <c r="G741" s="9">
        <v>84</v>
      </c>
      <c r="H741" s="9">
        <v>87</v>
      </c>
      <c r="I741" s="1"/>
      <c r="J741" s="9">
        <v>87</v>
      </c>
      <c r="K741" s="1"/>
      <c r="L741" s="171">
        <v>45101</v>
      </c>
      <c r="M741" s="1"/>
    </row>
    <row r="742" spans="1:13" s="19" customFormat="1" x14ac:dyDescent="0.25">
      <c r="A742" s="2"/>
      <c r="B742" s="2"/>
      <c r="C742" s="9">
        <v>10</v>
      </c>
      <c r="D742" s="9">
        <v>25</v>
      </c>
      <c r="E742" s="9">
        <v>39</v>
      </c>
      <c r="F742" s="9">
        <v>47</v>
      </c>
      <c r="G742" s="9">
        <v>52</v>
      </c>
      <c r="H742" s="9">
        <v>72</v>
      </c>
      <c r="I742" s="1"/>
      <c r="J742" s="9">
        <v>72</v>
      </c>
      <c r="K742" s="1"/>
      <c r="L742" s="171">
        <v>45098</v>
      </c>
      <c r="M742" s="1"/>
    </row>
    <row r="743" spans="1:13" s="19" customFormat="1" x14ac:dyDescent="0.25">
      <c r="A743" s="2"/>
      <c r="B743" s="2"/>
      <c r="C743" s="9">
        <v>9</v>
      </c>
      <c r="D743" s="9">
        <v>22</v>
      </c>
      <c r="E743" s="9">
        <v>27</v>
      </c>
      <c r="F743" s="9">
        <v>50</v>
      </c>
      <c r="G743" s="9">
        <v>74</v>
      </c>
      <c r="H743" s="9">
        <v>86</v>
      </c>
      <c r="I743" s="1"/>
      <c r="J743" s="9">
        <v>86</v>
      </c>
      <c r="K743" s="1"/>
      <c r="L743" s="171">
        <v>45096</v>
      </c>
      <c r="M743" s="1"/>
    </row>
    <row r="744" spans="1:13" s="19" customFormat="1" x14ac:dyDescent="0.25">
      <c r="A744" s="2"/>
      <c r="B744" s="2"/>
      <c r="C744" s="9">
        <v>7</v>
      </c>
      <c r="D744" s="9">
        <v>30</v>
      </c>
      <c r="E744" s="9">
        <v>32</v>
      </c>
      <c r="F744" s="9">
        <v>33</v>
      </c>
      <c r="G744" s="9">
        <v>34</v>
      </c>
      <c r="H744" s="9">
        <v>35</v>
      </c>
      <c r="I744" s="1"/>
      <c r="J744" s="9">
        <v>35</v>
      </c>
      <c r="K744" s="1"/>
      <c r="L744" s="171">
        <v>45094</v>
      </c>
      <c r="M744" s="1"/>
    </row>
    <row r="745" spans="1:13" s="19" customFormat="1" x14ac:dyDescent="0.25">
      <c r="A745" s="2"/>
      <c r="B745" s="2"/>
      <c r="C745" s="9">
        <v>4</v>
      </c>
      <c r="D745" s="9">
        <v>9</v>
      </c>
      <c r="E745" s="9">
        <v>34</v>
      </c>
      <c r="F745" s="9">
        <v>38</v>
      </c>
      <c r="G745" s="9">
        <v>89</v>
      </c>
      <c r="H745" s="9">
        <v>90</v>
      </c>
      <c r="I745" s="1"/>
      <c r="J745" s="9">
        <v>90</v>
      </c>
      <c r="K745" s="1"/>
      <c r="L745" s="171">
        <v>45091</v>
      </c>
      <c r="M745" s="1"/>
    </row>
    <row r="746" spans="1:13" s="19" customFormat="1" x14ac:dyDescent="0.25">
      <c r="A746" s="2"/>
      <c r="B746" s="2"/>
      <c r="C746" s="9">
        <v>1</v>
      </c>
      <c r="D746" s="9">
        <v>12</v>
      </c>
      <c r="E746" s="9">
        <v>46</v>
      </c>
      <c r="F746" s="9">
        <v>58</v>
      </c>
      <c r="G746" s="9">
        <v>80</v>
      </c>
      <c r="H746" s="9">
        <v>86</v>
      </c>
      <c r="I746" s="1"/>
      <c r="J746" s="9">
        <v>86</v>
      </c>
      <c r="K746" s="1"/>
      <c r="L746" s="171">
        <v>45089</v>
      </c>
      <c r="M746" s="1"/>
    </row>
    <row r="747" spans="1:13" s="19" customFormat="1" x14ac:dyDescent="0.25">
      <c r="A747" s="2"/>
      <c r="B747" s="2"/>
      <c r="C747" s="9">
        <v>2</v>
      </c>
      <c r="D747" s="9">
        <v>37</v>
      </c>
      <c r="E747" s="9">
        <v>39</v>
      </c>
      <c r="F747" s="9">
        <v>45</v>
      </c>
      <c r="G747" s="9">
        <v>50</v>
      </c>
      <c r="H747" s="9">
        <v>52</v>
      </c>
      <c r="I747" s="1"/>
      <c r="J747" s="9">
        <v>52</v>
      </c>
      <c r="K747" s="1"/>
      <c r="L747" s="171">
        <v>45087</v>
      </c>
      <c r="M747" s="1"/>
    </row>
    <row r="748" spans="1:13" s="19" customFormat="1" x14ac:dyDescent="0.25">
      <c r="A748" s="2"/>
      <c r="B748" s="2"/>
      <c r="C748" s="9">
        <v>1</v>
      </c>
      <c r="D748" s="9">
        <v>12</v>
      </c>
      <c r="E748" s="9">
        <v>41</v>
      </c>
      <c r="F748" s="9">
        <v>49</v>
      </c>
      <c r="G748" s="9">
        <v>55</v>
      </c>
      <c r="H748" s="9">
        <v>71</v>
      </c>
      <c r="I748" s="1"/>
      <c r="J748" s="9">
        <v>71</v>
      </c>
      <c r="K748" s="1"/>
      <c r="L748" s="171">
        <v>45084</v>
      </c>
      <c r="M748" s="1"/>
    </row>
    <row r="749" spans="1:13" s="19" customFormat="1" x14ac:dyDescent="0.25">
      <c r="A749" s="2"/>
      <c r="B749" s="2"/>
      <c r="C749" s="9">
        <v>15</v>
      </c>
      <c r="D749" s="9">
        <v>56</v>
      </c>
      <c r="E749" s="9">
        <v>67</v>
      </c>
      <c r="F749" s="9">
        <v>69</v>
      </c>
      <c r="G749" s="9">
        <v>88</v>
      </c>
      <c r="H749" s="9">
        <v>89</v>
      </c>
      <c r="I749" s="1"/>
      <c r="J749" s="9">
        <v>89</v>
      </c>
      <c r="K749" s="1"/>
      <c r="L749" s="171">
        <v>45082</v>
      </c>
      <c r="M749" s="1"/>
    </row>
    <row r="750" spans="1:13" s="19" customFormat="1" x14ac:dyDescent="0.25">
      <c r="A750" s="2"/>
      <c r="B750" s="2"/>
      <c r="C750" s="9">
        <v>24</v>
      </c>
      <c r="D750" s="9">
        <v>26</v>
      </c>
      <c r="E750" s="9">
        <v>43</v>
      </c>
      <c r="F750" s="9">
        <v>54</v>
      </c>
      <c r="G750" s="9">
        <v>62</v>
      </c>
      <c r="H750" s="9">
        <v>85</v>
      </c>
      <c r="I750" s="1"/>
      <c r="J750" s="9">
        <v>85</v>
      </c>
      <c r="K750" s="1"/>
      <c r="L750" s="171">
        <v>45080</v>
      </c>
      <c r="M750" s="1"/>
    </row>
    <row r="751" spans="1:13" s="19" customFormat="1" x14ac:dyDescent="0.25">
      <c r="A751" s="2"/>
      <c r="B751" s="2"/>
      <c r="C751" s="9">
        <v>1</v>
      </c>
      <c r="D751" s="9">
        <v>7</v>
      </c>
      <c r="E751" s="9">
        <v>10</v>
      </c>
      <c r="F751" s="9">
        <v>30</v>
      </c>
      <c r="G751" s="9">
        <v>49</v>
      </c>
      <c r="H751" s="9">
        <v>66</v>
      </c>
      <c r="I751" s="1"/>
      <c r="J751" s="9">
        <v>66</v>
      </c>
      <c r="K751" s="1"/>
      <c r="L751" s="171">
        <v>45077</v>
      </c>
      <c r="M751" s="1"/>
    </row>
    <row r="752" spans="1:13" s="19" customFormat="1" x14ac:dyDescent="0.25">
      <c r="A752" s="2"/>
      <c r="B752" s="2"/>
      <c r="C752" s="9">
        <v>8</v>
      </c>
      <c r="D752" s="9">
        <v>15</v>
      </c>
      <c r="E752" s="9">
        <v>47</v>
      </c>
      <c r="F752" s="9">
        <v>63</v>
      </c>
      <c r="G752" s="9">
        <v>69</v>
      </c>
      <c r="H752" s="9">
        <v>86</v>
      </c>
      <c r="I752" s="1"/>
      <c r="J752" s="9">
        <v>86</v>
      </c>
      <c r="K752" s="1"/>
      <c r="L752" s="171">
        <v>45075</v>
      </c>
      <c r="M752" s="1"/>
    </row>
    <row r="753" spans="1:13" s="19" customFormat="1" x14ac:dyDescent="0.25">
      <c r="A753" s="2"/>
      <c r="B753" s="2"/>
      <c r="C753" s="9">
        <v>20</v>
      </c>
      <c r="D753" s="9">
        <v>22</v>
      </c>
      <c r="E753" s="9">
        <v>32</v>
      </c>
      <c r="F753" s="9">
        <v>46</v>
      </c>
      <c r="G753" s="9">
        <v>56</v>
      </c>
      <c r="H753" s="9">
        <v>75</v>
      </c>
      <c r="I753" s="1"/>
      <c r="J753" s="9">
        <v>75</v>
      </c>
      <c r="K753" s="1"/>
      <c r="L753" s="171">
        <v>45073</v>
      </c>
      <c r="M753" s="1"/>
    </row>
    <row r="754" spans="1:13" s="19" customFormat="1" x14ac:dyDescent="0.25">
      <c r="A754" s="2"/>
      <c r="B754" s="2"/>
      <c r="C754" s="9">
        <v>11</v>
      </c>
      <c r="D754" s="9">
        <v>37</v>
      </c>
      <c r="E754" s="9">
        <v>38</v>
      </c>
      <c r="F754" s="9">
        <v>40</v>
      </c>
      <c r="G754" s="9">
        <v>49</v>
      </c>
      <c r="H754" s="9">
        <v>78</v>
      </c>
      <c r="I754" s="1"/>
      <c r="J754" s="9">
        <v>78</v>
      </c>
      <c r="K754" s="1"/>
      <c r="L754" s="171">
        <v>45070</v>
      </c>
      <c r="M754" s="1"/>
    </row>
    <row r="755" spans="1:13" s="19" customFormat="1" x14ac:dyDescent="0.25">
      <c r="A755" s="2"/>
      <c r="B755" s="2"/>
      <c r="C755" s="9">
        <v>18</v>
      </c>
      <c r="D755" s="9">
        <v>36</v>
      </c>
      <c r="E755" s="9">
        <v>45</v>
      </c>
      <c r="F755" s="9">
        <v>48</v>
      </c>
      <c r="G755" s="9">
        <v>49</v>
      </c>
      <c r="H755" s="9">
        <v>69</v>
      </c>
      <c r="I755" s="1"/>
      <c r="J755" s="9">
        <v>69</v>
      </c>
      <c r="K755" s="1"/>
      <c r="L755" s="171">
        <v>45068</v>
      </c>
      <c r="M755" s="1"/>
    </row>
    <row r="756" spans="1:13" s="19" customFormat="1" x14ac:dyDescent="0.25">
      <c r="A756" s="2"/>
      <c r="B756" s="2"/>
      <c r="C756" s="9">
        <v>3</v>
      </c>
      <c r="D756" s="9">
        <v>14</v>
      </c>
      <c r="E756" s="9">
        <v>18</v>
      </c>
      <c r="F756" s="9">
        <v>51</v>
      </c>
      <c r="G756" s="9">
        <v>62</v>
      </c>
      <c r="H756" s="9">
        <v>68</v>
      </c>
      <c r="I756" s="1"/>
      <c r="J756" s="9">
        <v>68</v>
      </c>
      <c r="K756" s="1"/>
      <c r="L756" s="171">
        <v>45066</v>
      </c>
      <c r="M756" s="1"/>
    </row>
    <row r="757" spans="1:13" s="19" customFormat="1" x14ac:dyDescent="0.25">
      <c r="A757" s="2"/>
      <c r="B757" s="2"/>
      <c r="C757" s="9">
        <v>14</v>
      </c>
      <c r="D757" s="9">
        <v>29</v>
      </c>
      <c r="E757" s="9">
        <v>40</v>
      </c>
      <c r="F757" s="9">
        <v>46</v>
      </c>
      <c r="G757" s="9">
        <v>79</v>
      </c>
      <c r="H757" s="9">
        <v>89</v>
      </c>
      <c r="I757" s="1"/>
      <c r="J757" s="9">
        <v>89</v>
      </c>
      <c r="K757" s="1"/>
      <c r="L757" s="171">
        <v>45065</v>
      </c>
      <c r="M757" s="1"/>
    </row>
    <row r="758" spans="1:13" s="19" customFormat="1" x14ac:dyDescent="0.25">
      <c r="A758" s="2"/>
      <c r="B758" s="2"/>
      <c r="C758" s="9">
        <v>10</v>
      </c>
      <c r="D758" s="9">
        <v>13</v>
      </c>
      <c r="E758" s="9">
        <v>20</v>
      </c>
      <c r="F758" s="9">
        <v>31</v>
      </c>
      <c r="G758" s="9">
        <v>69</v>
      </c>
      <c r="H758" s="9">
        <v>87</v>
      </c>
      <c r="I758" s="1"/>
      <c r="J758" s="9">
        <v>87</v>
      </c>
      <c r="K758" s="1"/>
      <c r="L758" s="171">
        <v>45061</v>
      </c>
      <c r="M758" s="1"/>
    </row>
    <row r="759" spans="1:13" s="19" customFormat="1" x14ac:dyDescent="0.25">
      <c r="A759" s="2"/>
      <c r="B759" s="2"/>
      <c r="C759" s="9">
        <v>25</v>
      </c>
      <c r="D759" s="9">
        <v>49</v>
      </c>
      <c r="E759" s="9">
        <v>66</v>
      </c>
      <c r="F759" s="9">
        <v>80</v>
      </c>
      <c r="G759" s="9">
        <v>81</v>
      </c>
      <c r="H759" s="9">
        <v>88</v>
      </c>
      <c r="I759" s="1"/>
      <c r="J759" s="9">
        <v>88</v>
      </c>
      <c r="K759" s="1"/>
      <c r="L759" s="171">
        <v>45059</v>
      </c>
      <c r="M759" s="1"/>
    </row>
    <row r="760" spans="1:13" s="19" customFormat="1" x14ac:dyDescent="0.25">
      <c r="A760" s="2"/>
      <c r="B760" s="2"/>
      <c r="C760" s="9">
        <v>17</v>
      </c>
      <c r="D760" s="9">
        <v>30</v>
      </c>
      <c r="E760" s="9">
        <v>35</v>
      </c>
      <c r="F760" s="9">
        <v>62</v>
      </c>
      <c r="G760" s="9">
        <v>89</v>
      </c>
      <c r="H760" s="9">
        <v>90</v>
      </c>
      <c r="I760" s="1"/>
      <c r="J760" s="9">
        <v>90</v>
      </c>
      <c r="K760" s="1"/>
      <c r="L760" s="171">
        <v>45056</v>
      </c>
      <c r="M760" s="1"/>
    </row>
    <row r="761" spans="1:13" s="19" customFormat="1" x14ac:dyDescent="0.25">
      <c r="A761" s="2"/>
      <c r="B761" s="2"/>
      <c r="C761" s="9">
        <v>9</v>
      </c>
      <c r="D761" s="9">
        <v>15</v>
      </c>
      <c r="E761" s="9">
        <v>46</v>
      </c>
      <c r="F761" s="9">
        <v>47</v>
      </c>
      <c r="G761" s="9">
        <v>57</v>
      </c>
      <c r="H761" s="9">
        <v>67</v>
      </c>
      <c r="I761" s="1"/>
      <c r="J761" s="9">
        <v>67</v>
      </c>
      <c r="K761" s="1"/>
      <c r="L761" s="171">
        <v>45054</v>
      </c>
      <c r="M761" s="1"/>
    </row>
    <row r="762" spans="1:13" s="19" customFormat="1" x14ac:dyDescent="0.25">
      <c r="A762" s="2"/>
      <c r="B762" s="2"/>
      <c r="C762" s="9">
        <v>21</v>
      </c>
      <c r="D762" s="9">
        <v>29</v>
      </c>
      <c r="E762" s="9">
        <v>66</v>
      </c>
      <c r="F762" s="9">
        <v>67</v>
      </c>
      <c r="G762" s="9">
        <v>82</v>
      </c>
      <c r="H762" s="9">
        <v>87</v>
      </c>
      <c r="I762" s="1"/>
      <c r="J762" s="9">
        <v>87</v>
      </c>
      <c r="K762" s="1"/>
      <c r="L762" s="171">
        <v>45052</v>
      </c>
      <c r="M762" s="1"/>
    </row>
    <row r="763" spans="1:13" s="19" customFormat="1" x14ac:dyDescent="0.25">
      <c r="A763" s="2"/>
      <c r="B763" s="2"/>
      <c r="C763" s="9">
        <v>7</v>
      </c>
      <c r="D763" s="9">
        <v>18</v>
      </c>
      <c r="E763" s="9">
        <v>45</v>
      </c>
      <c r="F763" s="9">
        <v>47</v>
      </c>
      <c r="G763" s="9">
        <v>61</v>
      </c>
      <c r="H763" s="9">
        <v>88</v>
      </c>
      <c r="I763" s="1"/>
      <c r="J763" s="9">
        <v>88</v>
      </c>
      <c r="K763" s="1"/>
      <c r="L763" s="171">
        <v>45049</v>
      </c>
      <c r="M763" s="1"/>
    </row>
    <row r="764" spans="1:13" s="19" customFormat="1" x14ac:dyDescent="0.25">
      <c r="A764" s="2"/>
      <c r="B764" s="2"/>
      <c r="C764" s="9">
        <v>34</v>
      </c>
      <c r="D764" s="9">
        <v>39</v>
      </c>
      <c r="E764" s="9">
        <v>43</v>
      </c>
      <c r="F764" s="9">
        <v>49</v>
      </c>
      <c r="G764" s="9">
        <v>56</v>
      </c>
      <c r="H764" s="9">
        <v>57</v>
      </c>
      <c r="I764" s="1"/>
      <c r="J764" s="9">
        <v>57</v>
      </c>
      <c r="K764" s="1"/>
      <c r="L764" s="171">
        <v>45047</v>
      </c>
      <c r="M764" s="1"/>
    </row>
    <row r="765" spans="1:13" s="19" customFormat="1" x14ac:dyDescent="0.25">
      <c r="A765" s="2"/>
      <c r="B765" s="2"/>
      <c r="C765" s="9">
        <v>8</v>
      </c>
      <c r="D765" s="9">
        <v>11</v>
      </c>
      <c r="E765" s="9">
        <v>41</v>
      </c>
      <c r="F765" s="9">
        <v>58</v>
      </c>
      <c r="G765" s="9">
        <v>84</v>
      </c>
      <c r="H765" s="9">
        <v>87</v>
      </c>
      <c r="I765" s="1"/>
      <c r="J765" s="9">
        <v>87</v>
      </c>
      <c r="K765" s="1"/>
      <c r="L765" s="171">
        <v>45045</v>
      </c>
      <c r="M765" s="1"/>
    </row>
    <row r="766" spans="1:13" s="19" customFormat="1" x14ac:dyDescent="0.25">
      <c r="A766" s="2"/>
      <c r="B766" s="2"/>
      <c r="C766" s="9">
        <v>8</v>
      </c>
      <c r="D766" s="9">
        <v>25</v>
      </c>
      <c r="E766" s="9">
        <v>53</v>
      </c>
      <c r="F766" s="9">
        <v>62</v>
      </c>
      <c r="G766" s="9">
        <v>71</v>
      </c>
      <c r="H766" s="9">
        <v>82</v>
      </c>
      <c r="I766" s="1"/>
      <c r="J766" s="9">
        <v>82</v>
      </c>
      <c r="K766" s="1"/>
      <c r="L766" s="171">
        <v>45042</v>
      </c>
      <c r="M766" s="1"/>
    </row>
    <row r="767" spans="1:13" s="19" customFormat="1" x14ac:dyDescent="0.25">
      <c r="A767" s="2"/>
      <c r="B767" s="2"/>
      <c r="C767" s="9">
        <v>12</v>
      </c>
      <c r="D767" s="9">
        <v>15</v>
      </c>
      <c r="E767" s="9">
        <v>45</v>
      </c>
      <c r="F767" s="9">
        <v>62</v>
      </c>
      <c r="G767" s="9">
        <v>74</v>
      </c>
      <c r="H767" s="9">
        <v>84</v>
      </c>
      <c r="I767" s="1"/>
      <c r="J767" s="9">
        <v>84</v>
      </c>
      <c r="K767" s="1"/>
      <c r="L767" s="171">
        <v>45040</v>
      </c>
      <c r="M767" s="1"/>
    </row>
    <row r="768" spans="1:13" s="19" customFormat="1" x14ac:dyDescent="0.25">
      <c r="A768" s="2"/>
      <c r="B768" s="2"/>
      <c r="C768" s="9">
        <v>7</v>
      </c>
      <c r="D768" s="9">
        <v>8</v>
      </c>
      <c r="E768" s="9">
        <v>11</v>
      </c>
      <c r="F768" s="9">
        <v>20</v>
      </c>
      <c r="G768" s="9">
        <v>46</v>
      </c>
      <c r="H768" s="9">
        <v>76</v>
      </c>
      <c r="I768" s="1"/>
      <c r="J768" s="9">
        <v>76</v>
      </c>
      <c r="K768" s="1"/>
      <c r="L768" s="171">
        <v>45038</v>
      </c>
      <c r="M768" s="1"/>
    </row>
    <row r="769" spans="1:13" s="19" customFormat="1" x14ac:dyDescent="0.25">
      <c r="A769" s="2"/>
      <c r="B769" s="2"/>
      <c r="C769" s="9">
        <v>35</v>
      </c>
      <c r="D769" s="9">
        <v>41</v>
      </c>
      <c r="E769" s="9">
        <v>42</v>
      </c>
      <c r="F769" s="9">
        <v>46</v>
      </c>
      <c r="G769" s="9">
        <v>70</v>
      </c>
      <c r="H769" s="9">
        <v>87</v>
      </c>
      <c r="I769" s="1"/>
      <c r="J769" s="9">
        <v>87</v>
      </c>
      <c r="K769" s="1"/>
      <c r="L769" s="171">
        <v>45035</v>
      </c>
      <c r="M769" s="1"/>
    </row>
    <row r="770" spans="1:13" s="19" customFormat="1" x14ac:dyDescent="0.25">
      <c r="A770" s="2"/>
      <c r="B770" s="2"/>
      <c r="C770" s="9">
        <v>5</v>
      </c>
      <c r="D770" s="9">
        <v>6</v>
      </c>
      <c r="E770" s="9">
        <v>18</v>
      </c>
      <c r="F770" s="9">
        <v>25</v>
      </c>
      <c r="G770" s="9">
        <v>48</v>
      </c>
      <c r="H770" s="9">
        <v>72</v>
      </c>
      <c r="I770" s="1"/>
      <c r="J770" s="9">
        <v>72</v>
      </c>
      <c r="K770" s="1"/>
      <c r="L770" s="171">
        <v>45033</v>
      </c>
      <c r="M770" s="1"/>
    </row>
    <row r="771" spans="1:13" s="19" customFormat="1" x14ac:dyDescent="0.25">
      <c r="A771" s="2"/>
      <c r="B771" s="2"/>
      <c r="C771" s="9">
        <v>9</v>
      </c>
      <c r="D771" s="9">
        <v>26</v>
      </c>
      <c r="E771" s="9">
        <v>39</v>
      </c>
      <c r="F771" s="9">
        <v>43</v>
      </c>
      <c r="G771" s="9">
        <v>56</v>
      </c>
      <c r="H771" s="9">
        <v>64</v>
      </c>
      <c r="I771" s="1"/>
      <c r="J771" s="9">
        <v>64</v>
      </c>
      <c r="K771" s="1"/>
      <c r="L771" s="171">
        <v>45031</v>
      </c>
      <c r="M771" s="1"/>
    </row>
    <row r="772" spans="1:13" s="19" customFormat="1" x14ac:dyDescent="0.25">
      <c r="A772" s="2"/>
      <c r="B772" s="2"/>
      <c r="C772" s="9">
        <v>38</v>
      </c>
      <c r="D772" s="9">
        <v>42</v>
      </c>
      <c r="E772" s="9">
        <v>63</v>
      </c>
      <c r="F772" s="9">
        <v>65</v>
      </c>
      <c r="G772" s="9">
        <v>82</v>
      </c>
      <c r="H772" s="9">
        <v>85</v>
      </c>
      <c r="I772" s="1"/>
      <c r="J772" s="9">
        <v>85</v>
      </c>
      <c r="K772" s="1"/>
      <c r="L772" s="171">
        <v>45028</v>
      </c>
      <c r="M772" s="1"/>
    </row>
    <row r="773" spans="1:13" s="19" customFormat="1" x14ac:dyDescent="0.25">
      <c r="A773" s="2"/>
      <c r="B773" s="2"/>
      <c r="C773" s="9">
        <v>1</v>
      </c>
      <c r="D773" s="9">
        <v>2</v>
      </c>
      <c r="E773" s="9">
        <v>11</v>
      </c>
      <c r="F773" s="9">
        <v>33</v>
      </c>
      <c r="G773" s="9">
        <v>38</v>
      </c>
      <c r="H773" s="9">
        <v>89</v>
      </c>
      <c r="I773" s="1"/>
      <c r="J773" s="9">
        <v>89</v>
      </c>
      <c r="K773" s="1"/>
      <c r="L773" s="171">
        <v>45026</v>
      </c>
      <c r="M773" s="1"/>
    </row>
    <row r="774" spans="1:13" s="19" customFormat="1" x14ac:dyDescent="0.25">
      <c r="A774" s="2"/>
      <c r="B774" s="2"/>
      <c r="C774" s="9">
        <v>5</v>
      </c>
      <c r="D774" s="9">
        <v>20</v>
      </c>
      <c r="E774" s="9">
        <v>21</v>
      </c>
      <c r="F774" s="9">
        <v>31</v>
      </c>
      <c r="G774" s="9">
        <v>40</v>
      </c>
      <c r="H774" s="9">
        <v>51</v>
      </c>
      <c r="I774" s="1"/>
      <c r="J774" s="9">
        <v>51</v>
      </c>
      <c r="K774" s="1"/>
      <c r="L774" s="171">
        <v>45024</v>
      </c>
      <c r="M774" s="1"/>
    </row>
    <row r="775" spans="1:13" s="19" customFormat="1" x14ac:dyDescent="0.25">
      <c r="A775" s="2"/>
      <c r="B775" s="2"/>
      <c r="C775" s="9">
        <v>25</v>
      </c>
      <c r="D775" s="9">
        <v>36</v>
      </c>
      <c r="E775" s="9">
        <v>39</v>
      </c>
      <c r="F775" s="9">
        <v>47</v>
      </c>
      <c r="G775" s="9">
        <v>55</v>
      </c>
      <c r="H775" s="9">
        <v>58</v>
      </c>
      <c r="I775" s="1"/>
      <c r="J775" s="9">
        <v>58</v>
      </c>
      <c r="K775" s="1"/>
      <c r="L775" s="171">
        <v>45021</v>
      </c>
      <c r="M775" s="1"/>
    </row>
    <row r="776" spans="1:13" s="19" customFormat="1" x14ac:dyDescent="0.25">
      <c r="A776" s="2"/>
      <c r="B776" s="2"/>
      <c r="C776" s="9">
        <v>2</v>
      </c>
      <c r="D776" s="9">
        <v>11</v>
      </c>
      <c r="E776" s="9">
        <v>47</v>
      </c>
      <c r="F776" s="9">
        <v>61</v>
      </c>
      <c r="G776" s="9">
        <v>80</v>
      </c>
      <c r="H776" s="9">
        <v>89</v>
      </c>
      <c r="I776" s="1"/>
      <c r="J776" s="9">
        <v>89</v>
      </c>
      <c r="K776" s="1"/>
      <c r="L776" s="171">
        <v>45019</v>
      </c>
      <c r="M776" s="1"/>
    </row>
    <row r="777" spans="1:13" s="19" customFormat="1" x14ac:dyDescent="0.25">
      <c r="A777" s="2"/>
      <c r="B777" s="2"/>
      <c r="C777" s="9">
        <v>10</v>
      </c>
      <c r="D777" s="9">
        <v>28</v>
      </c>
      <c r="E777" s="9">
        <v>38</v>
      </c>
      <c r="F777" s="9">
        <v>70</v>
      </c>
      <c r="G777" s="9">
        <v>86</v>
      </c>
      <c r="H777" s="9">
        <v>89</v>
      </c>
      <c r="I777" s="1"/>
      <c r="J777" s="9">
        <v>89</v>
      </c>
      <c r="K777" s="1"/>
      <c r="L777" s="171">
        <v>45017</v>
      </c>
      <c r="M777" s="1"/>
    </row>
    <row r="778" spans="1:13" s="19" customFormat="1" x14ac:dyDescent="0.25">
      <c r="A778" s="2"/>
      <c r="B778" s="2"/>
      <c r="C778" s="9">
        <v>21</v>
      </c>
      <c r="D778" s="9">
        <v>33</v>
      </c>
      <c r="E778" s="9">
        <v>49</v>
      </c>
      <c r="F778" s="9">
        <v>50</v>
      </c>
      <c r="G778" s="9">
        <v>51</v>
      </c>
      <c r="H778" s="9">
        <v>55</v>
      </c>
      <c r="I778" s="1"/>
      <c r="J778" s="9">
        <v>55</v>
      </c>
      <c r="K778" s="1"/>
      <c r="L778" s="171">
        <v>45014</v>
      </c>
      <c r="M778" s="1"/>
    </row>
    <row r="779" spans="1:13" s="19" customFormat="1" x14ac:dyDescent="0.25">
      <c r="A779" s="2"/>
      <c r="B779" s="2"/>
      <c r="C779" s="9">
        <v>23</v>
      </c>
      <c r="D779" s="9">
        <v>25</v>
      </c>
      <c r="E779" s="9">
        <v>36</v>
      </c>
      <c r="F779" s="9">
        <v>38</v>
      </c>
      <c r="G779" s="9">
        <v>82</v>
      </c>
      <c r="H779" s="9">
        <v>83</v>
      </c>
      <c r="I779" s="1"/>
      <c r="J779" s="9">
        <v>83</v>
      </c>
      <c r="K779" s="1"/>
      <c r="L779" s="171">
        <v>45012</v>
      </c>
      <c r="M779" s="1"/>
    </row>
    <row r="780" spans="1:13" s="19" customFormat="1" x14ac:dyDescent="0.25">
      <c r="A780" s="2"/>
      <c r="B780" s="2"/>
      <c r="C780" s="9">
        <v>6</v>
      </c>
      <c r="D780" s="9">
        <v>37</v>
      </c>
      <c r="E780" s="9">
        <v>66</v>
      </c>
      <c r="F780" s="9">
        <v>72</v>
      </c>
      <c r="G780" s="9">
        <v>77</v>
      </c>
      <c r="H780" s="9">
        <v>83</v>
      </c>
      <c r="I780" s="1"/>
      <c r="J780" s="9">
        <v>83</v>
      </c>
      <c r="K780" s="1"/>
      <c r="L780" s="171">
        <v>45010</v>
      </c>
      <c r="M780" s="1"/>
    </row>
    <row r="781" spans="1:13" s="19" customFormat="1" x14ac:dyDescent="0.25">
      <c r="A781" s="2"/>
      <c r="B781" s="2"/>
      <c r="C781" s="9">
        <v>3</v>
      </c>
      <c r="D781" s="9">
        <v>29</v>
      </c>
      <c r="E781" s="9">
        <v>58</v>
      </c>
      <c r="F781" s="9">
        <v>68</v>
      </c>
      <c r="G781" s="9">
        <v>69</v>
      </c>
      <c r="H781" s="9">
        <v>77</v>
      </c>
      <c r="I781" s="1"/>
      <c r="J781" s="9">
        <v>77</v>
      </c>
      <c r="K781" s="1"/>
      <c r="L781" s="171">
        <v>45007</v>
      </c>
      <c r="M781" s="1"/>
    </row>
    <row r="782" spans="1:13" s="19" customFormat="1" x14ac:dyDescent="0.25">
      <c r="A782" s="2"/>
      <c r="B782" s="2"/>
      <c r="C782" s="9">
        <v>11</v>
      </c>
      <c r="D782" s="9">
        <v>14</v>
      </c>
      <c r="E782" s="9">
        <v>15</v>
      </c>
      <c r="F782" s="9">
        <v>25</v>
      </c>
      <c r="G782" s="9">
        <v>26</v>
      </c>
      <c r="H782" s="9">
        <v>74</v>
      </c>
      <c r="I782" s="1"/>
      <c r="J782" s="9">
        <v>74</v>
      </c>
      <c r="K782" s="1"/>
      <c r="L782" s="171">
        <v>45005</v>
      </c>
      <c r="M782" s="1"/>
    </row>
    <row r="783" spans="1:13" s="19" customFormat="1" x14ac:dyDescent="0.25">
      <c r="A783" s="2"/>
      <c r="B783" s="2"/>
      <c r="C783" s="9">
        <v>11</v>
      </c>
      <c r="D783" s="9">
        <v>18</v>
      </c>
      <c r="E783" s="9">
        <v>30</v>
      </c>
      <c r="F783" s="9">
        <v>60</v>
      </c>
      <c r="G783" s="9">
        <v>81</v>
      </c>
      <c r="H783" s="9">
        <v>84</v>
      </c>
      <c r="I783" s="1"/>
      <c r="J783" s="9">
        <v>84</v>
      </c>
      <c r="K783" s="1"/>
      <c r="L783" s="171">
        <v>45003</v>
      </c>
      <c r="M783" s="1"/>
    </row>
    <row r="784" spans="1:13" s="19" customFormat="1" x14ac:dyDescent="0.25">
      <c r="A784" s="2"/>
      <c r="B784" s="2"/>
      <c r="C784" s="9">
        <v>11</v>
      </c>
      <c r="D784" s="9">
        <v>28</v>
      </c>
      <c r="E784" s="9">
        <v>29</v>
      </c>
      <c r="F784" s="9">
        <v>58</v>
      </c>
      <c r="G784" s="9">
        <v>68</v>
      </c>
      <c r="H784" s="9">
        <v>78</v>
      </c>
      <c r="I784" s="1"/>
      <c r="J784" s="9">
        <v>78</v>
      </c>
      <c r="K784" s="1"/>
      <c r="L784" s="171">
        <v>45000</v>
      </c>
      <c r="M784" s="1"/>
    </row>
    <row r="785" spans="1:13" s="19" customFormat="1" x14ac:dyDescent="0.25">
      <c r="A785" s="2"/>
      <c r="B785" s="2"/>
      <c r="C785" s="9">
        <v>5</v>
      </c>
      <c r="D785" s="9">
        <v>30</v>
      </c>
      <c r="E785" s="9">
        <v>78</v>
      </c>
      <c r="F785" s="9">
        <v>81</v>
      </c>
      <c r="G785" s="9">
        <v>83</v>
      </c>
      <c r="H785" s="9">
        <v>90</v>
      </c>
      <c r="I785" s="1"/>
      <c r="J785" s="9">
        <v>90</v>
      </c>
      <c r="K785" s="1"/>
      <c r="L785" s="171">
        <v>44998</v>
      </c>
      <c r="M785" s="1"/>
    </row>
    <row r="786" spans="1:13" s="19" customFormat="1" x14ac:dyDescent="0.25">
      <c r="A786" s="2"/>
      <c r="B786" s="2"/>
      <c r="C786" s="9">
        <v>23</v>
      </c>
      <c r="D786" s="9">
        <v>38</v>
      </c>
      <c r="E786" s="9">
        <v>45</v>
      </c>
      <c r="F786" s="9">
        <v>66</v>
      </c>
      <c r="G786" s="9">
        <v>77</v>
      </c>
      <c r="H786" s="9">
        <v>83</v>
      </c>
      <c r="I786" s="1"/>
      <c r="J786" s="9">
        <v>83</v>
      </c>
      <c r="K786" s="1"/>
      <c r="L786" s="171">
        <v>44996</v>
      </c>
      <c r="M786" s="1"/>
    </row>
    <row r="787" spans="1:13" s="19" customFormat="1" x14ac:dyDescent="0.25">
      <c r="A787" s="2"/>
      <c r="B787" s="2"/>
      <c r="C787" s="9">
        <v>28</v>
      </c>
      <c r="D787" s="9">
        <v>29</v>
      </c>
      <c r="E787" s="9">
        <v>30</v>
      </c>
      <c r="F787" s="9">
        <v>37</v>
      </c>
      <c r="G787" s="9">
        <v>61</v>
      </c>
      <c r="H787" s="9">
        <v>71</v>
      </c>
      <c r="I787" s="1"/>
      <c r="J787" s="9">
        <v>71</v>
      </c>
      <c r="K787" s="1"/>
      <c r="L787" s="171">
        <v>44993</v>
      </c>
      <c r="M787" s="1"/>
    </row>
    <row r="788" spans="1:13" s="19" customFormat="1" x14ac:dyDescent="0.25">
      <c r="A788" s="2"/>
      <c r="B788" s="2"/>
      <c r="C788" s="9">
        <v>5</v>
      </c>
      <c r="D788" s="9">
        <v>7</v>
      </c>
      <c r="E788" s="9">
        <v>38</v>
      </c>
      <c r="F788" s="9">
        <v>57</v>
      </c>
      <c r="G788" s="9">
        <v>64</v>
      </c>
      <c r="H788" s="9">
        <v>66</v>
      </c>
      <c r="I788" s="1"/>
      <c r="J788" s="9">
        <v>66</v>
      </c>
      <c r="K788" s="1"/>
      <c r="L788" s="171">
        <v>44991</v>
      </c>
      <c r="M788" s="1"/>
    </row>
    <row r="789" spans="1:13" s="19" customFormat="1" x14ac:dyDescent="0.25">
      <c r="A789" s="2"/>
      <c r="B789" s="2"/>
      <c r="C789" s="9">
        <v>48</v>
      </c>
      <c r="D789" s="9">
        <v>57</v>
      </c>
      <c r="E789" s="9">
        <v>62</v>
      </c>
      <c r="F789" s="9">
        <v>74</v>
      </c>
      <c r="G789" s="9">
        <v>87</v>
      </c>
      <c r="H789" s="9">
        <v>88</v>
      </c>
      <c r="I789" s="1"/>
      <c r="J789" s="9">
        <v>88</v>
      </c>
      <c r="K789" s="1"/>
      <c r="L789" s="171">
        <v>44989</v>
      </c>
      <c r="M789" s="1"/>
    </row>
    <row r="790" spans="1:13" s="19" customFormat="1" x14ac:dyDescent="0.25">
      <c r="A790" s="2"/>
      <c r="B790" s="2"/>
      <c r="C790" s="9">
        <v>5</v>
      </c>
      <c r="D790" s="9">
        <v>6</v>
      </c>
      <c r="E790" s="9">
        <v>8</v>
      </c>
      <c r="F790" s="9">
        <v>24</v>
      </c>
      <c r="G790" s="9">
        <v>57</v>
      </c>
      <c r="H790" s="9">
        <v>58</v>
      </c>
      <c r="I790" s="1"/>
      <c r="J790" s="9">
        <v>58</v>
      </c>
      <c r="K790" s="1"/>
      <c r="L790" s="171">
        <v>44986</v>
      </c>
      <c r="M790" s="1"/>
    </row>
    <row r="791" spans="1:13" s="19" customFormat="1" x14ac:dyDescent="0.25">
      <c r="A791" s="2"/>
      <c r="B791" s="2"/>
      <c r="C791" s="9">
        <v>6</v>
      </c>
      <c r="D791" s="9">
        <v>7</v>
      </c>
      <c r="E791" s="9">
        <v>71</v>
      </c>
      <c r="F791" s="9">
        <v>74</v>
      </c>
      <c r="G791" s="9">
        <v>82</v>
      </c>
      <c r="H791" s="9">
        <v>86</v>
      </c>
      <c r="I791" s="1"/>
      <c r="J791" s="9">
        <v>86</v>
      </c>
      <c r="K791" s="1"/>
      <c r="L791" s="171">
        <v>44984</v>
      </c>
      <c r="M791" s="1"/>
    </row>
    <row r="792" spans="1:13" s="19" customFormat="1" x14ac:dyDescent="0.25">
      <c r="A792" s="2"/>
      <c r="B792" s="2"/>
      <c r="C792" s="9">
        <v>1</v>
      </c>
      <c r="D792" s="9">
        <v>17</v>
      </c>
      <c r="E792" s="9">
        <v>25</v>
      </c>
      <c r="F792" s="9">
        <v>55</v>
      </c>
      <c r="G792" s="9">
        <v>62</v>
      </c>
      <c r="H792" s="9">
        <v>77</v>
      </c>
      <c r="I792" s="1"/>
      <c r="J792" s="9">
        <v>77</v>
      </c>
      <c r="K792" s="1"/>
      <c r="L792" s="171">
        <v>44982</v>
      </c>
      <c r="M792" s="1"/>
    </row>
    <row r="793" spans="1:13" s="19" customFormat="1" x14ac:dyDescent="0.25">
      <c r="A793" s="2"/>
      <c r="B793" s="2"/>
      <c r="C793" s="9">
        <v>21</v>
      </c>
      <c r="D793" s="9">
        <v>24</v>
      </c>
      <c r="E793" s="9">
        <v>63</v>
      </c>
      <c r="F793" s="9">
        <v>72</v>
      </c>
      <c r="G793" s="9">
        <v>80</v>
      </c>
      <c r="H793" s="9">
        <v>86</v>
      </c>
      <c r="I793" s="1"/>
      <c r="J793" s="9">
        <v>86</v>
      </c>
      <c r="K793" s="1"/>
      <c r="L793" s="171">
        <v>44979</v>
      </c>
      <c r="M793" s="1"/>
    </row>
    <row r="794" spans="1:13" s="19" customFormat="1" x14ac:dyDescent="0.25">
      <c r="A794" s="2"/>
      <c r="B794" s="2"/>
      <c r="C794" s="9">
        <v>5</v>
      </c>
      <c r="D794" s="9">
        <v>13</v>
      </c>
      <c r="E794" s="9">
        <v>42</v>
      </c>
      <c r="F794" s="9">
        <v>45</v>
      </c>
      <c r="G794" s="9">
        <v>68</v>
      </c>
      <c r="H794" s="9">
        <v>81</v>
      </c>
      <c r="I794" s="1"/>
      <c r="J794" s="9">
        <v>81</v>
      </c>
      <c r="K794" s="1"/>
      <c r="L794" s="171">
        <v>44977</v>
      </c>
      <c r="M794" s="1"/>
    </row>
    <row r="795" spans="1:13" s="19" customFormat="1" x14ac:dyDescent="0.25">
      <c r="A795" s="2"/>
      <c r="B795" s="2"/>
      <c r="C795" s="9">
        <v>20</v>
      </c>
      <c r="D795" s="9">
        <v>23</v>
      </c>
      <c r="E795" s="9">
        <v>40</v>
      </c>
      <c r="F795" s="9">
        <v>60</v>
      </c>
      <c r="G795" s="9">
        <v>83</v>
      </c>
      <c r="H795" s="9">
        <v>85</v>
      </c>
      <c r="I795" s="1"/>
      <c r="J795" s="9">
        <v>85</v>
      </c>
      <c r="K795" s="1"/>
      <c r="L795" s="171">
        <v>44975</v>
      </c>
      <c r="M795" s="1"/>
    </row>
    <row r="796" spans="1:13" s="19" customFormat="1" x14ac:dyDescent="0.25">
      <c r="A796" s="2"/>
      <c r="B796" s="2"/>
      <c r="C796" s="9">
        <v>11</v>
      </c>
      <c r="D796" s="9">
        <v>32</v>
      </c>
      <c r="E796" s="9">
        <v>59</v>
      </c>
      <c r="F796" s="9">
        <v>60</v>
      </c>
      <c r="G796" s="9">
        <v>67</v>
      </c>
      <c r="H796" s="9">
        <v>85</v>
      </c>
      <c r="I796" s="1"/>
      <c r="J796" s="9">
        <v>85</v>
      </c>
      <c r="K796" s="1"/>
      <c r="L796" s="171">
        <v>44972</v>
      </c>
      <c r="M796" s="1"/>
    </row>
    <row r="797" spans="1:13" s="19" customFormat="1" x14ac:dyDescent="0.25">
      <c r="A797" s="2"/>
      <c r="B797" s="2"/>
      <c r="C797" s="9">
        <v>4</v>
      </c>
      <c r="D797" s="9">
        <v>7</v>
      </c>
      <c r="E797" s="9">
        <v>23</v>
      </c>
      <c r="F797" s="9">
        <v>37</v>
      </c>
      <c r="G797" s="9">
        <v>40</v>
      </c>
      <c r="H797" s="9">
        <v>50</v>
      </c>
      <c r="I797" s="1"/>
      <c r="J797" s="9">
        <v>50</v>
      </c>
      <c r="K797" s="1"/>
      <c r="L797" s="171">
        <v>44970</v>
      </c>
      <c r="M797" s="1"/>
    </row>
    <row r="798" spans="1:13" s="19" customFormat="1" x14ac:dyDescent="0.25">
      <c r="A798" s="2"/>
      <c r="B798" s="2"/>
      <c r="C798" s="9">
        <v>6</v>
      </c>
      <c r="D798" s="9">
        <v>11</v>
      </c>
      <c r="E798" s="9">
        <v>16</v>
      </c>
      <c r="F798" s="9">
        <v>46</v>
      </c>
      <c r="G798" s="9">
        <v>59</v>
      </c>
      <c r="H798" s="9">
        <v>69</v>
      </c>
      <c r="I798" s="1"/>
      <c r="J798" s="9">
        <v>69</v>
      </c>
      <c r="K798" s="1"/>
      <c r="L798" s="171">
        <v>44968</v>
      </c>
      <c r="M798" s="1"/>
    </row>
    <row r="799" spans="1:13" s="19" customFormat="1" x14ac:dyDescent="0.25">
      <c r="A799" s="2"/>
      <c r="B799" s="2"/>
      <c r="C799" s="9">
        <v>5</v>
      </c>
      <c r="D799" s="9">
        <v>6</v>
      </c>
      <c r="E799" s="9">
        <v>21</v>
      </c>
      <c r="F799" s="9">
        <v>44</v>
      </c>
      <c r="G799" s="9">
        <v>71</v>
      </c>
      <c r="H799" s="9">
        <v>79</v>
      </c>
      <c r="I799" s="1"/>
      <c r="J799" s="9">
        <v>79</v>
      </c>
      <c r="K799" s="1"/>
      <c r="L799" s="171">
        <v>44965</v>
      </c>
      <c r="M799" s="1"/>
    </row>
    <row r="800" spans="1:13" s="19" customFormat="1" x14ac:dyDescent="0.25">
      <c r="A800" s="2"/>
      <c r="B800" s="2"/>
      <c r="C800" s="9">
        <v>12</v>
      </c>
      <c r="D800" s="9">
        <v>30</v>
      </c>
      <c r="E800" s="9">
        <v>48</v>
      </c>
      <c r="F800" s="9">
        <v>52</v>
      </c>
      <c r="G800" s="9">
        <v>61</v>
      </c>
      <c r="H800" s="9">
        <v>82</v>
      </c>
      <c r="I800" s="1"/>
      <c r="J800" s="9">
        <v>82</v>
      </c>
      <c r="K800" s="1"/>
      <c r="L800" s="171">
        <v>44963</v>
      </c>
      <c r="M800" s="1"/>
    </row>
    <row r="801" spans="1:13" s="19" customFormat="1" x14ac:dyDescent="0.25">
      <c r="A801" s="2"/>
      <c r="B801" s="2"/>
      <c r="C801" s="9">
        <v>25</v>
      </c>
      <c r="D801" s="9">
        <v>31</v>
      </c>
      <c r="E801" s="9">
        <v>37</v>
      </c>
      <c r="F801" s="9">
        <v>38</v>
      </c>
      <c r="G801" s="9">
        <v>56</v>
      </c>
      <c r="H801" s="9">
        <v>85</v>
      </c>
      <c r="I801" s="1"/>
      <c r="J801" s="9">
        <v>85</v>
      </c>
      <c r="K801" s="1"/>
      <c r="L801" s="171">
        <v>44961</v>
      </c>
      <c r="M801" s="1"/>
    </row>
    <row r="802" spans="1:13" s="19" customFormat="1" x14ac:dyDescent="0.25">
      <c r="A802" s="2"/>
      <c r="B802" s="2"/>
      <c r="C802" s="9">
        <v>12</v>
      </c>
      <c r="D802" s="9">
        <v>13</v>
      </c>
      <c r="E802" s="9">
        <v>79</v>
      </c>
      <c r="F802" s="9">
        <v>87</v>
      </c>
      <c r="G802" s="9">
        <v>88</v>
      </c>
      <c r="H802" s="9">
        <v>89</v>
      </c>
      <c r="I802" s="1"/>
      <c r="J802" s="9">
        <v>89</v>
      </c>
      <c r="K802" s="1"/>
      <c r="L802" s="171">
        <v>44958</v>
      </c>
      <c r="M802" s="1"/>
    </row>
    <row r="803" spans="1:13" s="19" customFormat="1" x14ac:dyDescent="0.25">
      <c r="A803" s="2"/>
      <c r="B803" s="2"/>
      <c r="C803" s="9">
        <v>7</v>
      </c>
      <c r="D803" s="9">
        <v>61</v>
      </c>
      <c r="E803" s="9">
        <v>63</v>
      </c>
      <c r="F803" s="9">
        <v>75</v>
      </c>
      <c r="G803" s="9">
        <v>83</v>
      </c>
      <c r="H803" s="9">
        <v>89</v>
      </c>
      <c r="I803" s="1"/>
      <c r="J803" s="9">
        <v>89</v>
      </c>
      <c r="K803" s="1"/>
      <c r="L803" s="171">
        <v>44956</v>
      </c>
      <c r="M803" s="1"/>
    </row>
    <row r="804" spans="1:13" s="19" customFormat="1" x14ac:dyDescent="0.25">
      <c r="A804" s="2"/>
      <c r="B804" s="2"/>
      <c r="C804" s="9">
        <v>7</v>
      </c>
      <c r="D804" s="9">
        <v>11</v>
      </c>
      <c r="E804" s="9">
        <v>29</v>
      </c>
      <c r="F804" s="9">
        <v>44</v>
      </c>
      <c r="G804" s="9">
        <v>45</v>
      </c>
      <c r="H804" s="9">
        <v>84</v>
      </c>
      <c r="I804" s="1"/>
      <c r="J804" s="9">
        <v>84</v>
      </c>
      <c r="K804" s="1"/>
      <c r="L804" s="171">
        <v>44954</v>
      </c>
      <c r="M804" s="1"/>
    </row>
    <row r="805" spans="1:13" s="19" customFormat="1" x14ac:dyDescent="0.25">
      <c r="A805" s="2"/>
      <c r="B805" s="2"/>
      <c r="C805" s="9">
        <v>26</v>
      </c>
      <c r="D805" s="9">
        <v>29</v>
      </c>
      <c r="E805" s="9">
        <v>40</v>
      </c>
      <c r="F805" s="9">
        <v>63</v>
      </c>
      <c r="G805" s="9">
        <v>70</v>
      </c>
      <c r="H805" s="9">
        <v>88</v>
      </c>
      <c r="I805" s="1"/>
      <c r="J805" s="9">
        <v>88</v>
      </c>
      <c r="K805" s="1"/>
      <c r="L805" s="171">
        <v>44951</v>
      </c>
      <c r="M805" s="1"/>
    </row>
    <row r="806" spans="1:13" s="19" customFormat="1" x14ac:dyDescent="0.25">
      <c r="A806" s="2"/>
      <c r="B806" s="2"/>
      <c r="C806" s="9">
        <v>4</v>
      </c>
      <c r="D806" s="9">
        <v>17</v>
      </c>
      <c r="E806" s="9">
        <v>30</v>
      </c>
      <c r="F806" s="9">
        <v>65</v>
      </c>
      <c r="G806" s="9">
        <v>69</v>
      </c>
      <c r="H806" s="9">
        <v>78</v>
      </c>
      <c r="I806" s="1"/>
      <c r="J806" s="9">
        <v>78</v>
      </c>
      <c r="K806" s="1"/>
      <c r="L806" s="171">
        <v>44949</v>
      </c>
      <c r="M806" s="1"/>
    </row>
    <row r="807" spans="1:13" s="19" customFormat="1" x14ac:dyDescent="0.25">
      <c r="A807" s="2"/>
      <c r="B807" s="2"/>
      <c r="C807" s="9">
        <v>39</v>
      </c>
      <c r="D807" s="9">
        <v>49</v>
      </c>
      <c r="E807" s="9">
        <v>62</v>
      </c>
      <c r="F807" s="9">
        <v>81</v>
      </c>
      <c r="G807" s="9">
        <v>87</v>
      </c>
      <c r="H807" s="9">
        <v>88</v>
      </c>
      <c r="I807" s="1"/>
      <c r="J807" s="9">
        <v>88</v>
      </c>
      <c r="K807" s="1"/>
      <c r="L807" s="171">
        <v>44947</v>
      </c>
      <c r="M807" s="1"/>
    </row>
    <row r="808" spans="1:13" s="19" customFormat="1" x14ac:dyDescent="0.25">
      <c r="A808" s="2"/>
      <c r="B808" s="2"/>
      <c r="C808" s="9">
        <v>10</v>
      </c>
      <c r="D808" s="9">
        <v>22</v>
      </c>
      <c r="E808" s="9">
        <v>35</v>
      </c>
      <c r="F808" s="9">
        <v>44</v>
      </c>
      <c r="G808" s="9">
        <v>52</v>
      </c>
      <c r="H808" s="9">
        <v>85</v>
      </c>
      <c r="I808" s="1"/>
      <c r="J808" s="9">
        <v>85</v>
      </c>
      <c r="K808" s="1"/>
      <c r="L808" s="171">
        <v>44944</v>
      </c>
      <c r="M808" s="1"/>
    </row>
    <row r="809" spans="1:13" s="19" customFormat="1" x14ac:dyDescent="0.25">
      <c r="A809" s="2"/>
      <c r="B809" s="2"/>
      <c r="C809" s="9">
        <v>2</v>
      </c>
      <c r="D809" s="9">
        <v>23</v>
      </c>
      <c r="E809" s="9">
        <v>34</v>
      </c>
      <c r="F809" s="9">
        <v>41</v>
      </c>
      <c r="G809" s="9">
        <v>57</v>
      </c>
      <c r="H809" s="9">
        <v>70</v>
      </c>
      <c r="I809" s="1"/>
      <c r="J809" s="9">
        <v>70</v>
      </c>
      <c r="K809" s="1"/>
      <c r="L809" s="171">
        <v>44942</v>
      </c>
      <c r="M809" s="1"/>
    </row>
    <row r="810" spans="1:13" s="19" customFormat="1" x14ac:dyDescent="0.25">
      <c r="A810" s="2"/>
      <c r="B810" s="2"/>
      <c r="C810" s="9">
        <v>8</v>
      </c>
      <c r="D810" s="9">
        <v>34</v>
      </c>
      <c r="E810" s="9">
        <v>56</v>
      </c>
      <c r="F810" s="9">
        <v>77</v>
      </c>
      <c r="G810" s="9">
        <v>85</v>
      </c>
      <c r="H810" s="9">
        <v>89</v>
      </c>
      <c r="I810" s="1"/>
      <c r="J810" s="9">
        <v>89</v>
      </c>
      <c r="K810" s="1"/>
      <c r="L810" s="171">
        <v>44940</v>
      </c>
      <c r="M810" s="1"/>
    </row>
    <row r="811" spans="1:13" s="19" customFormat="1" x14ac:dyDescent="0.25">
      <c r="A811" s="2"/>
      <c r="B811" s="2"/>
      <c r="C811" s="9">
        <v>1</v>
      </c>
      <c r="D811" s="9">
        <v>22</v>
      </c>
      <c r="E811" s="9">
        <v>32</v>
      </c>
      <c r="F811" s="9">
        <v>50</v>
      </c>
      <c r="G811" s="9">
        <v>74</v>
      </c>
      <c r="H811" s="9">
        <v>81</v>
      </c>
      <c r="I811" s="1"/>
      <c r="J811" s="9">
        <v>81</v>
      </c>
      <c r="K811" s="1"/>
      <c r="L811" s="171">
        <v>44937</v>
      </c>
      <c r="M811" s="1"/>
    </row>
    <row r="812" spans="1:13" s="19" customFormat="1" x14ac:dyDescent="0.25">
      <c r="A812" s="2"/>
      <c r="B812" s="2"/>
      <c r="C812" s="9">
        <v>4</v>
      </c>
      <c r="D812" s="9">
        <v>21</v>
      </c>
      <c r="E812" s="9">
        <v>23</v>
      </c>
      <c r="F812" s="9">
        <v>33</v>
      </c>
      <c r="G812" s="9">
        <v>35</v>
      </c>
      <c r="H812" s="9">
        <v>48</v>
      </c>
      <c r="I812" s="1"/>
      <c r="J812" s="9">
        <v>48</v>
      </c>
      <c r="K812" s="1"/>
      <c r="L812" s="171">
        <v>44935</v>
      </c>
      <c r="M812" s="1"/>
    </row>
    <row r="813" spans="1:13" s="19" customFormat="1" x14ac:dyDescent="0.25">
      <c r="A813" s="2"/>
      <c r="B813" s="2"/>
      <c r="C813" s="9">
        <v>21</v>
      </c>
      <c r="D813" s="9">
        <v>45</v>
      </c>
      <c r="E813" s="9">
        <v>51</v>
      </c>
      <c r="F813" s="9">
        <v>58</v>
      </c>
      <c r="G813" s="9">
        <v>63</v>
      </c>
      <c r="H813" s="9">
        <v>87</v>
      </c>
      <c r="I813" s="1"/>
      <c r="J813" s="9">
        <v>87</v>
      </c>
      <c r="K813" s="1"/>
      <c r="L813" s="171">
        <v>44933</v>
      </c>
      <c r="M813" s="1"/>
    </row>
    <row r="814" spans="1:13" s="19" customFormat="1" x14ac:dyDescent="0.25">
      <c r="A814" s="2"/>
      <c r="B814" s="2"/>
      <c r="C814" s="9">
        <v>5</v>
      </c>
      <c r="D814" s="9">
        <v>28</v>
      </c>
      <c r="E814" s="9">
        <v>48</v>
      </c>
      <c r="F814" s="9">
        <v>60</v>
      </c>
      <c r="G814" s="9">
        <v>63</v>
      </c>
      <c r="H814" s="9">
        <v>80</v>
      </c>
      <c r="I814" s="1"/>
      <c r="J814" s="9">
        <v>80</v>
      </c>
      <c r="K814" s="1"/>
      <c r="L814" s="171">
        <v>44930</v>
      </c>
      <c r="M814" s="1"/>
    </row>
    <row r="815" spans="1:13" s="19" customFormat="1" x14ac:dyDescent="0.25">
      <c r="A815" s="2"/>
      <c r="B815" s="2"/>
      <c r="C815" s="9">
        <v>2</v>
      </c>
      <c r="D815" s="9">
        <v>6</v>
      </c>
      <c r="E815" s="9">
        <v>9</v>
      </c>
      <c r="F815" s="9">
        <v>25</v>
      </c>
      <c r="G815" s="9">
        <v>50</v>
      </c>
      <c r="H815" s="9">
        <v>65</v>
      </c>
      <c r="I815" s="1"/>
      <c r="J815" s="9">
        <v>65</v>
      </c>
      <c r="K815" s="1"/>
      <c r="L815" s="171">
        <v>44928</v>
      </c>
      <c r="M815" s="1"/>
    </row>
    <row r="816" spans="1:13" s="19" customFormat="1" x14ac:dyDescent="0.25">
      <c r="A816" s="2"/>
      <c r="B816" s="2"/>
      <c r="C816" s="9">
        <v>16</v>
      </c>
      <c r="D816" s="9">
        <v>22</v>
      </c>
      <c r="E816" s="9">
        <v>42</v>
      </c>
      <c r="F816" s="9">
        <v>64</v>
      </c>
      <c r="G816" s="9">
        <v>68</v>
      </c>
      <c r="H816" s="9">
        <v>84</v>
      </c>
      <c r="I816" s="1"/>
      <c r="J816" s="9">
        <v>84</v>
      </c>
      <c r="K816" s="1"/>
      <c r="L816" s="171">
        <v>44925</v>
      </c>
      <c r="M816" s="1"/>
    </row>
    <row r="817" spans="1:13" s="19" customFormat="1" x14ac:dyDescent="0.25">
      <c r="A817" s="2"/>
      <c r="B817" s="2"/>
      <c r="C817" s="9">
        <v>11</v>
      </c>
      <c r="D817" s="9">
        <v>28</v>
      </c>
      <c r="E817" s="9">
        <v>52</v>
      </c>
      <c r="F817" s="9">
        <v>71</v>
      </c>
      <c r="G817" s="9">
        <v>77</v>
      </c>
      <c r="H817" s="9">
        <v>87</v>
      </c>
      <c r="I817" s="1"/>
      <c r="J817" s="9">
        <v>87</v>
      </c>
      <c r="K817" s="1"/>
      <c r="L817" s="171">
        <v>44923</v>
      </c>
      <c r="M817" s="1"/>
    </row>
    <row r="818" spans="1:13" s="19" customFormat="1" x14ac:dyDescent="0.25">
      <c r="A818" s="2"/>
      <c r="B818" s="2"/>
      <c r="C818" s="9">
        <v>4</v>
      </c>
      <c r="D818" s="9">
        <v>18</v>
      </c>
      <c r="E818" s="9">
        <v>23</v>
      </c>
      <c r="F818" s="9">
        <v>33</v>
      </c>
      <c r="G818" s="9">
        <v>71</v>
      </c>
      <c r="H818" s="9">
        <v>89</v>
      </c>
      <c r="I818" s="1"/>
      <c r="J818" s="9">
        <v>89</v>
      </c>
      <c r="K818" s="1"/>
      <c r="L818" s="171">
        <v>44921</v>
      </c>
      <c r="M818" s="1"/>
    </row>
    <row r="819" spans="1:13" s="19" customFormat="1" x14ac:dyDescent="0.25">
      <c r="A819" s="2"/>
      <c r="B819" s="2"/>
      <c r="C819" s="9">
        <v>9</v>
      </c>
      <c r="D819" s="9">
        <v>31</v>
      </c>
      <c r="E819" s="9">
        <v>34</v>
      </c>
      <c r="F819" s="9">
        <v>75</v>
      </c>
      <c r="G819" s="9">
        <v>80</v>
      </c>
      <c r="H819" s="9">
        <v>86</v>
      </c>
      <c r="I819" s="1"/>
      <c r="J819" s="9">
        <v>86</v>
      </c>
      <c r="K819" s="1"/>
      <c r="L819" s="171">
        <v>44919</v>
      </c>
      <c r="M819" s="1"/>
    </row>
    <row r="820" spans="1:13" s="19" customFormat="1" x14ac:dyDescent="0.25">
      <c r="A820" s="2"/>
      <c r="B820" s="2"/>
      <c r="C820" s="9">
        <v>51</v>
      </c>
      <c r="D820" s="9">
        <v>54</v>
      </c>
      <c r="E820" s="9">
        <v>63</v>
      </c>
      <c r="F820" s="9">
        <v>67</v>
      </c>
      <c r="G820" s="9">
        <v>77</v>
      </c>
      <c r="H820" s="9">
        <v>88</v>
      </c>
      <c r="I820" s="1"/>
      <c r="J820" s="9">
        <v>88</v>
      </c>
      <c r="K820" s="1"/>
      <c r="L820" s="171">
        <v>44916</v>
      </c>
      <c r="M820" s="1"/>
    </row>
    <row r="821" spans="1:13" s="19" customFormat="1" x14ac:dyDescent="0.25">
      <c r="A821" s="2"/>
      <c r="B821" s="2"/>
      <c r="C821" s="9">
        <v>32</v>
      </c>
      <c r="D821" s="9">
        <v>35</v>
      </c>
      <c r="E821" s="9">
        <v>42</v>
      </c>
      <c r="F821" s="9">
        <v>74</v>
      </c>
      <c r="G821" s="9">
        <v>80</v>
      </c>
      <c r="H821" s="9">
        <v>84</v>
      </c>
      <c r="I821" s="1"/>
      <c r="J821" s="9">
        <v>84</v>
      </c>
      <c r="K821" s="1"/>
      <c r="L821" s="171">
        <v>44914</v>
      </c>
      <c r="M821" s="1"/>
    </row>
    <row r="822" spans="1:13" s="19" customFormat="1" x14ac:dyDescent="0.25">
      <c r="A822" s="2"/>
      <c r="B822" s="2"/>
      <c r="C822" s="9">
        <v>7</v>
      </c>
      <c r="D822" s="9">
        <v>13</v>
      </c>
      <c r="E822" s="9">
        <v>39</v>
      </c>
      <c r="F822" s="9">
        <v>41</v>
      </c>
      <c r="G822" s="9">
        <v>65</v>
      </c>
      <c r="H822" s="9">
        <v>69</v>
      </c>
      <c r="I822" s="1"/>
      <c r="J822" s="9">
        <v>69</v>
      </c>
      <c r="K822" s="1"/>
      <c r="L822" s="171">
        <v>44912</v>
      </c>
      <c r="M822" s="1"/>
    </row>
    <row r="823" spans="1:13" s="19" customFormat="1" x14ac:dyDescent="0.25">
      <c r="A823" s="2"/>
      <c r="B823" s="2"/>
      <c r="C823" s="9">
        <v>13</v>
      </c>
      <c r="D823" s="9">
        <v>27</v>
      </c>
      <c r="E823" s="9">
        <v>29</v>
      </c>
      <c r="F823" s="9">
        <v>34</v>
      </c>
      <c r="G823" s="9">
        <v>58</v>
      </c>
      <c r="H823" s="9">
        <v>82</v>
      </c>
      <c r="I823" s="1"/>
      <c r="J823" s="9">
        <v>82</v>
      </c>
      <c r="K823" s="1"/>
      <c r="L823" s="171">
        <v>44909</v>
      </c>
      <c r="M823" s="1"/>
    </row>
    <row r="824" spans="1:13" s="19" customFormat="1" x14ac:dyDescent="0.25">
      <c r="A824" s="2"/>
      <c r="B824" s="2"/>
      <c r="C824" s="9">
        <v>6</v>
      </c>
      <c r="D824" s="9">
        <v>16</v>
      </c>
      <c r="E824" s="9">
        <v>27</v>
      </c>
      <c r="F824" s="9">
        <v>32</v>
      </c>
      <c r="G824" s="9">
        <v>62</v>
      </c>
      <c r="H824" s="9">
        <v>68</v>
      </c>
      <c r="I824" s="1"/>
      <c r="J824" s="9">
        <v>68</v>
      </c>
      <c r="K824" s="1"/>
      <c r="L824" s="171">
        <v>44907</v>
      </c>
      <c r="M824" s="1"/>
    </row>
    <row r="825" spans="1:13" s="19" customFormat="1" x14ac:dyDescent="0.25">
      <c r="A825" s="2"/>
      <c r="B825" s="2"/>
      <c r="C825" s="9">
        <v>1</v>
      </c>
      <c r="D825" s="9">
        <v>41</v>
      </c>
      <c r="E825" s="9">
        <v>59</v>
      </c>
      <c r="F825" s="9">
        <v>63</v>
      </c>
      <c r="G825" s="9">
        <v>65</v>
      </c>
      <c r="H825" s="9">
        <v>86</v>
      </c>
      <c r="I825" s="1"/>
      <c r="J825" s="9">
        <v>86</v>
      </c>
      <c r="K825" s="1"/>
      <c r="L825" s="171">
        <v>44905</v>
      </c>
      <c r="M825" s="1"/>
    </row>
    <row r="826" spans="1:13" s="19" customFormat="1" x14ac:dyDescent="0.25">
      <c r="A826" s="2"/>
      <c r="B826" s="2"/>
      <c r="C826" s="9">
        <v>4</v>
      </c>
      <c r="D826" s="9">
        <v>14</v>
      </c>
      <c r="E826" s="9">
        <v>26</v>
      </c>
      <c r="F826" s="9">
        <v>39</v>
      </c>
      <c r="G826" s="9">
        <v>47</v>
      </c>
      <c r="H826" s="9">
        <v>64</v>
      </c>
      <c r="I826" s="1"/>
      <c r="J826" s="9">
        <v>64</v>
      </c>
      <c r="K826" s="1"/>
      <c r="L826" s="171">
        <v>44902</v>
      </c>
      <c r="M826" s="1"/>
    </row>
    <row r="827" spans="1:13" s="19" customFormat="1" x14ac:dyDescent="0.25">
      <c r="A827" s="2"/>
      <c r="B827" s="2"/>
      <c r="C827" s="9">
        <v>38</v>
      </c>
      <c r="D827" s="9">
        <v>44</v>
      </c>
      <c r="E827" s="9">
        <v>51</v>
      </c>
      <c r="F827" s="9">
        <v>60</v>
      </c>
      <c r="G827" s="9">
        <v>66</v>
      </c>
      <c r="H827" s="9">
        <v>80</v>
      </c>
      <c r="I827" s="1"/>
      <c r="J827" s="9">
        <v>80</v>
      </c>
      <c r="K827" s="1"/>
      <c r="L827" s="171">
        <v>44900</v>
      </c>
      <c r="M827" s="1"/>
    </row>
    <row r="828" spans="1:13" s="19" customFormat="1" x14ac:dyDescent="0.25">
      <c r="A828" s="2"/>
      <c r="B828" s="2"/>
      <c r="C828" s="9">
        <v>4</v>
      </c>
      <c r="D828" s="9">
        <v>12</v>
      </c>
      <c r="E828" s="9">
        <v>14</v>
      </c>
      <c r="F828" s="9">
        <v>52</v>
      </c>
      <c r="G828" s="9">
        <v>68</v>
      </c>
      <c r="H828" s="9">
        <v>76</v>
      </c>
      <c r="I828" s="1"/>
      <c r="J828" s="9">
        <v>76</v>
      </c>
      <c r="K828" s="1"/>
      <c r="L828" s="171">
        <v>44898</v>
      </c>
      <c r="M828" s="1"/>
    </row>
    <row r="829" spans="1:13" s="19" customFormat="1" x14ac:dyDescent="0.25">
      <c r="A829" s="2"/>
      <c r="B829" s="2"/>
      <c r="C829" s="9">
        <v>8</v>
      </c>
      <c r="D829" s="9">
        <v>14</v>
      </c>
      <c r="E829" s="9">
        <v>26</v>
      </c>
      <c r="F829" s="9">
        <v>30</v>
      </c>
      <c r="G829" s="9">
        <v>83</v>
      </c>
      <c r="H829" s="9">
        <v>84</v>
      </c>
      <c r="I829" s="1"/>
      <c r="J829" s="9">
        <v>84</v>
      </c>
      <c r="K829" s="1"/>
      <c r="L829" s="171">
        <v>44895</v>
      </c>
      <c r="M829" s="1"/>
    </row>
    <row r="830" spans="1:13" s="19" customFormat="1" x14ac:dyDescent="0.25">
      <c r="A830" s="2"/>
      <c r="B830" s="2"/>
      <c r="C830" s="9">
        <v>13</v>
      </c>
      <c r="D830" s="9">
        <v>28</v>
      </c>
      <c r="E830" s="9">
        <v>34</v>
      </c>
      <c r="F830" s="9">
        <v>67</v>
      </c>
      <c r="G830" s="9">
        <v>77</v>
      </c>
      <c r="H830" s="9">
        <v>81</v>
      </c>
      <c r="I830" s="1"/>
      <c r="J830" s="9">
        <v>81</v>
      </c>
      <c r="K830" s="1"/>
      <c r="L830" s="171">
        <v>44893</v>
      </c>
      <c r="M830" s="1"/>
    </row>
    <row r="831" spans="1:13" s="19" customFormat="1" x14ac:dyDescent="0.25">
      <c r="A831" s="2"/>
      <c r="B831" s="2"/>
      <c r="C831" s="9">
        <v>2</v>
      </c>
      <c r="D831" s="9">
        <v>12</v>
      </c>
      <c r="E831" s="9">
        <v>21</v>
      </c>
      <c r="F831" s="9">
        <v>58</v>
      </c>
      <c r="G831" s="9">
        <v>63</v>
      </c>
      <c r="H831" s="9">
        <v>64</v>
      </c>
      <c r="I831" s="1"/>
      <c r="J831" s="9">
        <v>64</v>
      </c>
      <c r="K831" s="1"/>
      <c r="L831" s="171">
        <v>44891</v>
      </c>
      <c r="M831" s="1"/>
    </row>
    <row r="832" spans="1:13" s="19" customFormat="1" x14ac:dyDescent="0.25">
      <c r="A832" s="2"/>
      <c r="B832" s="2"/>
      <c r="C832" s="9">
        <v>2</v>
      </c>
      <c r="D832" s="9">
        <v>26</v>
      </c>
      <c r="E832" s="9">
        <v>27</v>
      </c>
      <c r="F832" s="9">
        <v>31</v>
      </c>
      <c r="G832" s="9">
        <v>60</v>
      </c>
      <c r="H832" s="9">
        <v>71</v>
      </c>
      <c r="I832" s="1"/>
      <c r="J832" s="9">
        <v>71</v>
      </c>
      <c r="K832" s="1"/>
      <c r="L832" s="171">
        <v>44888</v>
      </c>
      <c r="M832" s="1"/>
    </row>
    <row r="833" spans="1:13" s="19" customFormat="1" x14ac:dyDescent="0.25">
      <c r="A833" s="2"/>
      <c r="B833" s="2"/>
      <c r="C833" s="9">
        <v>8</v>
      </c>
      <c r="D833" s="9">
        <v>29</v>
      </c>
      <c r="E833" s="9">
        <v>54</v>
      </c>
      <c r="F833" s="9">
        <v>65</v>
      </c>
      <c r="G833" s="9">
        <v>76</v>
      </c>
      <c r="H833" s="9">
        <v>87</v>
      </c>
      <c r="I833" s="1"/>
      <c r="J833" s="9">
        <v>87</v>
      </c>
      <c r="K833" s="1"/>
      <c r="L833" s="171">
        <v>44886</v>
      </c>
      <c r="M833" s="1"/>
    </row>
    <row r="834" spans="1:13" s="19" customFormat="1" x14ac:dyDescent="0.25">
      <c r="A834" s="2"/>
      <c r="B834" s="2"/>
      <c r="C834" s="9">
        <v>9</v>
      </c>
      <c r="D834" s="9">
        <v>19</v>
      </c>
      <c r="E834" s="9">
        <v>41</v>
      </c>
      <c r="F834" s="9">
        <v>55</v>
      </c>
      <c r="G834" s="9">
        <v>63</v>
      </c>
      <c r="H834" s="9">
        <v>68</v>
      </c>
      <c r="I834" s="1"/>
      <c r="J834" s="9">
        <v>68</v>
      </c>
      <c r="K834" s="1"/>
      <c r="L834" s="171">
        <v>44884</v>
      </c>
      <c r="M834" s="1"/>
    </row>
    <row r="835" spans="1:13" s="19" customFormat="1" x14ac:dyDescent="0.25">
      <c r="A835" s="2"/>
      <c r="B835" s="2"/>
      <c r="C835" s="9">
        <v>37</v>
      </c>
      <c r="D835" s="9">
        <v>38</v>
      </c>
      <c r="E835" s="9">
        <v>63</v>
      </c>
      <c r="F835" s="9">
        <v>66</v>
      </c>
      <c r="G835" s="9">
        <v>78</v>
      </c>
      <c r="H835" s="9">
        <v>85</v>
      </c>
      <c r="I835" s="1"/>
      <c r="J835" s="9">
        <v>85</v>
      </c>
      <c r="K835" s="1"/>
      <c r="L835" s="171">
        <v>44881</v>
      </c>
      <c r="M835" s="1"/>
    </row>
    <row r="836" spans="1:13" s="19" customFormat="1" x14ac:dyDescent="0.25">
      <c r="A836" s="2"/>
      <c r="B836" s="2"/>
      <c r="C836" s="9">
        <v>2</v>
      </c>
      <c r="D836" s="9">
        <v>5</v>
      </c>
      <c r="E836" s="9">
        <v>10</v>
      </c>
      <c r="F836" s="9">
        <v>12</v>
      </c>
      <c r="G836" s="9">
        <v>55</v>
      </c>
      <c r="H836" s="9">
        <v>67</v>
      </c>
      <c r="I836" s="1"/>
      <c r="J836" s="9">
        <v>67</v>
      </c>
      <c r="K836" s="1"/>
      <c r="L836" s="171">
        <v>44879</v>
      </c>
      <c r="M836" s="1"/>
    </row>
    <row r="837" spans="1:13" s="19" customFormat="1" x14ac:dyDescent="0.25">
      <c r="A837" s="2"/>
      <c r="B837" s="2"/>
      <c r="C837" s="9">
        <v>28</v>
      </c>
      <c r="D837" s="9">
        <v>33</v>
      </c>
      <c r="E837" s="9">
        <v>52</v>
      </c>
      <c r="F837" s="9">
        <v>61</v>
      </c>
      <c r="G837" s="9">
        <v>68</v>
      </c>
      <c r="H837" s="9">
        <v>69</v>
      </c>
      <c r="I837" s="1"/>
      <c r="J837" s="9">
        <v>69</v>
      </c>
      <c r="K837" s="1"/>
      <c r="L837" s="171">
        <v>44877</v>
      </c>
      <c r="M837" s="1"/>
    </row>
    <row r="838" spans="1:13" s="19" customFormat="1" x14ac:dyDescent="0.25">
      <c r="A838" s="2"/>
      <c r="B838" s="2"/>
      <c r="C838" s="9">
        <v>14</v>
      </c>
      <c r="D838" s="9">
        <v>42</v>
      </c>
      <c r="E838" s="9">
        <v>46</v>
      </c>
      <c r="F838" s="9">
        <v>71</v>
      </c>
      <c r="G838" s="9">
        <v>77</v>
      </c>
      <c r="H838" s="9">
        <v>85</v>
      </c>
      <c r="I838" s="1"/>
      <c r="J838" s="9">
        <v>85</v>
      </c>
      <c r="K838" s="1"/>
      <c r="L838" s="171">
        <v>44874</v>
      </c>
      <c r="M838" s="1"/>
    </row>
    <row r="839" spans="1:13" s="19" customFormat="1" x14ac:dyDescent="0.25">
      <c r="A839" s="2"/>
      <c r="B839" s="2"/>
      <c r="C839" s="9">
        <v>37</v>
      </c>
      <c r="D839" s="9">
        <v>55</v>
      </c>
      <c r="E839" s="9">
        <v>58</v>
      </c>
      <c r="F839" s="9">
        <v>64</v>
      </c>
      <c r="G839" s="9">
        <v>66</v>
      </c>
      <c r="H839" s="9">
        <v>72</v>
      </c>
      <c r="I839" s="1"/>
      <c r="J839" s="9">
        <v>72</v>
      </c>
      <c r="K839" s="1"/>
      <c r="L839" s="171">
        <v>44872</v>
      </c>
      <c r="M839" s="1"/>
    </row>
    <row r="840" spans="1:13" s="19" customFormat="1" x14ac:dyDescent="0.25">
      <c r="A840" s="2"/>
      <c r="B840" s="2"/>
      <c r="C840" s="9">
        <v>28</v>
      </c>
      <c r="D840" s="9">
        <v>36</v>
      </c>
      <c r="E840" s="9">
        <v>44</v>
      </c>
      <c r="F840" s="9">
        <v>71</v>
      </c>
      <c r="G840" s="9">
        <v>78</v>
      </c>
      <c r="H840" s="9">
        <v>88</v>
      </c>
      <c r="I840" s="1"/>
      <c r="J840" s="9">
        <v>88</v>
      </c>
      <c r="K840" s="1"/>
      <c r="L840" s="171">
        <v>44870</v>
      </c>
      <c r="M840" s="1"/>
    </row>
    <row r="841" spans="1:13" s="19" customFormat="1" x14ac:dyDescent="0.25">
      <c r="A841" s="2"/>
      <c r="B841" s="2"/>
      <c r="C841" s="9">
        <v>6</v>
      </c>
      <c r="D841" s="9">
        <v>22</v>
      </c>
      <c r="E841" s="9">
        <v>23</v>
      </c>
      <c r="F841" s="9">
        <v>40</v>
      </c>
      <c r="G841" s="9">
        <v>78</v>
      </c>
      <c r="H841" s="9">
        <v>79</v>
      </c>
      <c r="I841" s="1"/>
      <c r="J841" s="9">
        <v>79</v>
      </c>
      <c r="K841" s="1"/>
      <c r="L841" s="171">
        <v>44867</v>
      </c>
      <c r="M841" s="1"/>
    </row>
    <row r="842" spans="1:13" s="19" customFormat="1" x14ac:dyDescent="0.25">
      <c r="A842" s="2"/>
      <c r="B842" s="2"/>
      <c r="C842" s="9">
        <v>1</v>
      </c>
      <c r="D842" s="9">
        <v>4</v>
      </c>
      <c r="E842" s="9">
        <v>64</v>
      </c>
      <c r="F842" s="9">
        <v>67</v>
      </c>
      <c r="G842" s="9">
        <v>77</v>
      </c>
      <c r="H842" s="9">
        <v>88</v>
      </c>
      <c r="I842" s="1"/>
      <c r="J842" s="9">
        <v>88</v>
      </c>
      <c r="K842" s="1"/>
      <c r="L842" s="171">
        <v>44865</v>
      </c>
      <c r="M842" s="1"/>
    </row>
    <row r="843" spans="1:13" s="19" customFormat="1" x14ac:dyDescent="0.25">
      <c r="A843" s="2"/>
      <c r="B843" s="2"/>
      <c r="C843" s="9">
        <v>1</v>
      </c>
      <c r="D843" s="9">
        <v>3</v>
      </c>
      <c r="E843" s="9">
        <v>7</v>
      </c>
      <c r="F843" s="9">
        <v>17</v>
      </c>
      <c r="G843" s="9">
        <v>41</v>
      </c>
      <c r="H843" s="9">
        <v>46</v>
      </c>
      <c r="I843" s="1"/>
      <c r="J843" s="9">
        <v>46</v>
      </c>
      <c r="K843" s="1"/>
      <c r="L843" s="171">
        <v>44863</v>
      </c>
      <c r="M843" s="1"/>
    </row>
    <row r="844" spans="1:13" s="19" customFormat="1" x14ac:dyDescent="0.25">
      <c r="A844" s="2"/>
      <c r="B844" s="2"/>
      <c r="C844" s="9">
        <v>29</v>
      </c>
      <c r="D844" s="9">
        <v>31</v>
      </c>
      <c r="E844" s="9">
        <v>40</v>
      </c>
      <c r="F844" s="9">
        <v>67</v>
      </c>
      <c r="G844" s="9">
        <v>81</v>
      </c>
      <c r="H844" s="9">
        <v>90</v>
      </c>
      <c r="I844" s="1"/>
      <c r="J844" s="9">
        <v>90</v>
      </c>
      <c r="K844" s="1"/>
      <c r="L844" s="171">
        <v>44860</v>
      </c>
      <c r="M844" s="1"/>
    </row>
    <row r="845" spans="1:13" s="19" customFormat="1" x14ac:dyDescent="0.25">
      <c r="A845" s="2"/>
      <c r="B845" s="2"/>
      <c r="C845" s="9">
        <v>13</v>
      </c>
      <c r="D845" s="9">
        <v>24</v>
      </c>
      <c r="E845" s="9">
        <v>50</v>
      </c>
      <c r="F845" s="9">
        <v>59</v>
      </c>
      <c r="G845" s="9">
        <v>65</v>
      </c>
      <c r="H845" s="9">
        <v>80</v>
      </c>
      <c r="I845" s="1"/>
      <c r="J845" s="9">
        <v>80</v>
      </c>
      <c r="K845" s="1"/>
      <c r="L845" s="171">
        <v>44858</v>
      </c>
      <c r="M845" s="1"/>
    </row>
    <row r="846" spans="1:13" s="19" customFormat="1" x14ac:dyDescent="0.25">
      <c r="A846" s="2"/>
      <c r="B846" s="2"/>
      <c r="C846" s="9">
        <v>2</v>
      </c>
      <c r="D846" s="9">
        <v>4</v>
      </c>
      <c r="E846" s="9">
        <v>11</v>
      </c>
      <c r="F846" s="9">
        <v>36</v>
      </c>
      <c r="G846" s="9">
        <v>49</v>
      </c>
      <c r="H846" s="9">
        <v>69</v>
      </c>
      <c r="I846" s="1"/>
      <c r="J846" s="9">
        <v>69</v>
      </c>
      <c r="K846" s="1"/>
      <c r="L846" s="171">
        <v>44856</v>
      </c>
      <c r="M846" s="1"/>
    </row>
    <row r="847" spans="1:13" s="19" customFormat="1" x14ac:dyDescent="0.25">
      <c r="A847" s="2"/>
      <c r="B847" s="2"/>
      <c r="C847" s="9">
        <v>23</v>
      </c>
      <c r="D847" s="9">
        <v>24</v>
      </c>
      <c r="E847" s="9">
        <v>29</v>
      </c>
      <c r="F847" s="9">
        <v>33</v>
      </c>
      <c r="G847" s="9">
        <v>60</v>
      </c>
      <c r="H847" s="9">
        <v>75</v>
      </c>
      <c r="I847" s="1"/>
      <c r="J847" s="9">
        <v>75</v>
      </c>
      <c r="K847" s="1"/>
      <c r="L847" s="171">
        <v>44853</v>
      </c>
      <c r="M847" s="1"/>
    </row>
    <row r="848" spans="1:13" s="19" customFormat="1" x14ac:dyDescent="0.25">
      <c r="A848" s="2"/>
      <c r="B848" s="2"/>
      <c r="C848" s="9">
        <v>6</v>
      </c>
      <c r="D848" s="9">
        <v>31</v>
      </c>
      <c r="E848" s="9">
        <v>61</v>
      </c>
      <c r="F848" s="9">
        <v>68</v>
      </c>
      <c r="G848" s="9">
        <v>71</v>
      </c>
      <c r="H848" s="9">
        <v>78</v>
      </c>
      <c r="I848" s="1"/>
      <c r="J848" s="9">
        <v>78</v>
      </c>
      <c r="K848" s="1"/>
      <c r="L848" s="171">
        <v>44851</v>
      </c>
      <c r="M848" s="1"/>
    </row>
    <row r="849" spans="1:13" s="19" customFormat="1" x14ac:dyDescent="0.25">
      <c r="A849" s="2"/>
      <c r="B849" s="2"/>
      <c r="C849" s="9">
        <v>13</v>
      </c>
      <c r="D849" s="9">
        <v>24</v>
      </c>
      <c r="E849" s="9">
        <v>27</v>
      </c>
      <c r="F849" s="9">
        <v>45</v>
      </c>
      <c r="G849" s="9">
        <v>65</v>
      </c>
      <c r="H849" s="9">
        <v>81</v>
      </c>
      <c r="I849" s="1"/>
      <c r="J849" s="9">
        <v>81</v>
      </c>
      <c r="K849" s="1"/>
      <c r="L849" s="171">
        <v>44849</v>
      </c>
      <c r="M849" s="1"/>
    </row>
    <row r="850" spans="1:13" s="19" customFormat="1" x14ac:dyDescent="0.25">
      <c r="A850" s="2"/>
      <c r="B850" s="2"/>
      <c r="C850" s="9">
        <v>4</v>
      </c>
      <c r="D850" s="9">
        <v>15</v>
      </c>
      <c r="E850" s="9">
        <v>18</v>
      </c>
      <c r="F850" s="9">
        <v>46</v>
      </c>
      <c r="G850" s="9">
        <v>85</v>
      </c>
      <c r="H850" s="9">
        <v>90</v>
      </c>
      <c r="I850" s="1"/>
      <c r="J850" s="9">
        <v>90</v>
      </c>
      <c r="K850" s="1"/>
      <c r="L850" s="171">
        <v>44846</v>
      </c>
      <c r="M850" s="1"/>
    </row>
    <row r="851" spans="1:13" s="19" customFormat="1" x14ac:dyDescent="0.25">
      <c r="A851" s="2"/>
      <c r="B851" s="2"/>
      <c r="C851" s="9">
        <v>14</v>
      </c>
      <c r="D851" s="9">
        <v>28</v>
      </c>
      <c r="E851" s="9">
        <v>46</v>
      </c>
      <c r="F851" s="9">
        <v>56</v>
      </c>
      <c r="G851" s="9">
        <v>57</v>
      </c>
      <c r="H851" s="9">
        <v>58</v>
      </c>
      <c r="I851" s="1"/>
      <c r="J851" s="9">
        <v>58</v>
      </c>
      <c r="K851" s="1"/>
      <c r="L851" s="171">
        <v>44844</v>
      </c>
      <c r="M851" s="1"/>
    </row>
    <row r="852" spans="1:13" s="19" customFormat="1" x14ac:dyDescent="0.25">
      <c r="A852" s="2"/>
      <c r="B852" s="2"/>
      <c r="C852" s="9">
        <v>14</v>
      </c>
      <c r="D852" s="9">
        <v>16</v>
      </c>
      <c r="E852" s="9">
        <v>30</v>
      </c>
      <c r="F852" s="9">
        <v>52</v>
      </c>
      <c r="G852" s="9">
        <v>63</v>
      </c>
      <c r="H852" s="9">
        <v>72</v>
      </c>
      <c r="I852" s="1"/>
      <c r="J852" s="9">
        <v>72</v>
      </c>
      <c r="K852" s="1"/>
      <c r="L852" s="171">
        <v>44842</v>
      </c>
      <c r="M852" s="1"/>
    </row>
    <row r="853" spans="1:13" s="19" customFormat="1" x14ac:dyDescent="0.25">
      <c r="A853" s="2"/>
      <c r="B853" s="2"/>
      <c r="C853" s="9">
        <v>1</v>
      </c>
      <c r="D853" s="9">
        <v>3</v>
      </c>
      <c r="E853" s="9">
        <v>25</v>
      </c>
      <c r="F853" s="9">
        <v>30</v>
      </c>
      <c r="G853" s="9">
        <v>62</v>
      </c>
      <c r="H853" s="9">
        <v>75</v>
      </c>
      <c r="I853" s="1"/>
      <c r="J853" s="9">
        <v>75</v>
      </c>
      <c r="K853" s="1"/>
      <c r="L853" s="171">
        <v>44839</v>
      </c>
      <c r="M853" s="1"/>
    </row>
    <row r="854" spans="1:13" s="19" customFormat="1" x14ac:dyDescent="0.25">
      <c r="A854" s="2"/>
      <c r="B854" s="2"/>
      <c r="C854" s="9">
        <v>21</v>
      </c>
      <c r="D854" s="9">
        <v>25</v>
      </c>
      <c r="E854" s="9">
        <v>35</v>
      </c>
      <c r="F854" s="9">
        <v>65</v>
      </c>
      <c r="G854" s="9">
        <v>78</v>
      </c>
      <c r="H854" s="9">
        <v>90</v>
      </c>
      <c r="I854" s="1"/>
      <c r="J854" s="9">
        <v>90</v>
      </c>
      <c r="K854" s="1"/>
      <c r="L854" s="171">
        <v>44837</v>
      </c>
      <c r="M854" s="1"/>
    </row>
    <row r="855" spans="1:13" s="19" customFormat="1" x14ac:dyDescent="0.25">
      <c r="A855" s="2"/>
      <c r="B855" s="2"/>
      <c r="C855" s="9">
        <v>22</v>
      </c>
      <c r="D855" s="9">
        <v>28</v>
      </c>
      <c r="E855" s="9">
        <v>43</v>
      </c>
      <c r="F855" s="9">
        <v>44</v>
      </c>
      <c r="G855" s="9">
        <v>45</v>
      </c>
      <c r="H855" s="9">
        <v>46</v>
      </c>
      <c r="I855" s="1"/>
      <c r="J855" s="9">
        <v>46</v>
      </c>
      <c r="K855" s="1"/>
      <c r="L855" s="171">
        <v>44835</v>
      </c>
      <c r="M855" s="1"/>
    </row>
    <row r="856" spans="1:13" s="19" customFormat="1" x14ac:dyDescent="0.25">
      <c r="A856" s="2"/>
      <c r="B856" s="2"/>
      <c r="C856" s="9">
        <v>40</v>
      </c>
      <c r="D856" s="9">
        <v>44</v>
      </c>
      <c r="E856" s="9">
        <v>66</v>
      </c>
      <c r="F856" s="9">
        <v>82</v>
      </c>
      <c r="G856" s="9">
        <v>84</v>
      </c>
      <c r="H856" s="9">
        <v>87</v>
      </c>
      <c r="I856" s="1"/>
      <c r="J856" s="9">
        <v>87</v>
      </c>
      <c r="K856" s="1"/>
      <c r="L856" s="171">
        <v>44830</v>
      </c>
      <c r="M856" s="1"/>
    </row>
    <row r="857" spans="1:13" s="19" customFormat="1" x14ac:dyDescent="0.25">
      <c r="A857" s="2"/>
      <c r="B857" s="2"/>
      <c r="C857" s="9">
        <v>2</v>
      </c>
      <c r="D857" s="9">
        <v>7</v>
      </c>
      <c r="E857" s="9">
        <v>15</v>
      </c>
      <c r="F857" s="9">
        <v>20</v>
      </c>
      <c r="G857" s="9">
        <v>21</v>
      </c>
      <c r="H857" s="9">
        <v>43</v>
      </c>
      <c r="I857" s="1"/>
      <c r="J857" s="9">
        <v>43</v>
      </c>
      <c r="K857" s="1"/>
      <c r="L857" s="171">
        <v>44828</v>
      </c>
      <c r="M857" s="1"/>
    </row>
    <row r="858" spans="1:13" s="19" customFormat="1" x14ac:dyDescent="0.25">
      <c r="A858" s="2"/>
      <c r="B858" s="2"/>
      <c r="C858" s="9">
        <v>1</v>
      </c>
      <c r="D858" s="9">
        <v>3</v>
      </c>
      <c r="E858" s="9">
        <v>41</v>
      </c>
      <c r="F858" s="9">
        <v>43</v>
      </c>
      <c r="G858" s="9">
        <v>49</v>
      </c>
      <c r="H858" s="9">
        <v>86</v>
      </c>
      <c r="I858" s="1"/>
      <c r="J858" s="9">
        <v>86</v>
      </c>
      <c r="K858" s="1"/>
      <c r="L858" s="171">
        <v>44825</v>
      </c>
      <c r="M858" s="1"/>
    </row>
    <row r="859" spans="1:13" s="19" customFormat="1" x14ac:dyDescent="0.25">
      <c r="A859" s="2"/>
      <c r="B859" s="2"/>
      <c r="C859" s="9">
        <v>15</v>
      </c>
      <c r="D859" s="9">
        <v>23</v>
      </c>
      <c r="E859" s="9">
        <v>35</v>
      </c>
      <c r="F859" s="9">
        <v>39</v>
      </c>
      <c r="G859" s="9">
        <v>56</v>
      </c>
      <c r="H859" s="9">
        <v>64</v>
      </c>
      <c r="I859" s="1"/>
      <c r="J859" s="9">
        <v>64</v>
      </c>
      <c r="K859" s="1"/>
      <c r="L859" s="171">
        <v>44823</v>
      </c>
      <c r="M859" s="1"/>
    </row>
    <row r="860" spans="1:13" s="19" customFormat="1" x14ac:dyDescent="0.25">
      <c r="A860" s="2"/>
      <c r="B860" s="2"/>
      <c r="C860" s="9">
        <v>55</v>
      </c>
      <c r="D860" s="9">
        <v>56</v>
      </c>
      <c r="E860" s="9">
        <v>60</v>
      </c>
      <c r="F860" s="9">
        <v>66</v>
      </c>
      <c r="G860" s="9">
        <v>79</v>
      </c>
      <c r="H860" s="9">
        <v>81</v>
      </c>
      <c r="I860" s="1"/>
      <c r="J860" s="9">
        <v>81</v>
      </c>
      <c r="K860" s="1"/>
      <c r="L860" s="171">
        <v>44821</v>
      </c>
      <c r="M860" s="1"/>
    </row>
    <row r="861" spans="1:13" s="19" customFormat="1" x14ac:dyDescent="0.25">
      <c r="A861" s="2"/>
      <c r="B861" s="2"/>
      <c r="C861" s="9">
        <v>18</v>
      </c>
      <c r="D861" s="9">
        <v>34</v>
      </c>
      <c r="E861" s="9">
        <v>52</v>
      </c>
      <c r="F861" s="9">
        <v>64</v>
      </c>
      <c r="G861" s="9">
        <v>66</v>
      </c>
      <c r="H861" s="9">
        <v>67</v>
      </c>
      <c r="I861" s="1"/>
      <c r="J861" s="9">
        <v>67</v>
      </c>
      <c r="K861" s="1"/>
      <c r="L861" s="171">
        <v>44818</v>
      </c>
      <c r="M861" s="1"/>
    </row>
    <row r="862" spans="1:13" s="19" customFormat="1" x14ac:dyDescent="0.25">
      <c r="A862" s="2"/>
      <c r="B862" s="2"/>
      <c r="C862" s="9">
        <v>12</v>
      </c>
      <c r="D862" s="9">
        <v>14</v>
      </c>
      <c r="E862" s="9">
        <v>24</v>
      </c>
      <c r="F862" s="9">
        <v>27</v>
      </c>
      <c r="G862" s="9">
        <v>65</v>
      </c>
      <c r="H862" s="9">
        <v>67</v>
      </c>
      <c r="I862" s="1"/>
      <c r="J862" s="9">
        <v>67</v>
      </c>
      <c r="K862" s="1"/>
      <c r="L862" s="171">
        <v>44816</v>
      </c>
      <c r="M862" s="1"/>
    </row>
    <row r="863" spans="1:13" s="19" customFormat="1" x14ac:dyDescent="0.25">
      <c r="A863" s="2"/>
      <c r="B863" s="2"/>
      <c r="C863" s="9">
        <v>13</v>
      </c>
      <c r="D863" s="9">
        <v>19</v>
      </c>
      <c r="E863" s="9">
        <v>27</v>
      </c>
      <c r="F863" s="9">
        <v>32</v>
      </c>
      <c r="G863" s="9">
        <v>35</v>
      </c>
      <c r="H863" s="9">
        <v>84</v>
      </c>
      <c r="I863" s="1"/>
      <c r="J863" s="9">
        <v>84</v>
      </c>
      <c r="K863" s="1"/>
      <c r="L863" s="171">
        <v>44814</v>
      </c>
      <c r="M863" s="1"/>
    </row>
    <row r="864" spans="1:13" s="19" customFormat="1" x14ac:dyDescent="0.25">
      <c r="A864" s="2"/>
      <c r="B864" s="2"/>
      <c r="C864" s="9">
        <v>8</v>
      </c>
      <c r="D864" s="9">
        <v>22</v>
      </c>
      <c r="E864" s="9">
        <v>25</v>
      </c>
      <c r="F864" s="9">
        <v>37</v>
      </c>
      <c r="G864" s="9">
        <v>70</v>
      </c>
      <c r="H864" s="9">
        <v>78</v>
      </c>
      <c r="I864" s="1"/>
      <c r="J864" s="9">
        <v>78</v>
      </c>
      <c r="K864" s="1"/>
      <c r="L864" s="171">
        <v>44811</v>
      </c>
      <c r="M864" s="1"/>
    </row>
    <row r="865" spans="1:13" s="19" customFormat="1" x14ac:dyDescent="0.25">
      <c r="A865" s="2"/>
      <c r="B865" s="2"/>
      <c r="C865" s="9">
        <v>9</v>
      </c>
      <c r="D865" s="9">
        <v>16</v>
      </c>
      <c r="E865" s="9">
        <v>39</v>
      </c>
      <c r="F865" s="9">
        <v>49</v>
      </c>
      <c r="G865" s="9">
        <v>56</v>
      </c>
      <c r="H865" s="9">
        <v>77</v>
      </c>
      <c r="I865" s="1"/>
      <c r="J865" s="9">
        <v>77</v>
      </c>
      <c r="K865" s="1"/>
      <c r="L865" s="171">
        <v>44809</v>
      </c>
      <c r="M865" s="1"/>
    </row>
    <row r="866" spans="1:13" s="19" customFormat="1" x14ac:dyDescent="0.25">
      <c r="A866" s="2"/>
      <c r="B866" s="2"/>
      <c r="C866" s="9">
        <v>33</v>
      </c>
      <c r="D866" s="9">
        <v>36</v>
      </c>
      <c r="E866" s="9">
        <v>41</v>
      </c>
      <c r="F866" s="9">
        <v>43</v>
      </c>
      <c r="G866" s="9">
        <v>69</v>
      </c>
      <c r="H866" s="9">
        <v>74</v>
      </c>
      <c r="I866" s="1"/>
      <c r="J866" s="9">
        <v>74</v>
      </c>
      <c r="K866" s="1"/>
      <c r="L866" s="171">
        <v>44807</v>
      </c>
      <c r="M866" s="1"/>
    </row>
    <row r="867" spans="1:13" s="19" customFormat="1" x14ac:dyDescent="0.25">
      <c r="A867" s="2"/>
      <c r="B867" s="2"/>
      <c r="C867" s="9">
        <v>25</v>
      </c>
      <c r="D867" s="9">
        <v>45</v>
      </c>
      <c r="E867" s="9">
        <v>56</v>
      </c>
      <c r="F867" s="9">
        <v>72</v>
      </c>
      <c r="G867" s="9">
        <v>83</v>
      </c>
      <c r="H867" s="9">
        <v>89</v>
      </c>
      <c r="I867" s="1"/>
      <c r="J867" s="9">
        <v>89</v>
      </c>
      <c r="K867" s="1"/>
      <c r="L867" s="171">
        <v>44804</v>
      </c>
      <c r="M867" s="1"/>
    </row>
    <row r="868" spans="1:13" s="19" customFormat="1" x14ac:dyDescent="0.25">
      <c r="A868" s="2"/>
      <c r="B868" s="2"/>
      <c r="C868" s="9">
        <v>13</v>
      </c>
      <c r="D868" s="9">
        <v>24</v>
      </c>
      <c r="E868" s="9">
        <v>34</v>
      </c>
      <c r="F868" s="9">
        <v>47</v>
      </c>
      <c r="G868" s="9">
        <v>76</v>
      </c>
      <c r="H868" s="9">
        <v>82</v>
      </c>
      <c r="I868" s="1"/>
      <c r="J868" s="9">
        <v>82</v>
      </c>
      <c r="K868" s="1"/>
      <c r="L868" s="171">
        <v>44802</v>
      </c>
      <c r="M868" s="1"/>
    </row>
    <row r="869" spans="1:13" s="19" customFormat="1" x14ac:dyDescent="0.25">
      <c r="A869" s="2"/>
      <c r="B869" s="2"/>
      <c r="C869" s="9">
        <v>5</v>
      </c>
      <c r="D869" s="9">
        <v>9</v>
      </c>
      <c r="E869" s="9">
        <v>28</v>
      </c>
      <c r="F869" s="9">
        <v>29</v>
      </c>
      <c r="G869" s="9">
        <v>50</v>
      </c>
      <c r="H869" s="9">
        <v>81</v>
      </c>
      <c r="I869" s="1"/>
      <c r="J869" s="9">
        <v>81</v>
      </c>
      <c r="K869" s="1"/>
      <c r="L869" s="171">
        <v>44800</v>
      </c>
      <c r="M869" s="1"/>
    </row>
    <row r="870" spans="1:13" s="19" customFormat="1" x14ac:dyDescent="0.25">
      <c r="A870" s="2"/>
      <c r="B870" s="2"/>
      <c r="C870" s="9">
        <v>3</v>
      </c>
      <c r="D870" s="9">
        <v>22</v>
      </c>
      <c r="E870" s="9">
        <v>38</v>
      </c>
      <c r="F870" s="9">
        <v>77</v>
      </c>
      <c r="G870" s="9">
        <v>82</v>
      </c>
      <c r="H870" s="9">
        <v>87</v>
      </c>
      <c r="I870" s="1"/>
      <c r="J870" s="9">
        <v>87</v>
      </c>
      <c r="K870" s="1"/>
      <c r="L870" s="171">
        <v>44797</v>
      </c>
      <c r="M870" s="1"/>
    </row>
    <row r="871" spans="1:13" s="19" customFormat="1" x14ac:dyDescent="0.25">
      <c r="A871" s="2"/>
      <c r="B871" s="2"/>
      <c r="C871" s="9">
        <v>10</v>
      </c>
      <c r="D871" s="9">
        <v>12</v>
      </c>
      <c r="E871" s="9">
        <v>14</v>
      </c>
      <c r="F871" s="9">
        <v>31</v>
      </c>
      <c r="G871" s="9">
        <v>60</v>
      </c>
      <c r="H871" s="9">
        <v>69</v>
      </c>
      <c r="I871" s="1"/>
      <c r="J871" s="9">
        <v>69</v>
      </c>
      <c r="K871" s="1"/>
      <c r="L871" s="171">
        <v>44795</v>
      </c>
      <c r="M871" s="1"/>
    </row>
    <row r="872" spans="1:13" s="19" customFormat="1" x14ac:dyDescent="0.25">
      <c r="A872" s="2"/>
      <c r="B872" s="2"/>
      <c r="C872" s="9">
        <v>34</v>
      </c>
      <c r="D872" s="9">
        <v>37</v>
      </c>
      <c r="E872" s="9">
        <v>44</v>
      </c>
      <c r="F872" s="9">
        <v>66</v>
      </c>
      <c r="G872" s="9">
        <v>74</v>
      </c>
      <c r="H872" s="9">
        <v>83</v>
      </c>
      <c r="I872" s="1"/>
      <c r="J872" s="9">
        <v>83</v>
      </c>
      <c r="K872" s="1"/>
      <c r="L872" s="171">
        <v>44793</v>
      </c>
      <c r="M872" s="1"/>
    </row>
    <row r="873" spans="1:13" s="19" customFormat="1" x14ac:dyDescent="0.25">
      <c r="A873" s="2"/>
      <c r="B873" s="2"/>
      <c r="C873" s="9">
        <v>11</v>
      </c>
      <c r="D873" s="9">
        <v>26</v>
      </c>
      <c r="E873" s="9">
        <v>28</v>
      </c>
      <c r="F873" s="9">
        <v>64</v>
      </c>
      <c r="G873" s="9">
        <v>74</v>
      </c>
      <c r="H873" s="9">
        <v>87</v>
      </c>
      <c r="I873" s="1"/>
      <c r="J873" s="9">
        <v>87</v>
      </c>
      <c r="K873" s="1"/>
      <c r="L873" s="171">
        <v>44790</v>
      </c>
      <c r="M873" s="1"/>
    </row>
    <row r="874" spans="1:13" s="19" customFormat="1" x14ac:dyDescent="0.25">
      <c r="A874" s="2"/>
      <c r="B874" s="2"/>
      <c r="C874" s="9">
        <v>3</v>
      </c>
      <c r="D874" s="9">
        <v>10</v>
      </c>
      <c r="E874" s="9">
        <v>28</v>
      </c>
      <c r="F874" s="9">
        <v>45</v>
      </c>
      <c r="G874" s="9">
        <v>67</v>
      </c>
      <c r="H874" s="9">
        <v>76</v>
      </c>
      <c r="I874" s="1"/>
      <c r="J874" s="9">
        <v>76</v>
      </c>
      <c r="K874" s="1"/>
      <c r="L874" s="171">
        <v>44788</v>
      </c>
      <c r="M874" s="1"/>
    </row>
    <row r="875" spans="1:13" s="19" customFormat="1" x14ac:dyDescent="0.25">
      <c r="A875" s="2"/>
      <c r="B875" s="2"/>
      <c r="C875" s="9">
        <v>24</v>
      </c>
      <c r="D875" s="9">
        <v>46</v>
      </c>
      <c r="E875" s="9">
        <v>61</v>
      </c>
      <c r="F875" s="9">
        <v>69</v>
      </c>
      <c r="G875" s="9">
        <v>79</v>
      </c>
      <c r="H875" s="9">
        <v>86</v>
      </c>
      <c r="I875" s="1"/>
      <c r="J875" s="9">
        <v>86</v>
      </c>
      <c r="K875" s="1"/>
      <c r="L875" s="171">
        <v>44786</v>
      </c>
      <c r="M875" s="1"/>
    </row>
    <row r="876" spans="1:13" s="19" customFormat="1" x14ac:dyDescent="0.25">
      <c r="A876" s="2"/>
      <c r="B876" s="2"/>
      <c r="C876" s="9">
        <v>9</v>
      </c>
      <c r="D876" s="9">
        <v>13</v>
      </c>
      <c r="E876" s="9">
        <v>19</v>
      </c>
      <c r="F876" s="9">
        <v>28</v>
      </c>
      <c r="G876" s="9">
        <v>46</v>
      </c>
      <c r="H876" s="9">
        <v>69</v>
      </c>
      <c r="I876" s="1"/>
      <c r="J876" s="9">
        <v>69</v>
      </c>
      <c r="K876" s="1"/>
      <c r="L876" s="171">
        <v>44783</v>
      </c>
      <c r="M876" s="1"/>
    </row>
    <row r="877" spans="1:13" s="19" customFormat="1" x14ac:dyDescent="0.25">
      <c r="A877" s="2"/>
      <c r="B877" s="2"/>
      <c r="C877" s="9">
        <v>13</v>
      </c>
      <c r="D877" s="9">
        <v>17</v>
      </c>
      <c r="E877" s="9">
        <v>26</v>
      </c>
      <c r="F877" s="9">
        <v>29</v>
      </c>
      <c r="G877" s="9">
        <v>34</v>
      </c>
      <c r="H877" s="9">
        <v>90</v>
      </c>
      <c r="I877" s="1"/>
      <c r="J877" s="9">
        <v>90</v>
      </c>
      <c r="K877" s="1"/>
      <c r="L877" s="171">
        <v>44781</v>
      </c>
      <c r="M877" s="1"/>
    </row>
    <row r="878" spans="1:13" s="19" customFormat="1" x14ac:dyDescent="0.25">
      <c r="A878" s="2"/>
      <c r="B878" s="2"/>
      <c r="C878" s="9">
        <v>11</v>
      </c>
      <c r="D878" s="9">
        <v>13</v>
      </c>
      <c r="E878" s="9">
        <v>16</v>
      </c>
      <c r="F878" s="9">
        <v>28</v>
      </c>
      <c r="G878" s="9">
        <v>53</v>
      </c>
      <c r="H878" s="9">
        <v>58</v>
      </c>
      <c r="I878" s="1"/>
      <c r="J878" s="9">
        <v>58</v>
      </c>
      <c r="K878" s="1"/>
      <c r="L878" s="171">
        <v>44779</v>
      </c>
      <c r="M878" s="1"/>
    </row>
    <row r="879" spans="1:13" s="19" customFormat="1" x14ac:dyDescent="0.25">
      <c r="A879" s="2"/>
      <c r="B879" s="2"/>
      <c r="C879" s="9">
        <v>5</v>
      </c>
      <c r="D879" s="9">
        <v>12</v>
      </c>
      <c r="E879" s="9">
        <v>13</v>
      </c>
      <c r="F879" s="9">
        <v>14</v>
      </c>
      <c r="G879" s="9">
        <v>32</v>
      </c>
      <c r="H879" s="9">
        <v>71</v>
      </c>
      <c r="I879" s="1"/>
      <c r="J879" s="9">
        <v>71</v>
      </c>
      <c r="K879" s="1"/>
      <c r="L879" s="171">
        <v>44776</v>
      </c>
      <c r="M879" s="1"/>
    </row>
    <row r="880" spans="1:13" s="19" customFormat="1" x14ac:dyDescent="0.25">
      <c r="A880" s="2"/>
      <c r="B880" s="2"/>
      <c r="C880" s="9">
        <v>4</v>
      </c>
      <c r="D880" s="9">
        <v>38</v>
      </c>
      <c r="E880" s="9">
        <v>63</v>
      </c>
      <c r="F880" s="9">
        <v>80</v>
      </c>
      <c r="G880" s="9">
        <v>86</v>
      </c>
      <c r="H880" s="9">
        <v>87</v>
      </c>
      <c r="I880" s="1"/>
      <c r="J880" s="9">
        <v>87</v>
      </c>
      <c r="K880" s="1"/>
      <c r="L880" s="171">
        <v>44774</v>
      </c>
      <c r="M880" s="1"/>
    </row>
    <row r="881" spans="1:13" s="19" customFormat="1" x14ac:dyDescent="0.25">
      <c r="A881" s="2"/>
      <c r="B881" s="2"/>
      <c r="C881" s="9">
        <v>16</v>
      </c>
      <c r="D881" s="9">
        <v>18</v>
      </c>
      <c r="E881" s="9">
        <v>43</v>
      </c>
      <c r="F881" s="9">
        <v>53</v>
      </c>
      <c r="G881" s="9">
        <v>58</v>
      </c>
      <c r="H881" s="9">
        <v>78</v>
      </c>
      <c r="I881" s="1"/>
      <c r="J881" s="9">
        <v>78</v>
      </c>
      <c r="K881" s="1"/>
      <c r="L881" s="171">
        <v>44772</v>
      </c>
      <c r="M881" s="1"/>
    </row>
    <row r="882" spans="1:13" s="19" customFormat="1" x14ac:dyDescent="0.25">
      <c r="A882" s="2"/>
      <c r="B882" s="2"/>
      <c r="C882" s="9">
        <v>3</v>
      </c>
      <c r="D882" s="9">
        <v>4</v>
      </c>
      <c r="E882" s="9">
        <v>19</v>
      </c>
      <c r="F882" s="9">
        <v>84</v>
      </c>
      <c r="G882" s="9">
        <v>85</v>
      </c>
      <c r="H882" s="9">
        <v>87</v>
      </c>
      <c r="I882" s="1"/>
      <c r="J882" s="9">
        <v>87</v>
      </c>
      <c r="K882" s="1"/>
      <c r="L882" s="171">
        <v>44769</v>
      </c>
      <c r="M882" s="1"/>
    </row>
    <row r="883" spans="1:13" s="19" customFormat="1" x14ac:dyDescent="0.25">
      <c r="A883" s="2"/>
      <c r="B883" s="2"/>
      <c r="C883" s="9">
        <v>8</v>
      </c>
      <c r="D883" s="9">
        <v>15</v>
      </c>
      <c r="E883" s="9">
        <v>23</v>
      </c>
      <c r="F883" s="9">
        <v>34</v>
      </c>
      <c r="G883" s="9">
        <v>46</v>
      </c>
      <c r="H883" s="9">
        <v>73</v>
      </c>
      <c r="I883" s="1"/>
      <c r="J883" s="9">
        <v>73</v>
      </c>
      <c r="K883" s="1"/>
      <c r="L883" s="171">
        <v>44767</v>
      </c>
      <c r="M883" s="1"/>
    </row>
    <row r="884" spans="1:13" s="19" customFormat="1" x14ac:dyDescent="0.25">
      <c r="A884" s="2"/>
      <c r="B884" s="2"/>
      <c r="C884" s="9">
        <v>9</v>
      </c>
      <c r="D884" s="9">
        <v>10</v>
      </c>
      <c r="E884" s="9">
        <v>28</v>
      </c>
      <c r="F884" s="9">
        <v>40</v>
      </c>
      <c r="G884" s="9">
        <v>53</v>
      </c>
      <c r="H884" s="9">
        <v>76</v>
      </c>
      <c r="I884" s="1"/>
      <c r="J884" s="9">
        <v>76</v>
      </c>
      <c r="K884" s="1"/>
      <c r="L884" s="171">
        <v>44765</v>
      </c>
      <c r="M884" s="1"/>
    </row>
    <row r="885" spans="1:13" s="19" customFormat="1" x14ac:dyDescent="0.25">
      <c r="A885" s="2"/>
      <c r="B885" s="2"/>
      <c r="C885" s="9">
        <v>8</v>
      </c>
      <c r="D885" s="9">
        <v>25</v>
      </c>
      <c r="E885" s="9">
        <v>32</v>
      </c>
      <c r="F885" s="9">
        <v>41</v>
      </c>
      <c r="G885" s="9">
        <v>46</v>
      </c>
      <c r="H885" s="9">
        <v>49</v>
      </c>
      <c r="I885" s="1"/>
      <c r="J885" s="9">
        <v>49</v>
      </c>
      <c r="K885" s="1"/>
      <c r="L885" s="171">
        <v>44762</v>
      </c>
      <c r="M885" s="1"/>
    </row>
    <row r="886" spans="1:13" s="19" customFormat="1" x14ac:dyDescent="0.25">
      <c r="A886" s="2"/>
      <c r="B886" s="2"/>
      <c r="C886" s="9">
        <v>9</v>
      </c>
      <c r="D886" s="9">
        <v>11</v>
      </c>
      <c r="E886" s="9">
        <v>27</v>
      </c>
      <c r="F886" s="9">
        <v>51</v>
      </c>
      <c r="G886" s="9">
        <v>62</v>
      </c>
      <c r="H886" s="9">
        <v>72</v>
      </c>
      <c r="I886" s="1"/>
      <c r="J886" s="9">
        <v>72</v>
      </c>
      <c r="K886" s="1"/>
      <c r="L886" s="171">
        <v>44760</v>
      </c>
      <c r="M886" s="1"/>
    </row>
    <row r="887" spans="1:13" s="19" customFormat="1" x14ac:dyDescent="0.25">
      <c r="A887" s="2"/>
      <c r="B887" s="2"/>
      <c r="C887" s="9">
        <v>10</v>
      </c>
      <c r="D887" s="9">
        <v>17</v>
      </c>
      <c r="E887" s="9">
        <v>26</v>
      </c>
      <c r="F887" s="9">
        <v>29</v>
      </c>
      <c r="G887" s="9">
        <v>75</v>
      </c>
      <c r="H887" s="9">
        <v>80</v>
      </c>
      <c r="I887" s="1"/>
      <c r="J887" s="9">
        <v>80</v>
      </c>
      <c r="K887" s="1"/>
      <c r="L887" s="171">
        <v>44758</v>
      </c>
      <c r="M887" s="1"/>
    </row>
    <row r="888" spans="1:13" s="19" customFormat="1" x14ac:dyDescent="0.25">
      <c r="A888" s="2"/>
      <c r="B888" s="2"/>
      <c r="C888" s="9">
        <v>3</v>
      </c>
      <c r="D888" s="9">
        <v>8</v>
      </c>
      <c r="E888" s="9">
        <v>21</v>
      </c>
      <c r="F888" s="9">
        <v>46</v>
      </c>
      <c r="G888" s="9">
        <v>60</v>
      </c>
      <c r="H888" s="9">
        <v>90</v>
      </c>
      <c r="I888" s="1"/>
      <c r="J888" s="9">
        <v>90</v>
      </c>
      <c r="K888" s="1"/>
      <c r="L888" s="171">
        <v>44755</v>
      </c>
      <c r="M888" s="1"/>
    </row>
    <row r="889" spans="1:13" s="19" customFormat="1" x14ac:dyDescent="0.25">
      <c r="A889" s="2"/>
      <c r="B889" s="2"/>
      <c r="C889" s="9">
        <v>8</v>
      </c>
      <c r="D889" s="9">
        <v>22</v>
      </c>
      <c r="E889" s="9">
        <v>23</v>
      </c>
      <c r="F889" s="9">
        <v>40</v>
      </c>
      <c r="G889" s="9">
        <v>51</v>
      </c>
      <c r="H889" s="9">
        <v>89</v>
      </c>
      <c r="I889" s="1"/>
      <c r="J889" s="9">
        <v>89</v>
      </c>
      <c r="K889" s="1"/>
      <c r="L889" s="171">
        <v>44753</v>
      </c>
      <c r="M889" s="1"/>
    </row>
    <row r="890" spans="1:13" s="19" customFormat="1" x14ac:dyDescent="0.25">
      <c r="A890" s="2"/>
      <c r="B890" s="2"/>
      <c r="C890" s="9">
        <v>15</v>
      </c>
      <c r="D890" s="9">
        <v>81</v>
      </c>
      <c r="E890" s="9">
        <v>83</v>
      </c>
      <c r="F890" s="9">
        <v>87</v>
      </c>
      <c r="G890" s="9">
        <v>88</v>
      </c>
      <c r="H890" s="9">
        <v>90</v>
      </c>
      <c r="I890" s="1"/>
      <c r="J890" s="9">
        <v>90</v>
      </c>
      <c r="K890" s="1"/>
      <c r="L890" s="171">
        <v>44751</v>
      </c>
      <c r="M890" s="1"/>
    </row>
    <row r="891" spans="1:13" s="19" customFormat="1" x14ac:dyDescent="0.25">
      <c r="A891" s="2"/>
      <c r="B891" s="2"/>
      <c r="C891" s="9">
        <v>49</v>
      </c>
      <c r="D891" s="9">
        <v>79</v>
      </c>
      <c r="E891" s="9">
        <v>81</v>
      </c>
      <c r="F891" s="9">
        <v>82</v>
      </c>
      <c r="G891" s="9">
        <v>83</v>
      </c>
      <c r="H891" s="9">
        <v>88</v>
      </c>
      <c r="I891" s="1"/>
      <c r="J891" s="9">
        <v>88</v>
      </c>
      <c r="K891" s="1"/>
      <c r="L891" s="171">
        <v>44748</v>
      </c>
      <c r="M891" s="1"/>
    </row>
    <row r="892" spans="1:13" s="19" customFormat="1" x14ac:dyDescent="0.25">
      <c r="A892" s="2"/>
      <c r="B892" s="2"/>
      <c r="C892" s="9">
        <v>20</v>
      </c>
      <c r="D892" s="9">
        <v>21</v>
      </c>
      <c r="E892" s="9">
        <v>55</v>
      </c>
      <c r="F892" s="9">
        <v>81</v>
      </c>
      <c r="G892" s="9">
        <v>86</v>
      </c>
      <c r="H892" s="9">
        <v>88</v>
      </c>
      <c r="I892" s="1"/>
      <c r="J892" s="9">
        <v>88</v>
      </c>
      <c r="K892" s="1"/>
      <c r="L892" s="171">
        <v>44746</v>
      </c>
      <c r="M892" s="1"/>
    </row>
    <row r="893" spans="1:13" s="19" customFormat="1" x14ac:dyDescent="0.25">
      <c r="A893" s="2"/>
      <c r="B893" s="2"/>
      <c r="C893" s="9">
        <v>12</v>
      </c>
      <c r="D893" s="9">
        <v>36</v>
      </c>
      <c r="E893" s="9">
        <v>42</v>
      </c>
      <c r="F893" s="9">
        <v>71</v>
      </c>
      <c r="G893" s="9">
        <v>86</v>
      </c>
      <c r="H893" s="9">
        <v>89</v>
      </c>
      <c r="I893" s="1"/>
      <c r="J893" s="9">
        <v>89</v>
      </c>
      <c r="K893" s="1"/>
      <c r="L893" s="171">
        <v>44744</v>
      </c>
      <c r="M893" s="1"/>
    </row>
    <row r="894" spans="1:13" s="19" customFormat="1" x14ac:dyDescent="0.25">
      <c r="A894" s="2"/>
      <c r="B894" s="2"/>
      <c r="C894" s="9">
        <v>1</v>
      </c>
      <c r="D894" s="9">
        <v>12</v>
      </c>
      <c r="E894" s="9">
        <v>19</v>
      </c>
      <c r="F894" s="9">
        <v>22</v>
      </c>
      <c r="G894" s="9">
        <v>53</v>
      </c>
      <c r="H894" s="9">
        <v>67</v>
      </c>
      <c r="I894" s="1"/>
      <c r="J894" s="9">
        <v>67</v>
      </c>
      <c r="K894" s="1"/>
      <c r="L894" s="171">
        <v>44741</v>
      </c>
      <c r="M894" s="1"/>
    </row>
    <row r="895" spans="1:13" s="19" customFormat="1" x14ac:dyDescent="0.25">
      <c r="A895" s="2"/>
      <c r="B895" s="2"/>
      <c r="C895" s="9">
        <v>25</v>
      </c>
      <c r="D895" s="9">
        <v>45</v>
      </c>
      <c r="E895" s="9">
        <v>48</v>
      </c>
      <c r="F895" s="9">
        <v>55</v>
      </c>
      <c r="G895" s="9">
        <v>79</v>
      </c>
      <c r="H895" s="9">
        <v>82</v>
      </c>
      <c r="I895" s="1"/>
      <c r="J895" s="9">
        <v>82</v>
      </c>
      <c r="K895" s="1"/>
      <c r="L895" s="171">
        <v>44739</v>
      </c>
      <c r="M895" s="1"/>
    </row>
    <row r="896" spans="1:13" s="19" customFormat="1" x14ac:dyDescent="0.25">
      <c r="A896" s="2"/>
      <c r="B896" s="2"/>
      <c r="C896" s="9">
        <v>9</v>
      </c>
      <c r="D896" s="9">
        <v>15</v>
      </c>
      <c r="E896" s="9">
        <v>25</v>
      </c>
      <c r="F896" s="9">
        <v>46</v>
      </c>
      <c r="G896" s="9">
        <v>49</v>
      </c>
      <c r="H896" s="9">
        <v>71</v>
      </c>
      <c r="I896" s="1"/>
      <c r="J896" s="9">
        <v>71</v>
      </c>
      <c r="K896" s="1"/>
      <c r="L896" s="171">
        <v>44737</v>
      </c>
      <c r="M896" s="1"/>
    </row>
    <row r="897" spans="1:13" s="19" customFormat="1" x14ac:dyDescent="0.25">
      <c r="A897" s="2"/>
      <c r="B897" s="2"/>
      <c r="C897" s="9">
        <v>16</v>
      </c>
      <c r="D897" s="9">
        <v>18</v>
      </c>
      <c r="E897" s="9">
        <v>36</v>
      </c>
      <c r="F897" s="9">
        <v>37</v>
      </c>
      <c r="G897" s="9">
        <v>69</v>
      </c>
      <c r="H897" s="9">
        <v>77</v>
      </c>
      <c r="I897" s="1"/>
      <c r="J897" s="9">
        <v>77</v>
      </c>
      <c r="K897" s="1"/>
      <c r="L897" s="171">
        <v>44734</v>
      </c>
      <c r="M897" s="1"/>
    </row>
    <row r="898" spans="1:13" s="19" customFormat="1" x14ac:dyDescent="0.25">
      <c r="A898" s="2"/>
      <c r="B898" s="2"/>
      <c r="C898" s="9">
        <v>14</v>
      </c>
      <c r="D898" s="9">
        <v>31</v>
      </c>
      <c r="E898" s="9">
        <v>40</v>
      </c>
      <c r="F898" s="9">
        <v>53</v>
      </c>
      <c r="G898" s="9">
        <v>61</v>
      </c>
      <c r="H898" s="9">
        <v>88</v>
      </c>
      <c r="I898" s="1"/>
      <c r="J898" s="9">
        <v>88</v>
      </c>
      <c r="K898" s="1"/>
      <c r="L898" s="171">
        <v>44732</v>
      </c>
      <c r="M898" s="1"/>
    </row>
    <row r="899" spans="1:13" s="19" customFormat="1" x14ac:dyDescent="0.25">
      <c r="A899" s="2"/>
      <c r="B899" s="2"/>
      <c r="C899" s="9">
        <v>10</v>
      </c>
      <c r="D899" s="9">
        <v>20</v>
      </c>
      <c r="E899" s="9">
        <v>36</v>
      </c>
      <c r="F899" s="9">
        <v>49</v>
      </c>
      <c r="G899" s="9">
        <v>67</v>
      </c>
      <c r="H899" s="9">
        <v>71</v>
      </c>
      <c r="I899" s="1"/>
      <c r="J899" s="9">
        <v>71</v>
      </c>
      <c r="K899" s="1"/>
      <c r="L899" s="171">
        <v>44730</v>
      </c>
      <c r="M899" s="1"/>
    </row>
    <row r="900" spans="1:13" s="19" customFormat="1" x14ac:dyDescent="0.25">
      <c r="A900" s="2"/>
      <c r="B900" s="2"/>
      <c r="C900" s="9">
        <v>7</v>
      </c>
      <c r="D900" s="9">
        <v>22</v>
      </c>
      <c r="E900" s="9">
        <v>28</v>
      </c>
      <c r="F900" s="9">
        <v>57</v>
      </c>
      <c r="G900" s="9">
        <v>86</v>
      </c>
      <c r="H900" s="9">
        <v>89</v>
      </c>
      <c r="I900" s="1"/>
      <c r="J900" s="9">
        <v>89</v>
      </c>
      <c r="K900" s="1"/>
      <c r="L900" s="171">
        <v>44727</v>
      </c>
      <c r="M900" s="1"/>
    </row>
    <row r="901" spans="1:13" s="19" customFormat="1" x14ac:dyDescent="0.25">
      <c r="A901" s="2"/>
      <c r="B901" s="2"/>
      <c r="C901" s="9">
        <v>2</v>
      </c>
      <c r="D901" s="9">
        <v>3</v>
      </c>
      <c r="E901" s="9">
        <v>25</v>
      </c>
      <c r="F901" s="9">
        <v>57</v>
      </c>
      <c r="G901" s="9">
        <v>60</v>
      </c>
      <c r="H901" s="9">
        <v>86</v>
      </c>
      <c r="I901" s="1"/>
      <c r="J901" s="9">
        <v>86</v>
      </c>
      <c r="K901" s="1"/>
      <c r="L901" s="171">
        <v>44725</v>
      </c>
      <c r="M901" s="1"/>
    </row>
    <row r="902" spans="1:13" s="19" customFormat="1" x14ac:dyDescent="0.25">
      <c r="A902" s="2"/>
      <c r="B902" s="2"/>
      <c r="C902" s="9">
        <v>4</v>
      </c>
      <c r="D902" s="9">
        <v>29</v>
      </c>
      <c r="E902" s="9">
        <v>55</v>
      </c>
      <c r="F902" s="9">
        <v>64</v>
      </c>
      <c r="G902" s="9">
        <v>72</v>
      </c>
      <c r="H902" s="9">
        <v>83</v>
      </c>
      <c r="I902" s="1"/>
      <c r="J902" s="9">
        <v>83</v>
      </c>
      <c r="K902" s="1"/>
      <c r="L902" s="171">
        <v>44723</v>
      </c>
      <c r="M902" s="1"/>
    </row>
    <row r="903" spans="1:13" s="19" customFormat="1" x14ac:dyDescent="0.25">
      <c r="A903" s="2"/>
      <c r="B903" s="2"/>
      <c r="C903" s="9">
        <v>26</v>
      </c>
      <c r="D903" s="9">
        <v>50</v>
      </c>
      <c r="E903" s="9">
        <v>58</v>
      </c>
      <c r="F903" s="9">
        <v>69</v>
      </c>
      <c r="G903" s="9">
        <v>73</v>
      </c>
      <c r="H903" s="9">
        <v>88</v>
      </c>
      <c r="I903" s="1"/>
      <c r="J903" s="9">
        <v>88</v>
      </c>
      <c r="K903" s="1"/>
      <c r="L903" s="171">
        <v>44720</v>
      </c>
      <c r="M903" s="1"/>
    </row>
    <row r="904" spans="1:13" s="19" customFormat="1" x14ac:dyDescent="0.25">
      <c r="A904" s="2"/>
      <c r="B904" s="2"/>
      <c r="C904" s="9">
        <v>9</v>
      </c>
      <c r="D904" s="9">
        <v>24</v>
      </c>
      <c r="E904" s="9">
        <v>33</v>
      </c>
      <c r="F904" s="9">
        <v>37</v>
      </c>
      <c r="G904" s="9">
        <v>62</v>
      </c>
      <c r="H904" s="9">
        <v>65</v>
      </c>
      <c r="I904" s="1"/>
      <c r="J904" s="9">
        <v>65</v>
      </c>
      <c r="K904" s="1"/>
      <c r="L904" s="171">
        <v>44718</v>
      </c>
      <c r="M904" s="1"/>
    </row>
    <row r="905" spans="1:13" s="19" customFormat="1" x14ac:dyDescent="0.25">
      <c r="A905" s="2"/>
      <c r="B905" s="2"/>
      <c r="C905" s="9">
        <v>23</v>
      </c>
      <c r="D905" s="9">
        <v>42</v>
      </c>
      <c r="E905" s="9">
        <v>57</v>
      </c>
      <c r="F905" s="9">
        <v>71</v>
      </c>
      <c r="G905" s="9">
        <v>79</v>
      </c>
      <c r="H905" s="9">
        <v>89</v>
      </c>
      <c r="I905" s="1"/>
      <c r="J905" s="9">
        <v>89</v>
      </c>
      <c r="K905" s="1"/>
      <c r="L905" s="171">
        <v>44716</v>
      </c>
      <c r="M905" s="1"/>
    </row>
    <row r="906" spans="1:13" s="19" customFormat="1" x14ac:dyDescent="0.25">
      <c r="A906" s="2"/>
      <c r="B906" s="2"/>
      <c r="C906" s="9">
        <v>20</v>
      </c>
      <c r="D906" s="9">
        <v>53</v>
      </c>
      <c r="E906" s="9">
        <v>59</v>
      </c>
      <c r="F906" s="9">
        <v>66</v>
      </c>
      <c r="G906" s="9">
        <v>76</v>
      </c>
      <c r="H906" s="9">
        <v>79</v>
      </c>
      <c r="I906" s="1"/>
      <c r="J906" s="9">
        <v>79</v>
      </c>
      <c r="K906" s="1"/>
      <c r="L906" s="171">
        <v>44713</v>
      </c>
      <c r="M906" s="1"/>
    </row>
    <row r="907" spans="1:13" s="19" customFormat="1" x14ac:dyDescent="0.25">
      <c r="A907" s="2"/>
      <c r="B907" s="2"/>
      <c r="C907" s="9">
        <v>7</v>
      </c>
      <c r="D907" s="9">
        <v>20</v>
      </c>
      <c r="E907" s="9">
        <v>28</v>
      </c>
      <c r="F907" s="9">
        <v>34</v>
      </c>
      <c r="G907" s="9">
        <v>46</v>
      </c>
      <c r="H907" s="9">
        <v>86</v>
      </c>
      <c r="I907" s="1"/>
      <c r="J907" s="9">
        <v>86</v>
      </c>
      <c r="K907" s="1"/>
      <c r="L907" s="171">
        <v>44711</v>
      </c>
      <c r="M907" s="1"/>
    </row>
    <row r="908" spans="1:13" s="19" customFormat="1" x14ac:dyDescent="0.25">
      <c r="A908" s="2"/>
      <c r="B908" s="2"/>
      <c r="C908" s="9">
        <v>9</v>
      </c>
      <c r="D908" s="9">
        <v>20</v>
      </c>
      <c r="E908" s="9">
        <v>26</v>
      </c>
      <c r="F908" s="9">
        <v>35</v>
      </c>
      <c r="G908" s="9">
        <v>38</v>
      </c>
      <c r="H908" s="9">
        <v>78</v>
      </c>
      <c r="I908" s="1"/>
      <c r="J908" s="9">
        <v>78</v>
      </c>
      <c r="K908" s="1"/>
      <c r="L908" s="171">
        <v>44709</v>
      </c>
      <c r="M908" s="1"/>
    </row>
    <row r="909" spans="1:13" s="19" customFormat="1" x14ac:dyDescent="0.25">
      <c r="A909" s="2"/>
      <c r="B909" s="2"/>
      <c r="C909" s="9">
        <v>4</v>
      </c>
      <c r="D909" s="9">
        <v>18</v>
      </c>
      <c r="E909" s="9">
        <v>24</v>
      </c>
      <c r="F909" s="9">
        <v>34</v>
      </c>
      <c r="G909" s="9">
        <v>60</v>
      </c>
      <c r="H909" s="9">
        <v>86</v>
      </c>
      <c r="I909" s="1"/>
      <c r="J909" s="9">
        <v>86</v>
      </c>
      <c r="K909" s="1"/>
      <c r="L909" s="171">
        <v>44696</v>
      </c>
      <c r="M909" s="1"/>
    </row>
    <row r="910" spans="1:13" s="19" customFormat="1" x14ac:dyDescent="0.25">
      <c r="A910" s="2"/>
      <c r="B910" s="2"/>
      <c r="C910" s="9">
        <v>9</v>
      </c>
      <c r="D910" s="9">
        <v>11</v>
      </c>
      <c r="E910" s="9">
        <v>25</v>
      </c>
      <c r="F910" s="9">
        <v>26</v>
      </c>
      <c r="G910" s="9">
        <v>66</v>
      </c>
      <c r="H910" s="9">
        <v>85</v>
      </c>
      <c r="I910" s="1"/>
      <c r="J910" s="9">
        <v>85</v>
      </c>
      <c r="K910" s="1"/>
      <c r="L910" s="171">
        <v>44704</v>
      </c>
      <c r="M910" s="1"/>
    </row>
    <row r="911" spans="1:13" s="19" customFormat="1" x14ac:dyDescent="0.25">
      <c r="A911" s="2"/>
      <c r="B911" s="2"/>
      <c r="C911" s="9">
        <v>21</v>
      </c>
      <c r="D911" s="9">
        <v>46</v>
      </c>
      <c r="E911" s="9">
        <v>62</v>
      </c>
      <c r="F911" s="9">
        <v>73</v>
      </c>
      <c r="G911" s="9">
        <v>87</v>
      </c>
      <c r="H911" s="9">
        <v>90</v>
      </c>
      <c r="I911" s="1"/>
      <c r="J911" s="9">
        <v>90</v>
      </c>
      <c r="K911" s="1"/>
      <c r="L911" s="171">
        <v>44702</v>
      </c>
      <c r="M911" s="1"/>
    </row>
    <row r="912" spans="1:13" s="19" customFormat="1" x14ac:dyDescent="0.25">
      <c r="A912" s="2"/>
      <c r="B912" s="2"/>
      <c r="C912" s="9">
        <v>14</v>
      </c>
      <c r="D912" s="9">
        <v>23</v>
      </c>
      <c r="E912" s="9">
        <v>43</v>
      </c>
      <c r="F912" s="9">
        <v>57</v>
      </c>
      <c r="G912" s="9">
        <v>74</v>
      </c>
      <c r="H912" s="9">
        <v>88</v>
      </c>
      <c r="I912" s="1"/>
      <c r="J912" s="9">
        <v>88</v>
      </c>
      <c r="K912" s="1"/>
      <c r="L912" s="171">
        <v>44699</v>
      </c>
      <c r="M912" s="1"/>
    </row>
    <row r="913" spans="1:13" s="19" customFormat="1" x14ac:dyDescent="0.25">
      <c r="A913" s="2"/>
      <c r="B913" s="2"/>
      <c r="C913" s="9">
        <v>26</v>
      </c>
      <c r="D913" s="9">
        <v>53</v>
      </c>
      <c r="E913" s="9">
        <v>56</v>
      </c>
      <c r="F913" s="9">
        <v>57</v>
      </c>
      <c r="G913" s="9">
        <v>67</v>
      </c>
      <c r="H913" s="9">
        <v>80</v>
      </c>
      <c r="I913" s="1"/>
      <c r="J913" s="9">
        <v>80</v>
      </c>
      <c r="K913" s="1"/>
      <c r="L913" s="171">
        <v>44697</v>
      </c>
      <c r="M913" s="1"/>
    </row>
    <row r="914" spans="1:13" s="19" customFormat="1" x14ac:dyDescent="0.25">
      <c r="A914" s="2"/>
      <c r="B914" s="2"/>
      <c r="C914" s="9">
        <v>1</v>
      </c>
      <c r="D914" s="9">
        <v>14</v>
      </c>
      <c r="E914" s="9">
        <v>38</v>
      </c>
      <c r="F914" s="9">
        <v>56</v>
      </c>
      <c r="G914" s="9">
        <v>66</v>
      </c>
      <c r="H914" s="9">
        <v>71</v>
      </c>
      <c r="I914" s="1"/>
      <c r="J914" s="9">
        <v>71</v>
      </c>
      <c r="K914" s="1"/>
      <c r="L914" s="171">
        <v>44695</v>
      </c>
      <c r="M914" s="1"/>
    </row>
    <row r="915" spans="1:13" s="19" customFormat="1" x14ac:dyDescent="0.25">
      <c r="A915" s="2"/>
      <c r="B915" s="2"/>
      <c r="C915" s="9">
        <v>11</v>
      </c>
      <c r="D915" s="9">
        <v>27</v>
      </c>
      <c r="E915" s="9">
        <v>54</v>
      </c>
      <c r="F915" s="9">
        <v>57</v>
      </c>
      <c r="G915" s="9">
        <v>65</v>
      </c>
      <c r="H915" s="9">
        <v>82</v>
      </c>
      <c r="I915" s="1"/>
      <c r="J915" s="9">
        <v>82</v>
      </c>
      <c r="K915" s="1"/>
      <c r="L915" s="171">
        <v>44692</v>
      </c>
      <c r="M915" s="1"/>
    </row>
    <row r="916" spans="1:13" s="19" customFormat="1" x14ac:dyDescent="0.25">
      <c r="A916" s="2"/>
      <c r="B916" s="2"/>
      <c r="C916" s="9">
        <v>7</v>
      </c>
      <c r="D916" s="9">
        <v>10</v>
      </c>
      <c r="E916" s="9">
        <v>32</v>
      </c>
      <c r="F916" s="9">
        <v>53</v>
      </c>
      <c r="G916" s="9">
        <v>63</v>
      </c>
      <c r="H916" s="9">
        <v>75</v>
      </c>
      <c r="I916" s="1"/>
      <c r="J916" s="9">
        <v>75</v>
      </c>
      <c r="K916" s="1"/>
      <c r="L916" s="171">
        <v>44686</v>
      </c>
      <c r="M916" s="1"/>
    </row>
    <row r="917" spans="1:13" s="19" customFormat="1" x14ac:dyDescent="0.25">
      <c r="A917" s="2"/>
      <c r="B917" s="2"/>
      <c r="C917" s="9">
        <v>7</v>
      </c>
      <c r="D917" s="9">
        <v>8</v>
      </c>
      <c r="E917" s="9">
        <v>12</v>
      </c>
      <c r="F917" s="9">
        <v>35</v>
      </c>
      <c r="G917" s="9">
        <v>68</v>
      </c>
      <c r="H917" s="9">
        <v>73</v>
      </c>
      <c r="I917" s="1"/>
      <c r="J917" s="9">
        <v>73</v>
      </c>
      <c r="K917" s="1"/>
      <c r="L917" s="171">
        <v>44688</v>
      </c>
      <c r="M917" s="1"/>
    </row>
    <row r="918" spans="1:13" s="19" customFormat="1" x14ac:dyDescent="0.25">
      <c r="A918" s="2"/>
      <c r="B918" s="2"/>
      <c r="C918" s="9">
        <v>26</v>
      </c>
      <c r="D918" s="9">
        <v>35</v>
      </c>
      <c r="E918" s="9">
        <v>39</v>
      </c>
      <c r="F918" s="9">
        <v>43</v>
      </c>
      <c r="G918" s="9">
        <v>48</v>
      </c>
      <c r="H918" s="9">
        <v>51</v>
      </c>
      <c r="I918" s="1"/>
      <c r="J918" s="9">
        <v>51</v>
      </c>
      <c r="K918" s="1"/>
      <c r="L918" s="171">
        <v>44685</v>
      </c>
      <c r="M918" s="1"/>
    </row>
    <row r="919" spans="1:13" s="19" customFormat="1" x14ac:dyDescent="0.25">
      <c r="A919" s="2"/>
      <c r="B919" s="2"/>
      <c r="C919" s="9">
        <v>12</v>
      </c>
      <c r="D919" s="9">
        <v>23</v>
      </c>
      <c r="E919" s="9">
        <v>41</v>
      </c>
      <c r="F919" s="9">
        <v>45</v>
      </c>
      <c r="G919" s="9">
        <v>53</v>
      </c>
      <c r="H919" s="9">
        <v>77</v>
      </c>
      <c r="I919" s="1"/>
      <c r="J919" s="9">
        <v>77</v>
      </c>
      <c r="K919" s="1"/>
      <c r="L919" s="171">
        <v>44683</v>
      </c>
      <c r="M919" s="1"/>
    </row>
    <row r="920" spans="1:13" s="19" customFormat="1" x14ac:dyDescent="0.25">
      <c r="A920" s="2"/>
      <c r="B920" s="2"/>
      <c r="C920" s="9">
        <v>9</v>
      </c>
      <c r="D920" s="9">
        <v>12</v>
      </c>
      <c r="E920" s="9">
        <v>36</v>
      </c>
      <c r="F920" s="9">
        <v>39</v>
      </c>
      <c r="G920" s="9">
        <v>57</v>
      </c>
      <c r="H920" s="9">
        <v>72</v>
      </c>
      <c r="I920" s="1"/>
      <c r="J920" s="9">
        <v>72</v>
      </c>
      <c r="K920" s="1"/>
      <c r="L920" s="171">
        <v>44681</v>
      </c>
      <c r="M920" s="1"/>
    </row>
    <row r="921" spans="1:13" s="19" customFormat="1" x14ac:dyDescent="0.25">
      <c r="A921" s="2"/>
      <c r="B921" s="2"/>
      <c r="C921" s="9">
        <v>29</v>
      </c>
      <c r="D921" s="9">
        <v>32</v>
      </c>
      <c r="E921" s="9">
        <v>35</v>
      </c>
      <c r="F921" s="9">
        <v>47</v>
      </c>
      <c r="G921" s="9">
        <v>64</v>
      </c>
      <c r="H921" s="9">
        <v>73</v>
      </c>
      <c r="I921" s="1"/>
      <c r="J921" s="9">
        <v>73</v>
      </c>
      <c r="K921" s="1"/>
      <c r="L921" s="171">
        <v>44678</v>
      </c>
      <c r="M921" s="1"/>
    </row>
    <row r="922" spans="1:13" s="19" customFormat="1" x14ac:dyDescent="0.25">
      <c r="A922" s="2"/>
      <c r="B922" s="2"/>
      <c r="C922" s="9">
        <v>2</v>
      </c>
      <c r="D922" s="9">
        <v>48</v>
      </c>
      <c r="E922" s="9">
        <v>48</v>
      </c>
      <c r="F922" s="9">
        <v>61</v>
      </c>
      <c r="G922" s="9">
        <v>75</v>
      </c>
      <c r="H922" s="9">
        <v>84</v>
      </c>
      <c r="I922" s="1"/>
      <c r="J922" s="9">
        <v>84</v>
      </c>
      <c r="K922" s="1"/>
      <c r="L922" s="171">
        <v>44676</v>
      </c>
      <c r="M922" s="1"/>
    </row>
    <row r="923" spans="1:13" s="19" customFormat="1" x14ac:dyDescent="0.25">
      <c r="A923" s="2"/>
      <c r="B923" s="2"/>
      <c r="C923" s="9">
        <v>1</v>
      </c>
      <c r="D923" s="9">
        <v>3</v>
      </c>
      <c r="E923" s="9">
        <v>31</v>
      </c>
      <c r="F923" s="9">
        <v>70</v>
      </c>
      <c r="G923" s="9">
        <v>83</v>
      </c>
      <c r="H923" s="9">
        <v>86</v>
      </c>
      <c r="I923" s="1"/>
      <c r="J923" s="9">
        <v>86</v>
      </c>
      <c r="K923" s="1"/>
      <c r="L923" s="171">
        <v>44674</v>
      </c>
      <c r="M923" s="1"/>
    </row>
    <row r="924" spans="1:13" s="19" customFormat="1" x14ac:dyDescent="0.25">
      <c r="A924" s="2"/>
      <c r="B924" s="2"/>
      <c r="C924" s="9">
        <v>4</v>
      </c>
      <c r="D924" s="9">
        <v>13</v>
      </c>
      <c r="E924" s="9">
        <v>15</v>
      </c>
      <c r="F924" s="9">
        <v>75</v>
      </c>
      <c r="G924" s="9">
        <v>79</v>
      </c>
      <c r="H924" s="9">
        <v>86</v>
      </c>
      <c r="I924" s="1"/>
      <c r="J924" s="9">
        <v>86</v>
      </c>
      <c r="K924" s="1"/>
      <c r="L924" s="171">
        <v>44671</v>
      </c>
      <c r="M924" s="1"/>
    </row>
    <row r="925" spans="1:13" s="19" customFormat="1" x14ac:dyDescent="0.25">
      <c r="A925" s="2"/>
      <c r="B925" s="2"/>
      <c r="C925" s="9">
        <v>25</v>
      </c>
      <c r="D925" s="9">
        <v>27</v>
      </c>
      <c r="E925" s="9">
        <v>38</v>
      </c>
      <c r="F925" s="9">
        <v>68</v>
      </c>
      <c r="G925" s="9">
        <v>73</v>
      </c>
      <c r="H925" s="9">
        <v>88</v>
      </c>
      <c r="I925" s="1"/>
      <c r="J925" s="9">
        <v>88</v>
      </c>
      <c r="K925" s="1"/>
      <c r="L925" s="171">
        <v>44669</v>
      </c>
      <c r="M925" s="1"/>
    </row>
    <row r="926" spans="1:13" s="19" customFormat="1" x14ac:dyDescent="0.25">
      <c r="A926" s="2"/>
      <c r="B926" s="2"/>
      <c r="C926" s="9">
        <v>16</v>
      </c>
      <c r="D926" s="9">
        <v>22</v>
      </c>
      <c r="E926" s="9">
        <v>47</v>
      </c>
      <c r="F926" s="9">
        <v>78</v>
      </c>
      <c r="G926" s="9">
        <v>79</v>
      </c>
      <c r="H926" s="9">
        <v>80</v>
      </c>
      <c r="I926" s="1"/>
      <c r="J926" s="9">
        <v>80</v>
      </c>
      <c r="K926" s="1"/>
      <c r="L926" s="171">
        <v>44667</v>
      </c>
      <c r="M926" s="1"/>
    </row>
    <row r="927" spans="1:13" s="19" customFormat="1" x14ac:dyDescent="0.25">
      <c r="A927" s="2"/>
      <c r="B927" s="2"/>
      <c r="C927" s="9">
        <v>6</v>
      </c>
      <c r="D927" s="9">
        <v>38</v>
      </c>
      <c r="E927" s="9">
        <v>49</v>
      </c>
      <c r="F927" s="9">
        <v>62</v>
      </c>
      <c r="G927" s="9">
        <v>72</v>
      </c>
      <c r="H927" s="9">
        <v>82</v>
      </c>
      <c r="I927" s="1"/>
      <c r="J927" s="9">
        <v>82</v>
      </c>
      <c r="K927" s="1"/>
      <c r="L927" s="171">
        <v>44664</v>
      </c>
      <c r="M927" s="1"/>
    </row>
    <row r="928" spans="1:13" s="19" customFormat="1" x14ac:dyDescent="0.25">
      <c r="A928" s="2"/>
      <c r="B928" s="2"/>
      <c r="C928" s="9">
        <v>26</v>
      </c>
      <c r="D928" s="9">
        <v>31</v>
      </c>
      <c r="E928" s="9">
        <v>33</v>
      </c>
      <c r="F928" s="9">
        <v>46</v>
      </c>
      <c r="G928" s="9">
        <v>60</v>
      </c>
      <c r="H928" s="9">
        <v>72</v>
      </c>
      <c r="I928" s="1"/>
      <c r="J928" s="9">
        <v>72</v>
      </c>
      <c r="K928" s="1"/>
      <c r="L928" s="171">
        <v>44662</v>
      </c>
      <c r="M928" s="1"/>
    </row>
    <row r="929" spans="1:13" s="19" customFormat="1" x14ac:dyDescent="0.25">
      <c r="A929" s="2"/>
      <c r="B929" s="2"/>
      <c r="C929" s="9">
        <v>3</v>
      </c>
      <c r="D929" s="9">
        <v>6</v>
      </c>
      <c r="E929" s="9">
        <v>23</v>
      </c>
      <c r="F929" s="9">
        <v>53</v>
      </c>
      <c r="G929" s="9">
        <v>62</v>
      </c>
      <c r="H929" s="9">
        <v>71</v>
      </c>
      <c r="I929" s="1"/>
      <c r="J929" s="9">
        <v>71</v>
      </c>
      <c r="K929" s="1"/>
      <c r="L929" s="171">
        <v>44660</v>
      </c>
      <c r="M929" s="1"/>
    </row>
    <row r="930" spans="1:13" s="19" customFormat="1" x14ac:dyDescent="0.25">
      <c r="A930" s="2"/>
      <c r="B930" s="2"/>
      <c r="C930" s="9">
        <v>5</v>
      </c>
      <c r="D930" s="9">
        <v>29</v>
      </c>
      <c r="E930" s="9">
        <v>44</v>
      </c>
      <c r="F930" s="9">
        <v>59</v>
      </c>
      <c r="G930" s="9">
        <v>64</v>
      </c>
      <c r="H930" s="9">
        <v>89</v>
      </c>
      <c r="I930" s="1"/>
      <c r="J930" s="9">
        <v>89</v>
      </c>
      <c r="K930" s="1"/>
      <c r="L930" s="171">
        <v>44657</v>
      </c>
      <c r="M930" s="1"/>
    </row>
    <row r="931" spans="1:13" s="19" customFormat="1" x14ac:dyDescent="0.25">
      <c r="A931" s="2"/>
      <c r="B931" s="2"/>
      <c r="C931" s="9">
        <v>3</v>
      </c>
      <c r="D931" s="9">
        <v>8</v>
      </c>
      <c r="E931" s="9">
        <v>13</v>
      </c>
      <c r="F931" s="9">
        <v>22</v>
      </c>
      <c r="G931" s="9">
        <v>71</v>
      </c>
      <c r="H931" s="9">
        <v>73</v>
      </c>
      <c r="I931" s="1"/>
      <c r="J931" s="9">
        <v>73</v>
      </c>
      <c r="K931" s="1"/>
      <c r="L931" s="171">
        <v>44655</v>
      </c>
      <c r="M931" s="1"/>
    </row>
    <row r="932" spans="1:13" s="19" customFormat="1" x14ac:dyDescent="0.25">
      <c r="A932" s="2"/>
      <c r="B932" s="2"/>
      <c r="C932" s="9">
        <v>15</v>
      </c>
      <c r="D932" s="9">
        <v>44</v>
      </c>
      <c r="E932" s="9">
        <v>72</v>
      </c>
      <c r="F932" s="9">
        <v>75</v>
      </c>
      <c r="G932" s="9">
        <v>80</v>
      </c>
      <c r="H932" s="9">
        <v>88</v>
      </c>
      <c r="I932" s="1"/>
      <c r="J932" s="9">
        <v>88</v>
      </c>
      <c r="K932" s="1"/>
      <c r="L932" s="171">
        <v>44653</v>
      </c>
      <c r="M932" s="1"/>
    </row>
    <row r="933" spans="1:13" s="19" customFormat="1" x14ac:dyDescent="0.25">
      <c r="A933" s="2"/>
      <c r="B933" s="2"/>
      <c r="C933" s="9">
        <v>1</v>
      </c>
      <c r="D933" s="9">
        <v>13</v>
      </c>
      <c r="E933" s="9">
        <v>49</v>
      </c>
      <c r="F933" s="9">
        <v>56</v>
      </c>
      <c r="G933" s="9">
        <v>78</v>
      </c>
      <c r="H933" s="9">
        <v>88</v>
      </c>
      <c r="I933" s="1"/>
      <c r="J933" s="9">
        <v>88</v>
      </c>
      <c r="K933" s="1"/>
      <c r="L933" s="171">
        <v>44650</v>
      </c>
      <c r="M933" s="1"/>
    </row>
    <row r="934" spans="1:13" s="19" customFormat="1" x14ac:dyDescent="0.25">
      <c r="A934" s="2"/>
      <c r="B934" s="2"/>
      <c r="C934" s="9">
        <v>5</v>
      </c>
      <c r="D934" s="9">
        <v>33</v>
      </c>
      <c r="E934" s="9">
        <v>36</v>
      </c>
      <c r="F934" s="9">
        <v>51</v>
      </c>
      <c r="G934" s="9">
        <v>68</v>
      </c>
      <c r="H934" s="9">
        <v>78</v>
      </c>
      <c r="I934" s="1"/>
      <c r="J934" s="9">
        <v>78</v>
      </c>
      <c r="K934" s="1"/>
      <c r="L934" s="171">
        <v>44648</v>
      </c>
      <c r="M934" s="1"/>
    </row>
    <row r="935" spans="1:13" s="19" customFormat="1" x14ac:dyDescent="0.25">
      <c r="A935" s="2"/>
      <c r="B935" s="2"/>
      <c r="C935" s="9">
        <v>8</v>
      </c>
      <c r="D935" s="9">
        <v>11</v>
      </c>
      <c r="E935" s="9">
        <v>22</v>
      </c>
      <c r="F935" s="9">
        <v>41</v>
      </c>
      <c r="G935" s="9">
        <v>44</v>
      </c>
      <c r="H935" s="9">
        <v>59</v>
      </c>
      <c r="I935" s="1"/>
      <c r="J935" s="9">
        <v>59</v>
      </c>
      <c r="K935" s="1"/>
      <c r="L935" s="171">
        <v>44646</v>
      </c>
      <c r="M935" s="1"/>
    </row>
    <row r="936" spans="1:13" s="19" customFormat="1" x14ac:dyDescent="0.25">
      <c r="A936" s="2"/>
      <c r="B936" s="2"/>
      <c r="C936" s="9">
        <v>6</v>
      </c>
      <c r="D936" s="9">
        <v>13</v>
      </c>
      <c r="E936" s="9">
        <v>19</v>
      </c>
      <c r="F936" s="9">
        <v>31</v>
      </c>
      <c r="G936" s="9">
        <v>70</v>
      </c>
      <c r="H936" s="9">
        <v>84</v>
      </c>
      <c r="I936" s="1"/>
      <c r="J936" s="9">
        <v>84</v>
      </c>
      <c r="K936" s="1"/>
      <c r="L936" s="171">
        <v>44643</v>
      </c>
      <c r="M936" s="1"/>
    </row>
    <row r="937" spans="1:13" s="19" customFormat="1" x14ac:dyDescent="0.25">
      <c r="A937" s="2"/>
      <c r="B937" s="2"/>
      <c r="C937" s="9">
        <v>15</v>
      </c>
      <c r="D937" s="9">
        <v>18</v>
      </c>
      <c r="E937" s="9">
        <v>49</v>
      </c>
      <c r="F937" s="9">
        <v>56</v>
      </c>
      <c r="G937" s="9">
        <v>68</v>
      </c>
      <c r="H937" s="9">
        <v>79</v>
      </c>
      <c r="I937" s="1"/>
      <c r="J937" s="9">
        <v>79</v>
      </c>
      <c r="K937" s="1"/>
      <c r="L937" s="171">
        <v>44641</v>
      </c>
      <c r="M937" s="1"/>
    </row>
    <row r="938" spans="1:13" s="19" customFormat="1" x14ac:dyDescent="0.25">
      <c r="A938" s="2"/>
      <c r="B938" s="2"/>
      <c r="C938" s="9">
        <v>9</v>
      </c>
      <c r="D938" s="9">
        <v>20</v>
      </c>
      <c r="E938" s="9">
        <v>22</v>
      </c>
      <c r="F938" s="9">
        <v>23</v>
      </c>
      <c r="G938" s="9">
        <v>25</v>
      </c>
      <c r="H938" s="9">
        <v>86</v>
      </c>
      <c r="I938" s="1"/>
      <c r="J938" s="9">
        <v>86</v>
      </c>
      <c r="K938" s="1"/>
      <c r="L938" s="171">
        <v>44639</v>
      </c>
      <c r="M938" s="1"/>
    </row>
    <row r="939" spans="1:13" s="19" customFormat="1" x14ac:dyDescent="0.25">
      <c r="A939" s="2"/>
      <c r="B939" s="2"/>
      <c r="C939" s="9">
        <v>31</v>
      </c>
      <c r="D939" s="9">
        <v>40</v>
      </c>
      <c r="E939" s="9">
        <v>42</v>
      </c>
      <c r="F939" s="9">
        <v>45</v>
      </c>
      <c r="G939" s="9">
        <v>73</v>
      </c>
      <c r="H939" s="9">
        <v>89</v>
      </c>
      <c r="I939" s="1"/>
      <c r="J939" s="9">
        <v>89</v>
      </c>
      <c r="K939" s="1"/>
      <c r="L939" s="171">
        <v>44636</v>
      </c>
      <c r="M939" s="1"/>
    </row>
    <row r="940" spans="1:13" s="19" customFormat="1" x14ac:dyDescent="0.25">
      <c r="A940" s="2"/>
      <c r="B940" s="2"/>
      <c r="C940" s="9">
        <v>19</v>
      </c>
      <c r="D940" s="9">
        <v>32</v>
      </c>
      <c r="E940" s="9">
        <v>40</v>
      </c>
      <c r="F940" s="9">
        <v>42</v>
      </c>
      <c r="G940" s="9">
        <v>47</v>
      </c>
      <c r="H940" s="9">
        <v>58</v>
      </c>
      <c r="I940" s="1"/>
      <c r="J940" s="9">
        <v>58</v>
      </c>
      <c r="K940" s="1"/>
      <c r="L940" s="171">
        <v>44634</v>
      </c>
      <c r="M940" s="1"/>
    </row>
    <row r="941" spans="1:13" s="19" customFormat="1" x14ac:dyDescent="0.25">
      <c r="A941" s="2"/>
      <c r="B941" s="2"/>
      <c r="C941" s="9">
        <v>25</v>
      </c>
      <c r="D941" s="9">
        <v>29</v>
      </c>
      <c r="E941" s="9">
        <v>44</v>
      </c>
      <c r="F941" s="9">
        <v>61</v>
      </c>
      <c r="G941" s="9">
        <v>76</v>
      </c>
      <c r="H941" s="9">
        <v>79</v>
      </c>
      <c r="I941" s="1"/>
      <c r="J941" s="9">
        <v>79</v>
      </c>
      <c r="K941" s="1"/>
      <c r="L941" s="171">
        <v>44632</v>
      </c>
      <c r="M941" s="1"/>
    </row>
    <row r="942" spans="1:13" s="19" customFormat="1" x14ac:dyDescent="0.25">
      <c r="A942" s="2"/>
      <c r="B942" s="2"/>
      <c r="C942" s="9">
        <v>15</v>
      </c>
      <c r="D942" s="9">
        <v>32</v>
      </c>
      <c r="E942" s="9">
        <v>68</v>
      </c>
      <c r="F942" s="9">
        <v>69</v>
      </c>
      <c r="G942" s="9">
        <v>81</v>
      </c>
      <c r="H942" s="9">
        <v>84</v>
      </c>
      <c r="I942" s="1"/>
      <c r="J942" s="9">
        <v>84</v>
      </c>
      <c r="K942" s="1"/>
      <c r="L942" s="171">
        <v>44629</v>
      </c>
      <c r="M942" s="1"/>
    </row>
    <row r="943" spans="1:13" s="19" customFormat="1" x14ac:dyDescent="0.25">
      <c r="A943" s="2"/>
      <c r="B943" s="2"/>
      <c r="C943" s="9">
        <v>9</v>
      </c>
      <c r="D943" s="9">
        <v>25</v>
      </c>
      <c r="E943" s="9">
        <v>41</v>
      </c>
      <c r="F943" s="9">
        <v>52</v>
      </c>
      <c r="G943" s="9">
        <v>78</v>
      </c>
      <c r="H943" s="9">
        <v>86</v>
      </c>
      <c r="I943" s="1"/>
      <c r="J943" s="9">
        <v>86</v>
      </c>
      <c r="K943" s="1"/>
      <c r="L943" s="171">
        <v>44627</v>
      </c>
      <c r="M943" s="1"/>
    </row>
    <row r="944" spans="1:13" x14ac:dyDescent="0.25">
      <c r="C944" s="9">
        <v>18</v>
      </c>
      <c r="D944" s="9">
        <v>19</v>
      </c>
      <c r="E944" s="9">
        <v>42</v>
      </c>
      <c r="F944" s="9">
        <v>47</v>
      </c>
      <c r="G944" s="9">
        <v>53</v>
      </c>
      <c r="H944" s="9">
        <v>89</v>
      </c>
      <c r="J944" s="9">
        <v>89</v>
      </c>
      <c r="L944" s="171">
        <v>44625</v>
      </c>
    </row>
    <row r="945" spans="3:12" x14ac:dyDescent="0.25">
      <c r="C945" s="9">
        <v>25</v>
      </c>
      <c r="D945" s="9">
        <v>69</v>
      </c>
      <c r="E945" s="9">
        <v>70</v>
      </c>
      <c r="F945" s="9">
        <v>76</v>
      </c>
      <c r="G945" s="9">
        <v>81</v>
      </c>
      <c r="H945" s="9">
        <v>84</v>
      </c>
      <c r="J945" s="9">
        <v>84</v>
      </c>
      <c r="L945" s="171">
        <v>44622</v>
      </c>
    </row>
    <row r="946" spans="3:12" x14ac:dyDescent="0.25">
      <c r="C946" s="9">
        <v>14</v>
      </c>
      <c r="D946" s="9">
        <v>23</v>
      </c>
      <c r="E946" s="9">
        <v>40</v>
      </c>
      <c r="F946" s="9">
        <v>41</v>
      </c>
      <c r="G946" s="9">
        <v>42</v>
      </c>
      <c r="H946" s="9">
        <v>53</v>
      </c>
      <c r="J946" s="9">
        <v>53</v>
      </c>
      <c r="L946" s="171">
        <v>44620</v>
      </c>
    </row>
    <row r="947" spans="3:12" x14ac:dyDescent="0.25">
      <c r="C947" s="9">
        <v>18</v>
      </c>
      <c r="D947" s="9">
        <v>59</v>
      </c>
      <c r="E947" s="9">
        <v>64</v>
      </c>
      <c r="F947" s="9">
        <v>74</v>
      </c>
      <c r="G947" s="9">
        <v>79</v>
      </c>
      <c r="H947" s="9">
        <v>80</v>
      </c>
      <c r="J947" s="9">
        <v>80</v>
      </c>
      <c r="L947" s="171">
        <v>44618</v>
      </c>
    </row>
    <row r="948" spans="3:12" x14ac:dyDescent="0.25">
      <c r="C948" s="9">
        <v>10</v>
      </c>
      <c r="D948" s="9">
        <v>25</v>
      </c>
      <c r="E948" s="9">
        <v>28</v>
      </c>
      <c r="F948" s="9">
        <v>56</v>
      </c>
      <c r="G948" s="9">
        <v>66</v>
      </c>
      <c r="H948" s="9">
        <v>86</v>
      </c>
      <c r="J948" s="9">
        <v>86</v>
      </c>
      <c r="L948" s="171">
        <v>44615</v>
      </c>
    </row>
    <row r="949" spans="3:12" x14ac:dyDescent="0.25">
      <c r="C949" s="9">
        <v>3</v>
      </c>
      <c r="D949" s="9">
        <v>28</v>
      </c>
      <c r="E949" s="9">
        <v>52</v>
      </c>
      <c r="F949" s="9">
        <v>87</v>
      </c>
      <c r="G949" s="9">
        <v>89</v>
      </c>
      <c r="H949" s="9">
        <v>90</v>
      </c>
      <c r="J949" s="9">
        <v>90</v>
      </c>
      <c r="L949" s="171">
        <v>44613</v>
      </c>
    </row>
    <row r="950" spans="3:12" x14ac:dyDescent="0.25">
      <c r="C950" s="9">
        <v>28</v>
      </c>
      <c r="D950" s="9">
        <v>39</v>
      </c>
      <c r="E950" s="9">
        <v>42</v>
      </c>
      <c r="F950" s="9">
        <v>68</v>
      </c>
      <c r="G950" s="9">
        <v>71</v>
      </c>
      <c r="H950" s="9">
        <v>74</v>
      </c>
      <c r="J950" s="9">
        <v>74</v>
      </c>
      <c r="L950" s="171">
        <v>44608</v>
      </c>
    </row>
    <row r="951" spans="3:12" x14ac:dyDescent="0.25">
      <c r="C951" s="9">
        <v>23</v>
      </c>
      <c r="D951" s="9">
        <v>25</v>
      </c>
      <c r="E951" s="9">
        <v>37</v>
      </c>
      <c r="F951" s="9">
        <v>43</v>
      </c>
      <c r="G951" s="9">
        <v>45</v>
      </c>
      <c r="H951" s="9">
        <v>67</v>
      </c>
      <c r="J951" s="9">
        <v>67</v>
      </c>
      <c r="L951" s="171">
        <v>44606</v>
      </c>
    </row>
    <row r="952" spans="3:12" x14ac:dyDescent="0.25">
      <c r="C952" s="9">
        <v>9</v>
      </c>
      <c r="D952" s="9">
        <v>29</v>
      </c>
      <c r="E952" s="9">
        <v>43</v>
      </c>
      <c r="F952" s="9">
        <v>60</v>
      </c>
      <c r="G952" s="9">
        <v>68</v>
      </c>
      <c r="H952" s="9">
        <v>69</v>
      </c>
      <c r="J952" s="9">
        <v>69</v>
      </c>
      <c r="L952" s="171">
        <v>44601</v>
      </c>
    </row>
    <row r="953" spans="3:12" x14ac:dyDescent="0.25">
      <c r="C953" s="9">
        <v>1</v>
      </c>
      <c r="D953" s="9">
        <v>12</v>
      </c>
      <c r="E953" s="9">
        <v>51</v>
      </c>
      <c r="F953" s="9">
        <v>57</v>
      </c>
      <c r="G953" s="9">
        <v>64</v>
      </c>
      <c r="H953" s="9">
        <v>76</v>
      </c>
      <c r="J953" s="9">
        <v>76</v>
      </c>
      <c r="L953" s="171">
        <v>44599</v>
      </c>
    </row>
    <row r="954" spans="3:12" x14ac:dyDescent="0.25">
      <c r="C954" s="9">
        <v>6</v>
      </c>
      <c r="D954" s="9">
        <v>12</v>
      </c>
      <c r="E954" s="9">
        <v>66</v>
      </c>
      <c r="F954" s="9">
        <v>75</v>
      </c>
      <c r="G954" s="9">
        <v>76</v>
      </c>
      <c r="H954" s="9">
        <v>78</v>
      </c>
      <c r="J954" s="9">
        <v>78</v>
      </c>
      <c r="L954" s="171">
        <v>44597</v>
      </c>
    </row>
    <row r="955" spans="3:12" x14ac:dyDescent="0.25">
      <c r="C955" s="9">
        <v>31</v>
      </c>
      <c r="D955" s="9">
        <v>38</v>
      </c>
      <c r="E955" s="9">
        <v>40</v>
      </c>
      <c r="F955" s="9">
        <v>42</v>
      </c>
      <c r="G955" s="9">
        <v>50</v>
      </c>
      <c r="H955" s="9">
        <v>71</v>
      </c>
      <c r="J955" s="9">
        <v>71</v>
      </c>
      <c r="L955" s="171">
        <v>44594</v>
      </c>
    </row>
    <row r="956" spans="3:12" x14ac:dyDescent="0.25">
      <c r="C956" s="9">
        <v>17</v>
      </c>
      <c r="D956" s="9">
        <v>28</v>
      </c>
      <c r="E956" s="9">
        <v>44</v>
      </c>
      <c r="F956" s="9">
        <v>59</v>
      </c>
      <c r="G956" s="9">
        <v>66</v>
      </c>
      <c r="H956" s="9">
        <v>80</v>
      </c>
      <c r="J956" s="9">
        <v>80</v>
      </c>
      <c r="L956" s="171">
        <v>44592</v>
      </c>
    </row>
    <row r="957" spans="3:12" x14ac:dyDescent="0.25">
      <c r="C957" s="9">
        <v>3</v>
      </c>
      <c r="D957" s="9">
        <v>8</v>
      </c>
      <c r="E957" s="9">
        <v>23</v>
      </c>
      <c r="F957" s="9">
        <v>61</v>
      </c>
      <c r="G957" s="9">
        <v>63</v>
      </c>
      <c r="H957" s="9">
        <v>64</v>
      </c>
      <c r="J957" s="9">
        <v>64</v>
      </c>
      <c r="L957" s="171">
        <v>44590</v>
      </c>
    </row>
    <row r="958" spans="3:12" x14ac:dyDescent="0.25">
      <c r="C958" s="9">
        <v>30</v>
      </c>
      <c r="D958" s="9">
        <v>50</v>
      </c>
      <c r="E958" s="9">
        <v>58</v>
      </c>
      <c r="F958" s="9">
        <v>71</v>
      </c>
      <c r="G958" s="9">
        <v>87</v>
      </c>
      <c r="H958" s="9">
        <v>88</v>
      </c>
      <c r="J958" s="9">
        <v>88</v>
      </c>
      <c r="L958" s="171">
        <v>44587</v>
      </c>
    </row>
    <row r="959" spans="3:12" x14ac:dyDescent="0.25">
      <c r="C959" s="9">
        <v>6</v>
      </c>
      <c r="D959" s="9">
        <v>24</v>
      </c>
      <c r="E959" s="9">
        <v>37</v>
      </c>
      <c r="F959" s="9">
        <v>56</v>
      </c>
      <c r="G959" s="9">
        <v>71</v>
      </c>
      <c r="H959" s="9">
        <v>83</v>
      </c>
      <c r="J959" s="9">
        <v>83</v>
      </c>
      <c r="L959" s="171">
        <v>44585</v>
      </c>
    </row>
    <row r="960" spans="3:12" x14ac:dyDescent="0.25">
      <c r="C960" s="9">
        <v>15</v>
      </c>
      <c r="D960" s="9">
        <v>56</v>
      </c>
      <c r="E960" s="9">
        <v>61</v>
      </c>
      <c r="F960" s="9">
        <v>64</v>
      </c>
      <c r="G960" s="9">
        <v>68</v>
      </c>
      <c r="H960" s="9">
        <v>86</v>
      </c>
      <c r="J960" s="9">
        <v>86</v>
      </c>
      <c r="L960" s="171">
        <v>44583</v>
      </c>
    </row>
    <row r="961" spans="3:12" x14ac:dyDescent="0.25">
      <c r="C961" s="9">
        <v>17</v>
      </c>
      <c r="D961" s="9">
        <v>40</v>
      </c>
      <c r="E961" s="9">
        <v>47</v>
      </c>
      <c r="F961" s="9">
        <v>50</v>
      </c>
      <c r="G961" s="9">
        <v>63</v>
      </c>
      <c r="H961" s="9">
        <v>75</v>
      </c>
      <c r="J961" s="9">
        <v>75</v>
      </c>
      <c r="L961" s="171">
        <v>44580</v>
      </c>
    </row>
    <row r="962" spans="3:12" x14ac:dyDescent="0.25">
      <c r="C962" s="9">
        <v>4</v>
      </c>
      <c r="D962" s="9">
        <v>25</v>
      </c>
      <c r="E962" s="9">
        <v>32</v>
      </c>
      <c r="F962" s="9">
        <v>44</v>
      </c>
      <c r="G962" s="9">
        <v>67</v>
      </c>
      <c r="H962" s="9">
        <v>75</v>
      </c>
      <c r="J962" s="9">
        <v>75</v>
      </c>
      <c r="L962" s="171">
        <v>44578</v>
      </c>
    </row>
    <row r="963" spans="3:12" x14ac:dyDescent="0.25">
      <c r="C963" s="9">
        <v>6</v>
      </c>
      <c r="D963" s="9">
        <v>19</v>
      </c>
      <c r="E963" s="9">
        <v>22</v>
      </c>
      <c r="F963" s="9">
        <v>23</v>
      </c>
      <c r="G963" s="9">
        <v>27</v>
      </c>
      <c r="H963" s="9">
        <v>84</v>
      </c>
      <c r="J963" s="9">
        <v>84</v>
      </c>
      <c r="L963" s="171">
        <v>44576</v>
      </c>
    </row>
    <row r="964" spans="3:12" x14ac:dyDescent="0.25">
      <c r="C964" s="9">
        <v>1</v>
      </c>
      <c r="D964" s="9">
        <v>9</v>
      </c>
      <c r="E964" s="9">
        <v>39</v>
      </c>
      <c r="F964" s="9">
        <v>59</v>
      </c>
      <c r="G964" s="9">
        <v>64</v>
      </c>
      <c r="H964" s="9">
        <v>68</v>
      </c>
      <c r="J964" s="9">
        <v>68</v>
      </c>
      <c r="L964" s="171">
        <v>44573</v>
      </c>
    </row>
    <row r="965" spans="3:12" x14ac:dyDescent="0.25">
      <c r="C965" s="9">
        <v>36</v>
      </c>
      <c r="D965" s="9">
        <v>55</v>
      </c>
      <c r="E965" s="9">
        <v>60</v>
      </c>
      <c r="F965" s="9">
        <v>64</v>
      </c>
      <c r="G965" s="9">
        <v>70</v>
      </c>
      <c r="H965" s="9">
        <v>86</v>
      </c>
      <c r="J965" s="9">
        <v>86</v>
      </c>
      <c r="L965" s="171">
        <v>44571</v>
      </c>
    </row>
    <row r="966" spans="3:12" x14ac:dyDescent="0.25">
      <c r="C966" s="9">
        <v>18</v>
      </c>
      <c r="D966" s="9">
        <v>39</v>
      </c>
      <c r="E966" s="9">
        <v>49</v>
      </c>
      <c r="F966" s="9">
        <v>60</v>
      </c>
      <c r="G966" s="9">
        <v>75</v>
      </c>
      <c r="H966" s="9">
        <v>77</v>
      </c>
      <c r="J966" s="9">
        <v>77</v>
      </c>
      <c r="L966" s="171">
        <v>44569</v>
      </c>
    </row>
    <row r="967" spans="3:12" x14ac:dyDescent="0.25">
      <c r="C967" s="9">
        <v>7</v>
      </c>
      <c r="D967" s="9">
        <v>18</v>
      </c>
      <c r="E967" s="9">
        <v>20</v>
      </c>
      <c r="F967" s="9">
        <v>37</v>
      </c>
      <c r="G967" s="9">
        <v>61</v>
      </c>
      <c r="H967" s="9">
        <v>88</v>
      </c>
      <c r="J967" s="9">
        <v>88</v>
      </c>
      <c r="L967" s="171">
        <v>44566</v>
      </c>
    </row>
    <row r="968" spans="3:12" x14ac:dyDescent="0.25">
      <c r="C968" s="9">
        <v>25</v>
      </c>
      <c r="D968" s="9">
        <v>36</v>
      </c>
      <c r="E968" s="9">
        <v>45</v>
      </c>
      <c r="F968" s="9">
        <v>57</v>
      </c>
      <c r="G968" s="9">
        <v>70</v>
      </c>
      <c r="H968" s="9">
        <v>87</v>
      </c>
      <c r="J968" s="9">
        <v>87</v>
      </c>
      <c r="L968" s="171">
        <v>44564</v>
      </c>
    </row>
    <row r="969" spans="3:12" x14ac:dyDescent="0.25">
      <c r="C969" s="9">
        <v>9</v>
      </c>
      <c r="D969" s="9">
        <v>60</v>
      </c>
      <c r="E969" s="9">
        <v>72</v>
      </c>
      <c r="F969" s="9">
        <v>77</v>
      </c>
      <c r="G969" s="9">
        <v>78</v>
      </c>
      <c r="H969" s="9">
        <v>90</v>
      </c>
      <c r="J969" s="9">
        <v>90</v>
      </c>
      <c r="L969" s="171">
        <v>44562</v>
      </c>
    </row>
    <row r="970" spans="3:12" x14ac:dyDescent="0.25">
      <c r="C970" s="9">
        <v>21</v>
      </c>
      <c r="D970" s="9">
        <v>45</v>
      </c>
      <c r="E970" s="9">
        <v>51</v>
      </c>
      <c r="F970" s="9">
        <v>58</v>
      </c>
      <c r="G970" s="9">
        <v>63</v>
      </c>
      <c r="H970" s="9">
        <v>87</v>
      </c>
      <c r="J970" s="9">
        <v>87</v>
      </c>
      <c r="L970" s="171">
        <v>44933</v>
      </c>
    </row>
    <row r="971" spans="3:12" x14ac:dyDescent="0.25">
      <c r="C971" s="9">
        <v>5</v>
      </c>
      <c r="D971" s="9">
        <v>28</v>
      </c>
      <c r="E971" s="9">
        <v>48</v>
      </c>
      <c r="F971" s="9">
        <v>60</v>
      </c>
      <c r="G971" s="9">
        <v>63</v>
      </c>
      <c r="H971" s="9">
        <v>80</v>
      </c>
      <c r="J971" s="9">
        <v>80</v>
      </c>
      <c r="L971" s="171">
        <v>44930</v>
      </c>
    </row>
    <row r="972" spans="3:12" x14ac:dyDescent="0.25">
      <c r="C972" s="9">
        <v>2</v>
      </c>
      <c r="D972" s="9">
        <v>6</v>
      </c>
      <c r="E972" s="9">
        <v>9</v>
      </c>
      <c r="F972" s="9">
        <v>25</v>
      </c>
      <c r="G972" s="9">
        <v>50</v>
      </c>
      <c r="H972" s="9">
        <v>65</v>
      </c>
      <c r="J972" s="9">
        <v>65</v>
      </c>
      <c r="L972" s="171">
        <v>44928</v>
      </c>
    </row>
    <row r="973" spans="3:12" x14ac:dyDescent="0.25">
      <c r="C973" s="9">
        <v>5</v>
      </c>
      <c r="D973" s="9">
        <v>11</v>
      </c>
      <c r="E973" s="9">
        <v>12</v>
      </c>
      <c r="F973" s="9">
        <v>18</v>
      </c>
      <c r="G973" s="9">
        <v>34</v>
      </c>
      <c r="H973" s="9">
        <v>85</v>
      </c>
      <c r="J973" s="9">
        <v>85</v>
      </c>
      <c r="L973" s="171">
        <v>44246</v>
      </c>
    </row>
    <row r="974" spans="3:12" x14ac:dyDescent="0.25">
      <c r="C974" s="9">
        <v>23</v>
      </c>
      <c r="D974" s="9">
        <v>33</v>
      </c>
      <c r="E974" s="9">
        <v>38</v>
      </c>
      <c r="F974" s="9">
        <v>62</v>
      </c>
      <c r="G974" s="9">
        <v>80</v>
      </c>
      <c r="H974" s="9">
        <v>90</v>
      </c>
      <c r="J974" s="9">
        <v>90</v>
      </c>
      <c r="L974" s="171">
        <v>44239</v>
      </c>
    </row>
    <row r="975" spans="3:12" x14ac:dyDescent="0.25">
      <c r="C975" s="9">
        <v>34</v>
      </c>
      <c r="D975" s="9">
        <v>43</v>
      </c>
      <c r="E975" s="9">
        <v>47</v>
      </c>
      <c r="F975" s="9">
        <v>57</v>
      </c>
      <c r="G975" s="9">
        <v>73</v>
      </c>
      <c r="H975" s="9">
        <v>89</v>
      </c>
      <c r="J975" s="9">
        <v>89</v>
      </c>
      <c r="L975" s="171">
        <v>44559</v>
      </c>
    </row>
    <row r="976" spans="3:12" x14ac:dyDescent="0.25">
      <c r="C976" s="9">
        <v>6</v>
      </c>
      <c r="D976" s="9">
        <v>36</v>
      </c>
      <c r="E976" s="9">
        <v>54</v>
      </c>
      <c r="F976" s="9">
        <v>55</v>
      </c>
      <c r="G976" s="9">
        <v>85</v>
      </c>
      <c r="H976" s="9">
        <v>88</v>
      </c>
      <c r="J976" s="9">
        <v>88</v>
      </c>
      <c r="L976" s="171">
        <v>44557</v>
      </c>
    </row>
    <row r="977" spans="3:12" x14ac:dyDescent="0.25">
      <c r="C977" s="9">
        <v>10</v>
      </c>
      <c r="D977" s="9">
        <v>45</v>
      </c>
      <c r="E977" s="9">
        <v>53</v>
      </c>
      <c r="F977" s="9">
        <v>66</v>
      </c>
      <c r="G977" s="9">
        <v>77</v>
      </c>
      <c r="H977" s="9">
        <v>88</v>
      </c>
      <c r="J977" s="9">
        <v>88</v>
      </c>
      <c r="L977" s="171">
        <v>44555</v>
      </c>
    </row>
    <row r="978" spans="3:12" x14ac:dyDescent="0.25">
      <c r="C978" s="9">
        <v>6</v>
      </c>
      <c r="D978" s="9">
        <v>12</v>
      </c>
      <c r="E978" s="9">
        <v>14</v>
      </c>
      <c r="F978" s="9">
        <v>48</v>
      </c>
      <c r="G978" s="9">
        <v>55</v>
      </c>
      <c r="H978" s="9">
        <v>72</v>
      </c>
      <c r="J978" s="9">
        <v>72</v>
      </c>
      <c r="L978" s="171">
        <v>44552</v>
      </c>
    </row>
    <row r="979" spans="3:12" x14ac:dyDescent="0.25">
      <c r="C979" s="9">
        <v>7</v>
      </c>
      <c r="D979" s="9">
        <v>18</v>
      </c>
      <c r="E979" s="9">
        <v>63</v>
      </c>
      <c r="F979" s="9">
        <v>67</v>
      </c>
      <c r="G979" s="9">
        <v>69</v>
      </c>
      <c r="H979" s="9">
        <v>78</v>
      </c>
      <c r="J979" s="9">
        <v>78</v>
      </c>
      <c r="L979" s="171">
        <v>44550</v>
      </c>
    </row>
    <row r="980" spans="3:12" x14ac:dyDescent="0.25">
      <c r="C980" s="9">
        <v>2</v>
      </c>
      <c r="D980" s="9">
        <v>13</v>
      </c>
      <c r="E980" s="9">
        <v>14</v>
      </c>
      <c r="F980" s="9">
        <v>33</v>
      </c>
      <c r="G980" s="9">
        <v>63</v>
      </c>
      <c r="H980" s="9">
        <v>88</v>
      </c>
      <c r="J980" s="9">
        <v>88</v>
      </c>
      <c r="L980" s="171">
        <v>44548</v>
      </c>
    </row>
    <row r="981" spans="3:12" x14ac:dyDescent="0.25">
      <c r="C981" s="9">
        <v>2</v>
      </c>
      <c r="D981" s="9">
        <v>21</v>
      </c>
      <c r="E981" s="9">
        <v>24</v>
      </c>
      <c r="F981" s="9">
        <v>45</v>
      </c>
      <c r="G981" s="9">
        <v>83</v>
      </c>
      <c r="H981" s="9">
        <v>84</v>
      </c>
      <c r="J981" s="9">
        <v>84</v>
      </c>
      <c r="L981" s="171">
        <v>44545</v>
      </c>
    </row>
    <row r="982" spans="3:12" x14ac:dyDescent="0.25">
      <c r="C982" s="9">
        <v>1</v>
      </c>
      <c r="D982" s="9">
        <v>9</v>
      </c>
      <c r="E982" s="9">
        <v>18</v>
      </c>
      <c r="F982" s="9">
        <v>41</v>
      </c>
      <c r="G982" s="9">
        <v>56</v>
      </c>
      <c r="H982" s="9">
        <v>79</v>
      </c>
      <c r="J982" s="9">
        <v>79</v>
      </c>
      <c r="L982" s="171">
        <v>44543</v>
      </c>
    </row>
    <row r="983" spans="3:12" x14ac:dyDescent="0.25">
      <c r="C983" s="9">
        <v>18</v>
      </c>
      <c r="D983" s="9">
        <v>33</v>
      </c>
      <c r="E983" s="9">
        <v>41</v>
      </c>
      <c r="F983" s="9">
        <v>59</v>
      </c>
      <c r="G983" s="9">
        <v>77</v>
      </c>
      <c r="H983" s="9">
        <v>87</v>
      </c>
      <c r="J983" s="9">
        <v>87</v>
      </c>
      <c r="L983" s="171">
        <v>44541</v>
      </c>
    </row>
    <row r="984" spans="3:12" x14ac:dyDescent="0.25">
      <c r="C984" s="9">
        <v>5</v>
      </c>
      <c r="D984" s="9">
        <v>17</v>
      </c>
      <c r="E984" s="9">
        <v>26</v>
      </c>
      <c r="F984" s="9">
        <v>44</v>
      </c>
      <c r="G984" s="9">
        <v>58</v>
      </c>
      <c r="H984" s="9">
        <v>71</v>
      </c>
      <c r="J984" s="9">
        <v>71</v>
      </c>
      <c r="L984" s="171">
        <v>44538</v>
      </c>
    </row>
    <row r="985" spans="3:12" x14ac:dyDescent="0.25">
      <c r="C985" s="9">
        <v>35</v>
      </c>
      <c r="D985" s="9">
        <v>37</v>
      </c>
      <c r="E985" s="9">
        <v>38</v>
      </c>
      <c r="F985" s="9">
        <v>56</v>
      </c>
      <c r="G985" s="9">
        <v>79</v>
      </c>
      <c r="H985" s="9">
        <v>88</v>
      </c>
      <c r="J985" s="9">
        <v>88</v>
      </c>
      <c r="L985" s="171">
        <v>44536</v>
      </c>
    </row>
    <row r="986" spans="3:12" x14ac:dyDescent="0.25">
      <c r="C986" s="9">
        <v>15</v>
      </c>
      <c r="D986" s="9">
        <v>36</v>
      </c>
      <c r="E986" s="9">
        <v>39</v>
      </c>
      <c r="F986" s="9">
        <v>45</v>
      </c>
      <c r="G986" s="9">
        <v>81</v>
      </c>
      <c r="H986" s="9">
        <v>89</v>
      </c>
      <c r="J986" s="9">
        <v>89</v>
      </c>
      <c r="L986" s="171">
        <v>44534</v>
      </c>
    </row>
    <row r="987" spans="3:12" x14ac:dyDescent="0.25">
      <c r="C987" s="9">
        <v>5</v>
      </c>
      <c r="D987" s="9">
        <v>34</v>
      </c>
      <c r="E987" s="9">
        <v>47</v>
      </c>
      <c r="F987" s="9">
        <v>61</v>
      </c>
      <c r="G987" s="9">
        <v>64</v>
      </c>
      <c r="H987" s="9">
        <v>66</v>
      </c>
      <c r="J987" s="9">
        <v>66</v>
      </c>
      <c r="L987" s="171">
        <v>44531</v>
      </c>
    </row>
    <row r="988" spans="3:12" x14ac:dyDescent="0.25">
      <c r="C988" s="9">
        <v>27</v>
      </c>
      <c r="D988" s="9">
        <v>35</v>
      </c>
      <c r="E988" s="9">
        <v>37</v>
      </c>
      <c r="F988" s="9">
        <v>42</v>
      </c>
      <c r="G988" s="9">
        <v>60</v>
      </c>
      <c r="H988" s="9">
        <v>63</v>
      </c>
      <c r="J988" s="9">
        <v>63</v>
      </c>
      <c r="L988" s="171">
        <v>44529</v>
      </c>
    </row>
    <row r="989" spans="3:12" x14ac:dyDescent="0.25">
      <c r="C989" s="9">
        <v>17</v>
      </c>
      <c r="D989" s="9">
        <v>43</v>
      </c>
      <c r="E989" s="9">
        <v>46</v>
      </c>
      <c r="F989" s="9">
        <v>61</v>
      </c>
      <c r="G989" s="9">
        <v>69</v>
      </c>
      <c r="H989" s="9">
        <v>89</v>
      </c>
      <c r="J989" s="9">
        <v>89</v>
      </c>
      <c r="L989" s="171">
        <v>44527</v>
      </c>
    </row>
    <row r="990" spans="3:12" x14ac:dyDescent="0.25">
      <c r="C990" s="9">
        <v>32</v>
      </c>
      <c r="D990" s="9">
        <v>52</v>
      </c>
      <c r="E990" s="9">
        <v>71</v>
      </c>
      <c r="F990" s="9">
        <v>73</v>
      </c>
      <c r="G990" s="9">
        <v>77</v>
      </c>
      <c r="H990" s="9">
        <v>84</v>
      </c>
      <c r="J990" s="9">
        <v>84</v>
      </c>
      <c r="L990" s="171">
        <v>44524</v>
      </c>
    </row>
    <row r="991" spans="3:12" x14ac:dyDescent="0.25">
      <c r="C991" s="9">
        <v>7</v>
      </c>
      <c r="D991" s="9">
        <v>47</v>
      </c>
      <c r="E991" s="9">
        <v>48</v>
      </c>
      <c r="F991" s="9">
        <v>62</v>
      </c>
      <c r="G991" s="9">
        <v>69</v>
      </c>
      <c r="H991" s="9">
        <v>83</v>
      </c>
      <c r="J991" s="9">
        <v>83</v>
      </c>
      <c r="L991" s="171">
        <v>44522</v>
      </c>
    </row>
    <row r="992" spans="3:12" x14ac:dyDescent="0.25">
      <c r="C992" s="9">
        <v>13</v>
      </c>
      <c r="D992" s="9">
        <v>43</v>
      </c>
      <c r="E992" s="9">
        <v>48</v>
      </c>
      <c r="F992" s="9">
        <v>53</v>
      </c>
      <c r="G992" s="9">
        <v>63</v>
      </c>
      <c r="H992" s="9">
        <v>67</v>
      </c>
      <c r="J992" s="9">
        <v>67</v>
      </c>
      <c r="L992" s="171">
        <v>44520</v>
      </c>
    </row>
    <row r="993" spans="3:12" x14ac:dyDescent="0.25">
      <c r="C993" s="9">
        <v>53</v>
      </c>
      <c r="D993" s="9">
        <v>56</v>
      </c>
      <c r="E993" s="9">
        <v>61</v>
      </c>
      <c r="F993" s="9">
        <v>65</v>
      </c>
      <c r="G993" s="9">
        <v>71</v>
      </c>
      <c r="H993" s="9">
        <v>81</v>
      </c>
      <c r="J993" s="9">
        <v>81</v>
      </c>
      <c r="L993" s="171">
        <v>44517</v>
      </c>
    </row>
    <row r="994" spans="3:12" x14ac:dyDescent="0.25">
      <c r="C994" s="9">
        <v>13</v>
      </c>
      <c r="D994" s="9">
        <v>15</v>
      </c>
      <c r="E994" s="9">
        <v>43</v>
      </c>
      <c r="F994" s="9">
        <v>51</v>
      </c>
      <c r="G994" s="9">
        <v>71</v>
      </c>
      <c r="H994" s="9">
        <v>88</v>
      </c>
      <c r="J994" s="9">
        <v>88</v>
      </c>
      <c r="L994" s="171">
        <v>44515</v>
      </c>
    </row>
    <row r="995" spans="3:12" x14ac:dyDescent="0.25">
      <c r="C995" s="9">
        <v>31</v>
      </c>
      <c r="D995" s="9">
        <v>47</v>
      </c>
      <c r="E995" s="9">
        <v>67</v>
      </c>
      <c r="F995" s="9">
        <v>74</v>
      </c>
      <c r="G995" s="9">
        <v>79</v>
      </c>
      <c r="H995" s="9">
        <v>86</v>
      </c>
      <c r="J995" s="9">
        <v>86</v>
      </c>
      <c r="L995" s="171">
        <v>44513</v>
      </c>
    </row>
    <row r="996" spans="3:12" x14ac:dyDescent="0.25">
      <c r="C996" s="9">
        <v>8</v>
      </c>
      <c r="D996" s="9">
        <v>31</v>
      </c>
      <c r="E996" s="9">
        <v>32</v>
      </c>
      <c r="F996" s="9">
        <v>55</v>
      </c>
      <c r="G996" s="9">
        <v>65</v>
      </c>
      <c r="H996" s="9">
        <v>71</v>
      </c>
      <c r="J996" s="9">
        <v>71</v>
      </c>
      <c r="L996" s="171">
        <v>44510</v>
      </c>
    </row>
    <row r="997" spans="3:12" x14ac:dyDescent="0.25">
      <c r="C997" s="9">
        <v>16</v>
      </c>
      <c r="D997" s="9">
        <v>25</v>
      </c>
      <c r="E997" s="9">
        <v>36</v>
      </c>
      <c r="F997" s="9">
        <v>54</v>
      </c>
      <c r="G997" s="9">
        <v>56</v>
      </c>
      <c r="H997" s="9">
        <v>61</v>
      </c>
      <c r="J997" s="9">
        <v>61</v>
      </c>
      <c r="L997" s="171">
        <v>44508</v>
      </c>
    </row>
    <row r="998" spans="3:12" x14ac:dyDescent="0.25">
      <c r="C998" s="9">
        <v>23</v>
      </c>
      <c r="D998" s="9">
        <v>35</v>
      </c>
      <c r="E998" s="9">
        <v>37</v>
      </c>
      <c r="F998" s="9">
        <v>52</v>
      </c>
      <c r="G998" s="9">
        <v>59</v>
      </c>
      <c r="H998" s="9">
        <v>65</v>
      </c>
      <c r="J998" s="9">
        <v>65</v>
      </c>
      <c r="L998" s="171">
        <v>44506</v>
      </c>
    </row>
    <row r="999" spans="3:12" x14ac:dyDescent="0.25">
      <c r="C999" s="9">
        <v>16</v>
      </c>
      <c r="D999" s="9">
        <v>24</v>
      </c>
      <c r="E999" s="9">
        <v>40</v>
      </c>
      <c r="F999" s="9">
        <v>57</v>
      </c>
      <c r="G999" s="9">
        <v>68</v>
      </c>
      <c r="H999" s="9">
        <v>78</v>
      </c>
      <c r="J999" s="9">
        <v>78</v>
      </c>
      <c r="L999" s="171">
        <v>44503</v>
      </c>
    </row>
    <row r="1000" spans="3:12" x14ac:dyDescent="0.25">
      <c r="C1000" s="9">
        <v>34</v>
      </c>
      <c r="D1000" s="9">
        <v>44</v>
      </c>
      <c r="E1000" s="9">
        <v>62</v>
      </c>
      <c r="F1000" s="9">
        <v>69</v>
      </c>
      <c r="G1000" s="9">
        <v>72</v>
      </c>
      <c r="H1000" s="9">
        <v>86</v>
      </c>
      <c r="J1000" s="9">
        <v>86</v>
      </c>
      <c r="L1000" s="171">
        <v>44501</v>
      </c>
    </row>
    <row r="1001" spans="3:12" x14ac:dyDescent="0.25">
      <c r="C1001" s="9">
        <v>36</v>
      </c>
      <c r="D1001" s="9">
        <v>40</v>
      </c>
      <c r="E1001" s="9">
        <v>41</v>
      </c>
      <c r="F1001" s="9">
        <v>54</v>
      </c>
      <c r="G1001" s="9">
        <v>55</v>
      </c>
      <c r="H1001" s="9">
        <v>64</v>
      </c>
      <c r="J1001" s="9">
        <v>64</v>
      </c>
      <c r="L1001" s="171">
        <v>44499</v>
      </c>
    </row>
    <row r="1002" spans="3:12" x14ac:dyDescent="0.25">
      <c r="C1002" s="9">
        <v>2</v>
      </c>
      <c r="D1002" s="9">
        <v>18</v>
      </c>
      <c r="E1002" s="9">
        <v>25</v>
      </c>
      <c r="F1002" s="9">
        <v>36</v>
      </c>
      <c r="G1002" s="9">
        <v>45</v>
      </c>
      <c r="H1002" s="9">
        <v>65</v>
      </c>
      <c r="J1002" s="9">
        <v>65</v>
      </c>
      <c r="L1002" s="171">
        <v>44496</v>
      </c>
    </row>
    <row r="1003" spans="3:12" x14ac:dyDescent="0.25">
      <c r="C1003" s="9">
        <v>7</v>
      </c>
      <c r="D1003" s="9">
        <v>22</v>
      </c>
      <c r="E1003" s="9">
        <v>30</v>
      </c>
      <c r="F1003" s="9">
        <v>37</v>
      </c>
      <c r="G1003" s="9">
        <v>60</v>
      </c>
      <c r="H1003" s="9">
        <v>67</v>
      </c>
      <c r="J1003" s="9">
        <v>67</v>
      </c>
      <c r="L1003" s="171">
        <v>44494</v>
      </c>
    </row>
    <row r="1004" spans="3:12" x14ac:dyDescent="0.25">
      <c r="C1004" s="9">
        <v>26</v>
      </c>
      <c r="D1004" s="9">
        <v>36</v>
      </c>
      <c r="E1004" s="9">
        <v>49</v>
      </c>
      <c r="F1004" s="9">
        <v>74</v>
      </c>
      <c r="G1004" s="9">
        <v>80</v>
      </c>
      <c r="H1004" s="9">
        <v>81</v>
      </c>
      <c r="J1004" s="9">
        <v>81</v>
      </c>
      <c r="L1004" s="171">
        <v>44492</v>
      </c>
    </row>
    <row r="1005" spans="3:12" x14ac:dyDescent="0.25">
      <c r="C1005" s="9">
        <v>5</v>
      </c>
      <c r="D1005" s="9">
        <v>11</v>
      </c>
      <c r="E1005" s="9">
        <v>30</v>
      </c>
      <c r="F1005" s="9">
        <v>40</v>
      </c>
      <c r="G1005" s="9">
        <v>56</v>
      </c>
      <c r="H1005" s="9">
        <v>61</v>
      </c>
      <c r="J1005" s="9">
        <v>61</v>
      </c>
      <c r="L1005" s="171">
        <v>44489</v>
      </c>
    </row>
    <row r="1006" spans="3:12" x14ac:dyDescent="0.25">
      <c r="C1006" s="9">
        <v>23</v>
      </c>
      <c r="D1006" s="9">
        <v>26</v>
      </c>
      <c r="E1006" s="9">
        <v>34</v>
      </c>
      <c r="F1006" s="9">
        <v>44</v>
      </c>
      <c r="G1006" s="9">
        <v>46</v>
      </c>
      <c r="H1006" s="9">
        <v>56</v>
      </c>
      <c r="J1006" s="9">
        <v>56</v>
      </c>
      <c r="L1006" s="171">
        <v>44487</v>
      </c>
    </row>
    <row r="1007" spans="3:12" x14ac:dyDescent="0.25">
      <c r="C1007" s="9">
        <v>17</v>
      </c>
      <c r="D1007" s="9">
        <v>24</v>
      </c>
      <c r="E1007" s="9">
        <v>27</v>
      </c>
      <c r="F1007" s="9">
        <v>47</v>
      </c>
      <c r="G1007" s="9">
        <v>57</v>
      </c>
      <c r="H1007" s="9">
        <v>68</v>
      </c>
      <c r="J1007" s="9">
        <v>68</v>
      </c>
      <c r="L1007" s="171">
        <v>44485</v>
      </c>
    </row>
    <row r="1008" spans="3:12" x14ac:dyDescent="0.25">
      <c r="C1008" s="9">
        <v>5</v>
      </c>
      <c r="D1008" s="9">
        <v>39</v>
      </c>
      <c r="E1008" s="9">
        <v>58</v>
      </c>
      <c r="F1008" s="9">
        <v>60</v>
      </c>
      <c r="G1008" s="9">
        <v>66</v>
      </c>
      <c r="H1008" s="9">
        <v>75</v>
      </c>
      <c r="J1008" s="9">
        <v>75</v>
      </c>
      <c r="L1008" s="171">
        <v>44482</v>
      </c>
    </row>
    <row r="1009" spans="3:12" x14ac:dyDescent="0.25">
      <c r="C1009" s="9">
        <v>17</v>
      </c>
      <c r="D1009" s="9">
        <v>42</v>
      </c>
      <c r="E1009" s="9">
        <v>50</v>
      </c>
      <c r="F1009" s="9">
        <v>76</v>
      </c>
      <c r="G1009" s="9">
        <v>84</v>
      </c>
      <c r="H1009" s="9">
        <v>89</v>
      </c>
      <c r="J1009" s="9">
        <v>89</v>
      </c>
      <c r="L1009" s="171">
        <v>44480</v>
      </c>
    </row>
    <row r="1010" spans="3:12" x14ac:dyDescent="0.25">
      <c r="C1010" s="9">
        <v>16</v>
      </c>
      <c r="D1010" s="9">
        <v>18</v>
      </c>
      <c r="E1010" s="9">
        <v>50</v>
      </c>
      <c r="F1010" s="9">
        <v>52</v>
      </c>
      <c r="G1010" s="9">
        <v>69</v>
      </c>
      <c r="H1010" s="9">
        <v>86</v>
      </c>
      <c r="J1010" s="9">
        <v>86</v>
      </c>
      <c r="L1010" s="171">
        <v>44478</v>
      </c>
    </row>
    <row r="1011" spans="3:12" x14ac:dyDescent="0.25">
      <c r="C1011" s="9">
        <v>2</v>
      </c>
      <c r="D1011" s="9">
        <v>3</v>
      </c>
      <c r="E1011" s="9">
        <v>4</v>
      </c>
      <c r="F1011" s="9">
        <v>36</v>
      </c>
      <c r="G1011" s="9">
        <v>44</v>
      </c>
      <c r="H1011" s="9">
        <v>89</v>
      </c>
      <c r="J1011" s="9">
        <v>89</v>
      </c>
      <c r="L1011" s="171">
        <v>44475</v>
      </c>
    </row>
    <row r="1012" spans="3:12" x14ac:dyDescent="0.25">
      <c r="C1012" s="9">
        <v>1</v>
      </c>
      <c r="D1012" s="9">
        <v>19</v>
      </c>
      <c r="E1012" s="9">
        <v>26</v>
      </c>
      <c r="F1012" s="9">
        <v>41</v>
      </c>
      <c r="G1012" s="9">
        <v>69</v>
      </c>
      <c r="H1012" s="9">
        <v>77</v>
      </c>
      <c r="J1012" s="9">
        <v>77</v>
      </c>
      <c r="L1012" s="171">
        <v>44473</v>
      </c>
    </row>
    <row r="1013" spans="3:12" x14ac:dyDescent="0.25">
      <c r="C1013" s="9">
        <v>15</v>
      </c>
      <c r="D1013" s="9">
        <v>33</v>
      </c>
      <c r="E1013" s="9">
        <v>43</v>
      </c>
      <c r="F1013" s="9">
        <v>63</v>
      </c>
      <c r="G1013" s="9">
        <v>80</v>
      </c>
      <c r="H1013" s="9">
        <v>90</v>
      </c>
      <c r="J1013" s="9">
        <v>90</v>
      </c>
      <c r="L1013" s="171">
        <v>44471</v>
      </c>
    </row>
    <row r="1014" spans="3:12" x14ac:dyDescent="0.25">
      <c r="C1014" s="9">
        <v>11</v>
      </c>
      <c r="D1014" s="9">
        <v>14</v>
      </c>
      <c r="E1014" s="9">
        <v>24</v>
      </c>
      <c r="F1014" s="9">
        <v>47</v>
      </c>
      <c r="G1014" s="9">
        <v>67</v>
      </c>
      <c r="H1014" s="9">
        <v>84</v>
      </c>
      <c r="J1014" s="9">
        <v>84</v>
      </c>
      <c r="L1014" s="171">
        <v>44468</v>
      </c>
    </row>
    <row r="1015" spans="3:12" x14ac:dyDescent="0.25">
      <c r="C1015" s="9">
        <v>29</v>
      </c>
      <c r="D1015" s="9">
        <v>32</v>
      </c>
      <c r="E1015" s="9">
        <v>50</v>
      </c>
      <c r="F1015" s="9">
        <v>61</v>
      </c>
      <c r="G1015" s="9">
        <v>80</v>
      </c>
      <c r="H1015" s="9">
        <v>84</v>
      </c>
      <c r="J1015" s="9">
        <v>84</v>
      </c>
      <c r="L1015" s="171">
        <v>44435</v>
      </c>
    </row>
    <row r="1016" spans="3:12" x14ac:dyDescent="0.25">
      <c r="C1016" s="9">
        <v>4</v>
      </c>
      <c r="D1016" s="9">
        <v>22</v>
      </c>
      <c r="E1016" s="9">
        <v>24</v>
      </c>
      <c r="F1016" s="9">
        <v>27</v>
      </c>
      <c r="G1016" s="9">
        <v>72</v>
      </c>
      <c r="H1016" s="9">
        <v>77</v>
      </c>
      <c r="J1016" s="9">
        <v>77</v>
      </c>
      <c r="L1016" s="171">
        <v>44464</v>
      </c>
    </row>
    <row r="1017" spans="3:12" x14ac:dyDescent="0.25">
      <c r="C1017" s="9">
        <v>11</v>
      </c>
      <c r="D1017" s="9">
        <v>13</v>
      </c>
      <c r="E1017" s="9">
        <v>37</v>
      </c>
      <c r="F1017" s="9">
        <v>42</v>
      </c>
      <c r="G1017" s="9">
        <v>59</v>
      </c>
      <c r="H1017" s="9">
        <v>82</v>
      </c>
      <c r="J1017" s="9">
        <v>82</v>
      </c>
      <c r="L1017" s="171">
        <v>44461</v>
      </c>
    </row>
    <row r="1018" spans="3:12" x14ac:dyDescent="0.25">
      <c r="C1018" s="9">
        <v>1</v>
      </c>
      <c r="D1018" s="9">
        <v>12</v>
      </c>
      <c r="E1018" s="9">
        <v>15</v>
      </c>
      <c r="F1018" s="9">
        <v>16</v>
      </c>
      <c r="G1018" s="9">
        <v>20</v>
      </c>
      <c r="H1018" s="9">
        <v>70</v>
      </c>
      <c r="J1018" s="9">
        <v>70</v>
      </c>
      <c r="L1018" s="171">
        <v>44459</v>
      </c>
    </row>
    <row r="1019" spans="3:12" x14ac:dyDescent="0.25">
      <c r="C1019" s="9">
        <v>9</v>
      </c>
      <c r="D1019" s="9">
        <v>19</v>
      </c>
      <c r="E1019" s="9">
        <v>47</v>
      </c>
      <c r="F1019" s="9">
        <v>48</v>
      </c>
      <c r="G1019" s="9">
        <v>67</v>
      </c>
      <c r="H1019" s="9">
        <v>90</v>
      </c>
      <c r="J1019" s="9">
        <v>90</v>
      </c>
      <c r="L1019" s="171">
        <v>44457</v>
      </c>
    </row>
    <row r="1020" spans="3:12" x14ac:dyDescent="0.25">
      <c r="C1020" s="9">
        <v>6</v>
      </c>
      <c r="D1020" s="9">
        <v>33</v>
      </c>
      <c r="E1020" s="9">
        <v>49</v>
      </c>
      <c r="F1020" s="9">
        <v>65</v>
      </c>
      <c r="G1020" s="9">
        <v>68</v>
      </c>
      <c r="H1020" s="9">
        <v>80</v>
      </c>
      <c r="J1020" s="9">
        <v>80</v>
      </c>
      <c r="L1020" s="171">
        <v>44454</v>
      </c>
    </row>
    <row r="1021" spans="3:12" x14ac:dyDescent="0.25">
      <c r="C1021" s="9">
        <v>9</v>
      </c>
      <c r="D1021" s="9">
        <v>12</v>
      </c>
      <c r="E1021" s="9">
        <v>20</v>
      </c>
      <c r="F1021" s="9">
        <v>25</v>
      </c>
      <c r="G1021" s="9">
        <v>41</v>
      </c>
      <c r="H1021" s="9">
        <v>89</v>
      </c>
      <c r="J1021" s="9">
        <v>89</v>
      </c>
      <c r="L1021" s="171">
        <v>44452</v>
      </c>
    </row>
    <row r="1022" spans="3:12" x14ac:dyDescent="0.25">
      <c r="C1022" s="9">
        <v>3</v>
      </c>
      <c r="D1022" s="9">
        <v>4</v>
      </c>
      <c r="E1022" s="9">
        <v>11</v>
      </c>
      <c r="F1022" s="9">
        <v>18</v>
      </c>
      <c r="G1022" s="9">
        <v>19</v>
      </c>
      <c r="H1022" s="9">
        <v>32</v>
      </c>
      <c r="J1022" s="9">
        <v>32</v>
      </c>
      <c r="L1022" s="171">
        <v>44450</v>
      </c>
    </row>
    <row r="1023" spans="3:12" x14ac:dyDescent="0.25">
      <c r="C1023" s="9">
        <v>23</v>
      </c>
      <c r="D1023" s="9">
        <v>51</v>
      </c>
      <c r="E1023" s="9">
        <v>53</v>
      </c>
      <c r="F1023" s="9">
        <v>58</v>
      </c>
      <c r="G1023" s="9">
        <v>68</v>
      </c>
      <c r="H1023" s="9">
        <v>75</v>
      </c>
      <c r="J1023" s="9">
        <v>75</v>
      </c>
      <c r="L1023" s="171">
        <v>44447</v>
      </c>
    </row>
    <row r="1024" spans="3:12" x14ac:dyDescent="0.25">
      <c r="C1024" s="9">
        <v>16</v>
      </c>
      <c r="D1024" s="9">
        <v>38</v>
      </c>
      <c r="E1024" s="9">
        <v>50</v>
      </c>
      <c r="F1024" s="9">
        <v>56</v>
      </c>
      <c r="G1024" s="9">
        <v>77</v>
      </c>
      <c r="H1024" s="9">
        <v>82</v>
      </c>
      <c r="J1024" s="9">
        <v>82</v>
      </c>
      <c r="L1024" s="171">
        <v>44445</v>
      </c>
    </row>
    <row r="1025" spans="3:12" x14ac:dyDescent="0.25">
      <c r="C1025" s="9">
        <v>3</v>
      </c>
      <c r="D1025" s="9">
        <v>21</v>
      </c>
      <c r="E1025" s="9">
        <v>27</v>
      </c>
      <c r="F1025" s="9">
        <v>32</v>
      </c>
      <c r="G1025" s="9">
        <v>40</v>
      </c>
      <c r="H1025" s="9">
        <v>49</v>
      </c>
      <c r="J1025" s="9">
        <v>49</v>
      </c>
      <c r="L1025" s="171">
        <v>44443</v>
      </c>
    </row>
    <row r="1026" spans="3:12" x14ac:dyDescent="0.25">
      <c r="C1026" s="9">
        <v>5</v>
      </c>
      <c r="D1026" s="9">
        <v>8</v>
      </c>
      <c r="E1026" s="9">
        <v>21</v>
      </c>
      <c r="F1026" s="9">
        <v>27</v>
      </c>
      <c r="G1026" s="9">
        <v>50</v>
      </c>
      <c r="H1026" s="9">
        <v>78</v>
      </c>
      <c r="J1026" s="9">
        <v>78</v>
      </c>
      <c r="L1026" s="171">
        <v>44440</v>
      </c>
    </row>
    <row r="1027" spans="3:12" x14ac:dyDescent="0.25">
      <c r="C1027" s="9">
        <v>30</v>
      </c>
      <c r="D1027" s="9">
        <v>46</v>
      </c>
      <c r="E1027" s="9">
        <v>48</v>
      </c>
      <c r="F1027" s="9">
        <v>68</v>
      </c>
      <c r="G1027" s="9">
        <v>87</v>
      </c>
      <c r="H1027" s="9">
        <v>88</v>
      </c>
      <c r="J1027" s="9">
        <v>88</v>
      </c>
      <c r="L1027" s="171">
        <v>44438</v>
      </c>
    </row>
    <row r="1028" spans="3:12" x14ac:dyDescent="0.25">
      <c r="C1028" s="9">
        <v>16</v>
      </c>
      <c r="D1028" s="9">
        <v>25</v>
      </c>
      <c r="E1028" s="9">
        <v>58</v>
      </c>
      <c r="F1028" s="9">
        <v>66</v>
      </c>
      <c r="G1028" s="9">
        <v>80</v>
      </c>
      <c r="H1028" s="9">
        <v>89</v>
      </c>
      <c r="J1028" s="9">
        <v>89</v>
      </c>
      <c r="L1028" s="171">
        <v>44436</v>
      </c>
    </row>
    <row r="1029" spans="3:12" x14ac:dyDescent="0.25">
      <c r="C1029" s="9">
        <v>22</v>
      </c>
      <c r="D1029" s="9">
        <v>34</v>
      </c>
      <c r="E1029" s="9">
        <v>49</v>
      </c>
      <c r="F1029" s="9">
        <v>54</v>
      </c>
      <c r="G1029" s="9">
        <v>63</v>
      </c>
      <c r="H1029" s="9">
        <v>89</v>
      </c>
      <c r="J1029" s="9">
        <v>89</v>
      </c>
      <c r="L1029" s="171">
        <v>44433</v>
      </c>
    </row>
    <row r="1030" spans="3:12" x14ac:dyDescent="0.25">
      <c r="C1030" s="9">
        <v>12</v>
      </c>
      <c r="D1030" s="9">
        <v>14</v>
      </c>
      <c r="E1030" s="9">
        <v>23</v>
      </c>
      <c r="F1030" s="9">
        <v>31</v>
      </c>
      <c r="G1030" s="9">
        <v>32</v>
      </c>
      <c r="H1030" s="9">
        <v>87</v>
      </c>
      <c r="J1030" s="9">
        <v>87</v>
      </c>
      <c r="L1030" s="171">
        <v>44431</v>
      </c>
    </row>
    <row r="1031" spans="3:12" x14ac:dyDescent="0.25">
      <c r="C1031" s="9">
        <v>14</v>
      </c>
      <c r="D1031" s="9">
        <v>40</v>
      </c>
      <c r="E1031" s="9">
        <v>41</v>
      </c>
      <c r="F1031" s="9">
        <v>44</v>
      </c>
      <c r="G1031" s="9">
        <v>72</v>
      </c>
      <c r="H1031" s="9">
        <v>77</v>
      </c>
      <c r="J1031" s="9">
        <v>77</v>
      </c>
      <c r="L1031" s="171">
        <v>44429</v>
      </c>
    </row>
    <row r="1032" spans="3:12" x14ac:dyDescent="0.25">
      <c r="C1032" s="9">
        <v>36</v>
      </c>
      <c r="D1032" s="9">
        <v>41</v>
      </c>
      <c r="E1032" s="9">
        <v>48</v>
      </c>
      <c r="F1032" s="9">
        <v>59</v>
      </c>
      <c r="G1032" s="9">
        <v>64</v>
      </c>
      <c r="H1032" s="9">
        <v>84</v>
      </c>
      <c r="J1032" s="9">
        <v>84</v>
      </c>
      <c r="L1032" s="171">
        <v>44426</v>
      </c>
    </row>
    <row r="1033" spans="3:12" x14ac:dyDescent="0.25">
      <c r="C1033" s="9">
        <v>29</v>
      </c>
      <c r="D1033" s="9">
        <v>44</v>
      </c>
      <c r="E1033" s="9">
        <v>45</v>
      </c>
      <c r="F1033" s="9">
        <v>67</v>
      </c>
      <c r="G1033" s="9">
        <v>84</v>
      </c>
      <c r="H1033" s="9">
        <v>86</v>
      </c>
      <c r="J1033" s="9">
        <v>86</v>
      </c>
      <c r="L1033" s="171">
        <v>44424</v>
      </c>
    </row>
    <row r="1034" spans="3:12" x14ac:dyDescent="0.25">
      <c r="C1034" s="9">
        <v>2</v>
      </c>
      <c r="D1034" s="9">
        <v>5</v>
      </c>
      <c r="E1034" s="9">
        <v>44</v>
      </c>
      <c r="F1034" s="9">
        <v>64</v>
      </c>
      <c r="G1034" s="9">
        <v>71</v>
      </c>
      <c r="H1034" s="9">
        <v>80</v>
      </c>
      <c r="J1034" s="9">
        <v>80</v>
      </c>
      <c r="L1034" s="171">
        <v>44422</v>
      </c>
    </row>
    <row r="1035" spans="3:12" x14ac:dyDescent="0.25">
      <c r="C1035" s="9">
        <v>8</v>
      </c>
      <c r="D1035" s="9">
        <v>35</v>
      </c>
      <c r="E1035" s="9">
        <v>38</v>
      </c>
      <c r="F1035" s="9">
        <v>57</v>
      </c>
      <c r="G1035" s="9">
        <v>74</v>
      </c>
      <c r="H1035" s="9">
        <v>80</v>
      </c>
      <c r="J1035" s="9">
        <v>80</v>
      </c>
      <c r="L1035" s="171">
        <v>44419</v>
      </c>
    </row>
    <row r="1036" spans="3:12" x14ac:dyDescent="0.25">
      <c r="C1036" s="9">
        <v>22</v>
      </c>
      <c r="D1036" s="9">
        <v>30</v>
      </c>
      <c r="E1036" s="9">
        <v>42</v>
      </c>
      <c r="F1036" s="9">
        <v>44</v>
      </c>
      <c r="G1036" s="9">
        <v>66</v>
      </c>
      <c r="H1036" s="9">
        <v>77</v>
      </c>
      <c r="J1036" s="9">
        <v>77</v>
      </c>
      <c r="L1036" s="171">
        <v>44417</v>
      </c>
    </row>
    <row r="1037" spans="3:12" x14ac:dyDescent="0.25">
      <c r="C1037" s="9">
        <v>6</v>
      </c>
      <c r="D1037" s="9">
        <v>43</v>
      </c>
      <c r="E1037" s="9">
        <v>49</v>
      </c>
      <c r="F1037" s="9">
        <v>83</v>
      </c>
      <c r="G1037" s="9">
        <v>85</v>
      </c>
      <c r="H1037" s="9">
        <v>86</v>
      </c>
      <c r="J1037" s="9">
        <v>86</v>
      </c>
      <c r="L1037" s="171">
        <v>44415</v>
      </c>
    </row>
    <row r="1038" spans="3:12" x14ac:dyDescent="0.25">
      <c r="C1038" s="9">
        <v>23</v>
      </c>
      <c r="D1038" s="9">
        <v>33</v>
      </c>
      <c r="E1038" s="9">
        <v>35</v>
      </c>
      <c r="F1038" s="9">
        <v>51</v>
      </c>
      <c r="G1038" s="9">
        <v>59</v>
      </c>
      <c r="H1038" s="9">
        <v>67</v>
      </c>
      <c r="J1038" s="9">
        <v>67</v>
      </c>
      <c r="L1038" s="171">
        <v>44412</v>
      </c>
    </row>
    <row r="1039" spans="3:12" x14ac:dyDescent="0.25">
      <c r="C1039" s="9">
        <v>6</v>
      </c>
      <c r="D1039" s="9">
        <v>10</v>
      </c>
      <c r="E1039" s="9">
        <v>26</v>
      </c>
      <c r="F1039" s="9">
        <v>65</v>
      </c>
      <c r="G1039" s="9">
        <v>69</v>
      </c>
      <c r="H1039" s="9">
        <v>90</v>
      </c>
      <c r="J1039" s="9">
        <v>90</v>
      </c>
      <c r="L1039" s="171">
        <v>44410</v>
      </c>
    </row>
    <row r="1040" spans="3:12" x14ac:dyDescent="0.25">
      <c r="C1040" s="9">
        <v>8</v>
      </c>
      <c r="D1040" s="9">
        <v>14</v>
      </c>
      <c r="E1040" s="9">
        <v>15</v>
      </c>
      <c r="F1040" s="9">
        <v>16</v>
      </c>
      <c r="G1040" s="9">
        <v>36</v>
      </c>
      <c r="H1040" s="9">
        <v>64</v>
      </c>
      <c r="J1040" s="9">
        <v>64</v>
      </c>
      <c r="L1040" s="171">
        <v>44408</v>
      </c>
    </row>
    <row r="1041" spans="3:12" x14ac:dyDescent="0.25">
      <c r="C1041" s="9">
        <v>18</v>
      </c>
      <c r="D1041" s="9">
        <v>20</v>
      </c>
      <c r="E1041" s="9">
        <v>33</v>
      </c>
      <c r="F1041" s="9">
        <v>40</v>
      </c>
      <c r="G1041" s="9">
        <v>74</v>
      </c>
      <c r="H1041" s="9">
        <v>86</v>
      </c>
      <c r="J1041" s="9">
        <v>86</v>
      </c>
      <c r="L1041" s="171">
        <v>44405</v>
      </c>
    </row>
    <row r="1042" spans="3:12" x14ac:dyDescent="0.25">
      <c r="C1042" s="9">
        <v>1</v>
      </c>
      <c r="D1042" s="9">
        <v>8</v>
      </c>
      <c r="E1042" s="9">
        <v>50</v>
      </c>
      <c r="F1042" s="9">
        <v>68</v>
      </c>
      <c r="G1042" s="9">
        <v>83</v>
      </c>
      <c r="H1042" s="9">
        <v>87</v>
      </c>
      <c r="J1042" s="9">
        <v>87</v>
      </c>
      <c r="L1042" s="171">
        <v>44403</v>
      </c>
    </row>
    <row r="1043" spans="3:12" x14ac:dyDescent="0.25">
      <c r="C1043" s="9">
        <v>13</v>
      </c>
      <c r="D1043" s="9">
        <v>24</v>
      </c>
      <c r="E1043" s="9">
        <v>47</v>
      </c>
      <c r="F1043" s="9">
        <v>73</v>
      </c>
      <c r="G1043" s="9">
        <v>75</v>
      </c>
      <c r="H1043" s="9">
        <v>76</v>
      </c>
      <c r="J1043" s="9">
        <v>76</v>
      </c>
      <c r="L1043" s="171">
        <v>44401</v>
      </c>
    </row>
    <row r="1044" spans="3:12" x14ac:dyDescent="0.25">
      <c r="C1044" s="9">
        <v>8</v>
      </c>
      <c r="D1044" s="9">
        <v>22</v>
      </c>
      <c r="E1044" s="9">
        <v>52</v>
      </c>
      <c r="F1044" s="9">
        <v>60</v>
      </c>
      <c r="G1044" s="9">
        <v>83</v>
      </c>
      <c r="H1044" s="9">
        <v>89</v>
      </c>
      <c r="J1044" s="9">
        <v>89</v>
      </c>
      <c r="L1044" s="171">
        <v>44398</v>
      </c>
    </row>
    <row r="1045" spans="3:12" x14ac:dyDescent="0.25">
      <c r="C1045" s="9">
        <v>2</v>
      </c>
      <c r="D1045" s="9">
        <v>9</v>
      </c>
      <c r="E1045" s="9">
        <v>31</v>
      </c>
      <c r="F1045" s="9">
        <v>61</v>
      </c>
      <c r="G1045" s="9">
        <v>85</v>
      </c>
      <c r="H1045" s="9">
        <v>88</v>
      </c>
      <c r="J1045" s="9">
        <v>88</v>
      </c>
      <c r="L1045" s="171">
        <v>44396</v>
      </c>
    </row>
    <row r="1046" spans="3:12" x14ac:dyDescent="0.25">
      <c r="C1046" s="9">
        <v>1</v>
      </c>
      <c r="D1046" s="9">
        <v>5</v>
      </c>
      <c r="E1046" s="9">
        <v>6</v>
      </c>
      <c r="F1046" s="9">
        <v>43</v>
      </c>
      <c r="G1046" s="9">
        <v>52</v>
      </c>
      <c r="H1046" s="9">
        <v>55</v>
      </c>
      <c r="J1046" s="9">
        <v>55</v>
      </c>
      <c r="L1046" s="171">
        <v>44394</v>
      </c>
    </row>
    <row r="1047" spans="3:12" x14ac:dyDescent="0.25">
      <c r="C1047" s="9">
        <v>12</v>
      </c>
      <c r="D1047" s="9">
        <v>44</v>
      </c>
      <c r="E1047" s="9">
        <v>45</v>
      </c>
      <c r="F1047" s="9">
        <v>52</v>
      </c>
      <c r="G1047" s="9">
        <v>67</v>
      </c>
      <c r="H1047" s="9">
        <v>71</v>
      </c>
      <c r="J1047" s="9">
        <v>71</v>
      </c>
      <c r="L1047" s="171">
        <v>44391</v>
      </c>
    </row>
    <row r="1048" spans="3:12" x14ac:dyDescent="0.25">
      <c r="C1048" s="9">
        <v>2</v>
      </c>
      <c r="D1048" s="9">
        <v>19</v>
      </c>
      <c r="E1048" s="9">
        <v>23</v>
      </c>
      <c r="F1048" s="9">
        <v>51</v>
      </c>
      <c r="G1048" s="9">
        <v>73</v>
      </c>
      <c r="H1048" s="9">
        <v>90</v>
      </c>
      <c r="J1048" s="9">
        <v>90</v>
      </c>
      <c r="L1048" s="171">
        <v>44389</v>
      </c>
    </row>
    <row r="1049" spans="3:12" x14ac:dyDescent="0.25">
      <c r="C1049" s="9">
        <v>8</v>
      </c>
      <c r="D1049" s="9">
        <v>46</v>
      </c>
      <c r="E1049" s="9">
        <v>58</v>
      </c>
      <c r="F1049" s="9">
        <v>66</v>
      </c>
      <c r="G1049" s="9">
        <v>71</v>
      </c>
      <c r="H1049" s="9">
        <v>73</v>
      </c>
      <c r="J1049" s="9">
        <v>73</v>
      </c>
      <c r="L1049" s="171">
        <v>44387</v>
      </c>
    </row>
    <row r="1050" spans="3:12" x14ac:dyDescent="0.25">
      <c r="C1050" s="9">
        <v>11</v>
      </c>
      <c r="D1050" s="9">
        <v>23</v>
      </c>
      <c r="E1050" s="9">
        <v>42</v>
      </c>
      <c r="F1050" s="9">
        <v>47</v>
      </c>
      <c r="G1050" s="9">
        <v>48</v>
      </c>
      <c r="H1050" s="9">
        <v>59</v>
      </c>
      <c r="J1050" s="9">
        <v>59</v>
      </c>
      <c r="L1050" s="171">
        <v>44384</v>
      </c>
    </row>
    <row r="1051" spans="3:12" x14ac:dyDescent="0.25">
      <c r="C1051" s="9">
        <v>29</v>
      </c>
      <c r="D1051" s="9">
        <v>60</v>
      </c>
      <c r="E1051" s="9">
        <v>62</v>
      </c>
      <c r="F1051" s="9">
        <v>63</v>
      </c>
      <c r="G1051" s="9">
        <v>76</v>
      </c>
      <c r="H1051" s="9">
        <v>81</v>
      </c>
      <c r="J1051" s="9">
        <v>81</v>
      </c>
      <c r="L1051" s="171">
        <v>44382</v>
      </c>
    </row>
    <row r="1052" spans="3:12" x14ac:dyDescent="0.25">
      <c r="C1052" s="9">
        <v>14</v>
      </c>
      <c r="D1052" s="9">
        <v>52</v>
      </c>
      <c r="E1052" s="9">
        <v>56</v>
      </c>
      <c r="F1052" s="9">
        <v>76</v>
      </c>
      <c r="G1052" s="9">
        <v>84</v>
      </c>
      <c r="H1052" s="9">
        <v>85</v>
      </c>
      <c r="J1052" s="9">
        <v>85</v>
      </c>
      <c r="L1052" s="171">
        <v>44380</v>
      </c>
    </row>
    <row r="1053" spans="3:12" x14ac:dyDescent="0.25">
      <c r="C1053" s="9">
        <v>40</v>
      </c>
      <c r="D1053" s="9">
        <v>53</v>
      </c>
      <c r="E1053" s="9">
        <v>55</v>
      </c>
      <c r="F1053" s="9">
        <v>67</v>
      </c>
      <c r="G1053" s="9">
        <v>78</v>
      </c>
      <c r="H1053" s="9">
        <v>87</v>
      </c>
      <c r="J1053" s="9">
        <v>87</v>
      </c>
      <c r="L1053" s="171">
        <v>44377</v>
      </c>
    </row>
    <row r="1054" spans="3:12" x14ac:dyDescent="0.25">
      <c r="C1054" s="9">
        <v>7</v>
      </c>
      <c r="D1054" s="9">
        <v>44</v>
      </c>
      <c r="E1054" s="9">
        <v>45</v>
      </c>
      <c r="F1054" s="9">
        <v>57</v>
      </c>
      <c r="G1054" s="9">
        <v>62</v>
      </c>
      <c r="H1054" s="9">
        <v>66</v>
      </c>
      <c r="J1054" s="9">
        <v>66</v>
      </c>
      <c r="L1054" s="171">
        <v>44375</v>
      </c>
    </row>
    <row r="1055" spans="3:12" x14ac:dyDescent="0.25">
      <c r="C1055" s="9">
        <v>7</v>
      </c>
      <c r="D1055" s="9">
        <v>22</v>
      </c>
      <c r="E1055" s="9">
        <v>26</v>
      </c>
      <c r="F1055" s="9">
        <v>31</v>
      </c>
      <c r="G1055" s="9">
        <v>82</v>
      </c>
      <c r="H1055" s="9">
        <v>84</v>
      </c>
      <c r="J1055" s="9">
        <v>84</v>
      </c>
      <c r="L1055" s="171">
        <v>44373</v>
      </c>
    </row>
    <row r="1056" spans="3:12" x14ac:dyDescent="0.25">
      <c r="C1056" s="9">
        <v>28</v>
      </c>
      <c r="D1056" s="9">
        <v>48</v>
      </c>
      <c r="E1056" s="9">
        <v>59</v>
      </c>
      <c r="F1056" s="9">
        <v>61</v>
      </c>
      <c r="G1056" s="9">
        <v>65</v>
      </c>
      <c r="H1056" s="9">
        <v>67</v>
      </c>
      <c r="J1056" s="9">
        <v>67</v>
      </c>
      <c r="L1056" s="171">
        <v>44370</v>
      </c>
    </row>
    <row r="1057" spans="3:12" x14ac:dyDescent="0.25">
      <c r="C1057" s="9">
        <v>8</v>
      </c>
      <c r="D1057" s="9">
        <v>25</v>
      </c>
      <c r="E1057" s="9">
        <v>46</v>
      </c>
      <c r="F1057" s="9">
        <v>52</v>
      </c>
      <c r="G1057" s="9">
        <v>77</v>
      </c>
      <c r="H1057" s="9">
        <v>79</v>
      </c>
      <c r="J1057" s="9">
        <v>79</v>
      </c>
      <c r="L1057" s="171">
        <v>44368</v>
      </c>
    </row>
    <row r="1058" spans="3:12" x14ac:dyDescent="0.25">
      <c r="C1058" s="9">
        <v>21</v>
      </c>
      <c r="D1058" s="9">
        <v>24</v>
      </c>
      <c r="E1058" s="9">
        <v>25</v>
      </c>
      <c r="F1058" s="9">
        <v>48</v>
      </c>
      <c r="G1058" s="9">
        <v>72</v>
      </c>
      <c r="H1058" s="9">
        <v>76</v>
      </c>
      <c r="J1058" s="9">
        <v>76</v>
      </c>
      <c r="L1058" s="171">
        <v>44366</v>
      </c>
    </row>
    <row r="1059" spans="3:12" x14ac:dyDescent="0.25">
      <c r="C1059" s="9">
        <v>10</v>
      </c>
      <c r="D1059" s="9">
        <v>12</v>
      </c>
      <c r="E1059" s="9">
        <v>17</v>
      </c>
      <c r="F1059" s="9">
        <v>40</v>
      </c>
      <c r="G1059" s="9">
        <v>52</v>
      </c>
      <c r="H1059" s="9">
        <v>83</v>
      </c>
      <c r="J1059" s="9">
        <v>83</v>
      </c>
      <c r="L1059" s="171">
        <v>44363</v>
      </c>
    </row>
    <row r="1060" spans="3:12" x14ac:dyDescent="0.25">
      <c r="C1060" s="9">
        <v>13</v>
      </c>
      <c r="D1060" s="9">
        <v>23</v>
      </c>
      <c r="E1060" s="9">
        <v>40</v>
      </c>
      <c r="F1060" s="9">
        <v>41</v>
      </c>
      <c r="G1060" s="9">
        <v>62</v>
      </c>
      <c r="H1060" s="9">
        <v>77</v>
      </c>
      <c r="J1060" s="9">
        <v>77</v>
      </c>
      <c r="L1060" s="171">
        <v>44361</v>
      </c>
    </row>
    <row r="1061" spans="3:12" x14ac:dyDescent="0.25">
      <c r="C1061" s="9">
        <v>5</v>
      </c>
      <c r="D1061" s="9">
        <v>13</v>
      </c>
      <c r="E1061" s="9">
        <v>15</v>
      </c>
      <c r="F1061" s="9">
        <v>37</v>
      </c>
      <c r="G1061" s="9">
        <v>52</v>
      </c>
      <c r="H1061" s="9">
        <v>78</v>
      </c>
      <c r="J1061" s="9">
        <v>78</v>
      </c>
      <c r="L1061" s="171">
        <v>44359</v>
      </c>
    </row>
    <row r="1062" spans="3:12" x14ac:dyDescent="0.25">
      <c r="C1062" s="9">
        <v>15</v>
      </c>
      <c r="D1062" s="9">
        <v>26</v>
      </c>
      <c r="E1062" s="9">
        <v>61</v>
      </c>
      <c r="F1062" s="9">
        <v>66</v>
      </c>
      <c r="G1062" s="9">
        <v>79</v>
      </c>
      <c r="H1062" s="9">
        <v>82</v>
      </c>
      <c r="J1062" s="9">
        <v>82</v>
      </c>
      <c r="L1062" s="171">
        <v>44356</v>
      </c>
    </row>
    <row r="1063" spans="3:12" x14ac:dyDescent="0.25">
      <c r="C1063" s="9">
        <v>24</v>
      </c>
      <c r="D1063" s="9">
        <v>52</v>
      </c>
      <c r="E1063" s="9">
        <v>60</v>
      </c>
      <c r="F1063" s="9">
        <v>62</v>
      </c>
      <c r="G1063" s="9">
        <v>87</v>
      </c>
      <c r="H1063" s="9">
        <v>89</v>
      </c>
      <c r="J1063" s="9">
        <v>89</v>
      </c>
      <c r="L1063" s="171">
        <v>44354</v>
      </c>
    </row>
    <row r="1064" spans="3:12" x14ac:dyDescent="0.25">
      <c r="C1064" s="9">
        <v>2</v>
      </c>
      <c r="D1064" s="9">
        <v>7</v>
      </c>
      <c r="E1064" s="9">
        <v>30</v>
      </c>
      <c r="F1064" s="9">
        <v>32</v>
      </c>
      <c r="G1064" s="9">
        <v>67</v>
      </c>
      <c r="H1064" s="9">
        <v>73</v>
      </c>
      <c r="J1064" s="9">
        <v>73</v>
      </c>
      <c r="L1064" s="171">
        <v>44352</v>
      </c>
    </row>
    <row r="1065" spans="3:12" x14ac:dyDescent="0.25">
      <c r="C1065" s="9">
        <v>16</v>
      </c>
      <c r="D1065" s="9">
        <v>43</v>
      </c>
      <c r="E1065" s="9">
        <v>46</v>
      </c>
      <c r="F1065" s="9">
        <v>48</v>
      </c>
      <c r="G1065" s="9">
        <v>60</v>
      </c>
      <c r="H1065" s="9">
        <v>72</v>
      </c>
      <c r="J1065" s="9">
        <v>72</v>
      </c>
      <c r="L1065" s="171">
        <v>44349</v>
      </c>
    </row>
    <row r="1066" spans="3:12" x14ac:dyDescent="0.25">
      <c r="C1066" s="9">
        <v>6</v>
      </c>
      <c r="D1066" s="9">
        <v>21</v>
      </c>
      <c r="E1066" s="9">
        <v>32</v>
      </c>
      <c r="F1066" s="9">
        <v>58</v>
      </c>
      <c r="G1066" s="9">
        <v>88</v>
      </c>
      <c r="H1066" s="9">
        <v>90</v>
      </c>
      <c r="J1066" s="9">
        <v>90</v>
      </c>
      <c r="L1066" s="171">
        <v>44347</v>
      </c>
    </row>
    <row r="1067" spans="3:12" x14ac:dyDescent="0.25">
      <c r="C1067" s="9">
        <v>7</v>
      </c>
      <c r="D1067" s="9">
        <v>17</v>
      </c>
      <c r="E1067" s="9">
        <v>39</v>
      </c>
      <c r="F1067" s="9">
        <v>44</v>
      </c>
      <c r="G1067" s="9">
        <v>55</v>
      </c>
      <c r="H1067" s="9">
        <v>67</v>
      </c>
      <c r="J1067" s="9">
        <v>67</v>
      </c>
      <c r="L1067" s="171">
        <v>44345</v>
      </c>
    </row>
    <row r="1068" spans="3:12" x14ac:dyDescent="0.25">
      <c r="C1068" s="9">
        <v>47</v>
      </c>
      <c r="D1068" s="9">
        <v>48</v>
      </c>
      <c r="E1068" s="9">
        <v>49</v>
      </c>
      <c r="F1068" s="9">
        <v>52</v>
      </c>
      <c r="G1068" s="9">
        <v>58</v>
      </c>
      <c r="H1068" s="9">
        <v>85</v>
      </c>
      <c r="J1068" s="9">
        <v>85</v>
      </c>
      <c r="L1068" s="171">
        <v>44342</v>
      </c>
    </row>
    <row r="1069" spans="3:12" x14ac:dyDescent="0.25">
      <c r="C1069" s="9">
        <v>7</v>
      </c>
      <c r="D1069" s="9">
        <v>16</v>
      </c>
      <c r="E1069" s="9">
        <v>59</v>
      </c>
      <c r="F1069" s="9">
        <v>69</v>
      </c>
      <c r="G1069" s="9">
        <v>78</v>
      </c>
      <c r="H1069" s="9">
        <v>89</v>
      </c>
      <c r="J1069" s="9">
        <v>89</v>
      </c>
      <c r="L1069" s="171">
        <v>44340</v>
      </c>
    </row>
    <row r="1070" spans="3:12" x14ac:dyDescent="0.25">
      <c r="C1070" s="9">
        <v>1</v>
      </c>
      <c r="D1070" s="9">
        <v>11</v>
      </c>
      <c r="E1070" s="9">
        <v>56</v>
      </c>
      <c r="F1070" s="9">
        <v>59</v>
      </c>
      <c r="G1070" s="9">
        <v>80</v>
      </c>
      <c r="H1070" s="9">
        <v>81</v>
      </c>
      <c r="J1070" s="9">
        <v>81</v>
      </c>
      <c r="L1070" s="171">
        <v>44338</v>
      </c>
    </row>
    <row r="1071" spans="3:12" x14ac:dyDescent="0.25">
      <c r="C1071" s="9">
        <v>10</v>
      </c>
      <c r="D1071" s="9">
        <v>11</v>
      </c>
      <c r="E1071" s="9">
        <v>24</v>
      </c>
      <c r="F1071" s="9">
        <v>53</v>
      </c>
      <c r="G1071" s="9">
        <v>71</v>
      </c>
      <c r="H1071" s="9">
        <v>90</v>
      </c>
      <c r="J1071" s="9">
        <v>90</v>
      </c>
      <c r="L1071" s="171">
        <v>44335</v>
      </c>
    </row>
    <row r="1072" spans="3:12" x14ac:dyDescent="0.25">
      <c r="C1072" s="9">
        <v>21</v>
      </c>
      <c r="D1072" s="9">
        <v>46</v>
      </c>
      <c r="E1072" s="9">
        <v>48</v>
      </c>
      <c r="F1072" s="9">
        <v>62</v>
      </c>
      <c r="G1072" s="9">
        <v>89</v>
      </c>
      <c r="H1072" s="9">
        <v>90</v>
      </c>
      <c r="J1072" s="9">
        <v>90</v>
      </c>
      <c r="L1072" s="171">
        <v>44333</v>
      </c>
    </row>
    <row r="1073" spans="3:12" x14ac:dyDescent="0.25">
      <c r="C1073" s="9">
        <v>17</v>
      </c>
      <c r="D1073" s="9">
        <v>29</v>
      </c>
      <c r="E1073" s="9">
        <v>52</v>
      </c>
      <c r="F1073" s="9">
        <v>74</v>
      </c>
      <c r="G1073" s="9">
        <v>77</v>
      </c>
      <c r="H1073" s="9">
        <v>85</v>
      </c>
      <c r="J1073" s="9">
        <v>85</v>
      </c>
      <c r="L1073" s="171">
        <v>44331</v>
      </c>
    </row>
    <row r="1074" spans="3:12" x14ac:dyDescent="0.25">
      <c r="C1074" s="9">
        <v>13</v>
      </c>
      <c r="D1074" s="9">
        <v>43</v>
      </c>
      <c r="E1074" s="9">
        <v>45</v>
      </c>
      <c r="F1074" s="9">
        <v>70</v>
      </c>
      <c r="G1074" s="9">
        <v>76</v>
      </c>
      <c r="H1074" s="9">
        <v>86</v>
      </c>
      <c r="J1074" s="9">
        <v>86</v>
      </c>
      <c r="L1074" s="171">
        <v>44328</v>
      </c>
    </row>
    <row r="1075" spans="3:12" x14ac:dyDescent="0.25">
      <c r="C1075" s="9">
        <v>7</v>
      </c>
      <c r="D1075" s="9">
        <v>19</v>
      </c>
      <c r="E1075" s="9">
        <v>49</v>
      </c>
      <c r="F1075" s="9">
        <v>55</v>
      </c>
      <c r="G1075" s="9">
        <v>61</v>
      </c>
      <c r="H1075" s="9">
        <v>89</v>
      </c>
      <c r="J1075" s="9">
        <v>89</v>
      </c>
      <c r="L1075" s="171">
        <v>44326</v>
      </c>
    </row>
    <row r="1076" spans="3:12" x14ac:dyDescent="0.25">
      <c r="C1076" s="9">
        <v>1</v>
      </c>
      <c r="D1076" s="9">
        <v>15</v>
      </c>
      <c r="E1076" s="9">
        <v>43</v>
      </c>
      <c r="F1076" s="9">
        <v>62</v>
      </c>
      <c r="G1076" s="9">
        <v>64</v>
      </c>
      <c r="H1076" s="9">
        <v>85</v>
      </c>
      <c r="J1076" s="9">
        <v>85</v>
      </c>
      <c r="L1076" s="171">
        <v>44324</v>
      </c>
    </row>
    <row r="1077" spans="3:12" x14ac:dyDescent="0.25">
      <c r="C1077" s="9">
        <v>1</v>
      </c>
      <c r="D1077" s="9">
        <v>3</v>
      </c>
      <c r="E1077" s="9">
        <v>21</v>
      </c>
      <c r="F1077" s="9">
        <v>58</v>
      </c>
      <c r="G1077" s="9">
        <v>70</v>
      </c>
      <c r="H1077" s="9">
        <v>82</v>
      </c>
      <c r="J1077" s="9">
        <v>82</v>
      </c>
      <c r="L1077" s="171">
        <v>44321</v>
      </c>
    </row>
    <row r="1078" spans="3:12" x14ac:dyDescent="0.25">
      <c r="C1078" s="9">
        <v>3</v>
      </c>
      <c r="D1078" s="9">
        <v>12</v>
      </c>
      <c r="E1078" s="9">
        <v>60</v>
      </c>
      <c r="F1078" s="9">
        <v>65</v>
      </c>
      <c r="G1078" s="9">
        <v>67</v>
      </c>
      <c r="H1078" s="9">
        <v>85</v>
      </c>
      <c r="J1078" s="9">
        <v>85</v>
      </c>
      <c r="L1078" s="171">
        <v>44319</v>
      </c>
    </row>
    <row r="1079" spans="3:12" x14ac:dyDescent="0.25">
      <c r="C1079" s="9">
        <v>14</v>
      </c>
      <c r="D1079" s="9">
        <v>15</v>
      </c>
      <c r="E1079" s="9">
        <v>17</v>
      </c>
      <c r="F1079" s="9">
        <v>54</v>
      </c>
      <c r="G1079" s="9">
        <v>68</v>
      </c>
      <c r="H1079" s="9">
        <v>82</v>
      </c>
      <c r="J1079" s="9">
        <v>82</v>
      </c>
      <c r="L1079" s="171">
        <v>44317</v>
      </c>
    </row>
    <row r="1080" spans="3:12" x14ac:dyDescent="0.25">
      <c r="C1080" s="9">
        <v>1</v>
      </c>
      <c r="D1080" s="9">
        <v>15</v>
      </c>
      <c r="E1080" s="9">
        <v>32</v>
      </c>
      <c r="F1080" s="9">
        <v>50</v>
      </c>
      <c r="G1080" s="9">
        <v>55</v>
      </c>
      <c r="H1080" s="9">
        <v>69</v>
      </c>
      <c r="J1080" s="9">
        <v>69</v>
      </c>
      <c r="L1080" s="171">
        <v>44314</v>
      </c>
    </row>
    <row r="1081" spans="3:12" x14ac:dyDescent="0.25">
      <c r="C1081" s="9">
        <v>3</v>
      </c>
      <c r="D1081" s="9">
        <v>34</v>
      </c>
      <c r="E1081" s="9">
        <v>42</v>
      </c>
      <c r="F1081" s="9">
        <v>52</v>
      </c>
      <c r="G1081" s="9">
        <v>66</v>
      </c>
      <c r="H1081" s="9">
        <v>70</v>
      </c>
      <c r="J1081" s="9">
        <v>70</v>
      </c>
      <c r="L1081" s="171">
        <v>44312</v>
      </c>
    </row>
    <row r="1082" spans="3:12" x14ac:dyDescent="0.25">
      <c r="C1082" s="9">
        <v>6</v>
      </c>
      <c r="D1082" s="9">
        <v>19</v>
      </c>
      <c r="E1082" s="9">
        <v>29</v>
      </c>
      <c r="F1082" s="9">
        <v>51</v>
      </c>
      <c r="G1082" s="9">
        <v>62</v>
      </c>
      <c r="H1082" s="9">
        <v>81</v>
      </c>
      <c r="J1082" s="9">
        <v>81</v>
      </c>
      <c r="L1082" s="171">
        <v>44310</v>
      </c>
    </row>
    <row r="1083" spans="3:12" x14ac:dyDescent="0.25">
      <c r="C1083" s="9">
        <v>13</v>
      </c>
      <c r="D1083" s="9">
        <v>33</v>
      </c>
      <c r="E1083" s="9">
        <v>58</v>
      </c>
      <c r="F1083" s="9">
        <v>74</v>
      </c>
      <c r="G1083" s="9">
        <v>78</v>
      </c>
      <c r="H1083" s="9">
        <v>89</v>
      </c>
      <c r="J1083" s="9">
        <v>89</v>
      </c>
      <c r="L1083" s="171">
        <v>44307</v>
      </c>
    </row>
    <row r="1084" spans="3:12" x14ac:dyDescent="0.25">
      <c r="C1084" s="9">
        <v>12</v>
      </c>
      <c r="D1084" s="9">
        <v>23</v>
      </c>
      <c r="E1084" s="9">
        <v>56</v>
      </c>
      <c r="F1084" s="9">
        <v>79</v>
      </c>
      <c r="G1084" s="9">
        <v>82</v>
      </c>
      <c r="H1084" s="9">
        <v>86</v>
      </c>
      <c r="J1084" s="9">
        <v>86</v>
      </c>
      <c r="L1084" s="171">
        <v>44305</v>
      </c>
    </row>
    <row r="1085" spans="3:12" x14ac:dyDescent="0.25">
      <c r="C1085" s="9">
        <v>27</v>
      </c>
      <c r="D1085" s="9">
        <v>39</v>
      </c>
      <c r="E1085" s="9">
        <v>56</v>
      </c>
      <c r="F1085" s="9">
        <v>73</v>
      </c>
      <c r="G1085" s="9">
        <v>83</v>
      </c>
      <c r="H1085" s="9">
        <v>84</v>
      </c>
      <c r="J1085" s="9">
        <v>84</v>
      </c>
      <c r="L1085" s="171">
        <v>44303</v>
      </c>
    </row>
    <row r="1086" spans="3:12" x14ac:dyDescent="0.25">
      <c r="C1086" s="9">
        <v>2</v>
      </c>
      <c r="D1086" s="9">
        <v>4</v>
      </c>
      <c r="E1086" s="9">
        <v>21</v>
      </c>
      <c r="F1086" s="9">
        <v>37</v>
      </c>
      <c r="G1086" s="9">
        <v>63</v>
      </c>
      <c r="H1086" s="9">
        <v>73</v>
      </c>
      <c r="J1086" s="9">
        <v>73</v>
      </c>
      <c r="L1086" s="171">
        <v>44300</v>
      </c>
    </row>
    <row r="1087" spans="3:12" x14ac:dyDescent="0.25">
      <c r="C1087" s="9">
        <v>18</v>
      </c>
      <c r="D1087" s="9">
        <v>48</v>
      </c>
      <c r="E1087" s="9">
        <v>66</v>
      </c>
      <c r="F1087" s="9">
        <v>72</v>
      </c>
      <c r="G1087" s="9">
        <v>88</v>
      </c>
      <c r="H1087" s="9">
        <v>90</v>
      </c>
      <c r="J1087" s="9">
        <v>90</v>
      </c>
      <c r="L1087" s="171">
        <v>44298</v>
      </c>
    </row>
    <row r="1088" spans="3:12" x14ac:dyDescent="0.25">
      <c r="C1088" s="9">
        <v>5</v>
      </c>
      <c r="D1088" s="9">
        <v>21</v>
      </c>
      <c r="E1088" s="9">
        <v>30</v>
      </c>
      <c r="F1088" s="9">
        <v>43</v>
      </c>
      <c r="G1088" s="9">
        <v>45</v>
      </c>
      <c r="H1088" s="9">
        <v>60</v>
      </c>
      <c r="J1088" s="9">
        <v>60</v>
      </c>
      <c r="L1088" s="171">
        <v>44296</v>
      </c>
    </row>
    <row r="1089" spans="3:12" x14ac:dyDescent="0.25">
      <c r="C1089" s="9">
        <v>13</v>
      </c>
      <c r="D1089" s="9">
        <v>53</v>
      </c>
      <c r="E1089" s="9">
        <v>64</v>
      </c>
      <c r="F1089" s="9">
        <v>69</v>
      </c>
      <c r="G1089" s="9">
        <v>78</v>
      </c>
      <c r="H1089" s="9">
        <v>80</v>
      </c>
      <c r="J1089" s="9">
        <v>80</v>
      </c>
      <c r="L1089" s="171">
        <v>44293</v>
      </c>
    </row>
    <row r="1090" spans="3:12" x14ac:dyDescent="0.25">
      <c r="C1090" s="9">
        <v>19</v>
      </c>
      <c r="D1090" s="9">
        <v>35</v>
      </c>
      <c r="E1090" s="9">
        <v>39</v>
      </c>
      <c r="F1090" s="9">
        <v>62</v>
      </c>
      <c r="G1090" s="9">
        <v>64</v>
      </c>
      <c r="H1090" s="9">
        <v>86</v>
      </c>
      <c r="J1090" s="9">
        <v>86</v>
      </c>
      <c r="L1090" s="171">
        <v>44291</v>
      </c>
    </row>
    <row r="1091" spans="3:12" x14ac:dyDescent="0.25">
      <c r="C1091" s="9">
        <v>8</v>
      </c>
      <c r="D1091" s="9">
        <v>34</v>
      </c>
      <c r="E1091" s="9">
        <v>39</v>
      </c>
      <c r="F1091" s="9">
        <v>65</v>
      </c>
      <c r="G1091" s="9">
        <v>72</v>
      </c>
      <c r="H1091" s="9">
        <v>73</v>
      </c>
      <c r="J1091" s="9">
        <v>73</v>
      </c>
      <c r="L1091" s="171">
        <v>44289</v>
      </c>
    </row>
    <row r="1092" spans="3:12" x14ac:dyDescent="0.25">
      <c r="C1092" s="9">
        <v>1</v>
      </c>
      <c r="D1092" s="9">
        <v>3</v>
      </c>
      <c r="E1092" s="9">
        <v>59</v>
      </c>
      <c r="F1092" s="9">
        <v>83</v>
      </c>
      <c r="G1092" s="9">
        <v>84</v>
      </c>
      <c r="H1092" s="9">
        <v>88</v>
      </c>
      <c r="J1092" s="9">
        <v>88</v>
      </c>
      <c r="L1092" s="171">
        <v>44286</v>
      </c>
    </row>
    <row r="1093" spans="3:12" x14ac:dyDescent="0.25">
      <c r="C1093" s="9">
        <v>5</v>
      </c>
      <c r="D1093" s="9">
        <v>21</v>
      </c>
      <c r="E1093" s="9">
        <v>41</v>
      </c>
      <c r="F1093" s="9">
        <v>51</v>
      </c>
      <c r="G1093" s="9">
        <v>56</v>
      </c>
      <c r="H1093" s="9">
        <v>66</v>
      </c>
      <c r="J1093" s="9">
        <v>66</v>
      </c>
      <c r="L1093" s="171">
        <v>44284</v>
      </c>
    </row>
    <row r="1094" spans="3:12" x14ac:dyDescent="0.25">
      <c r="C1094" s="9">
        <v>3</v>
      </c>
      <c r="D1094" s="9">
        <v>11</v>
      </c>
      <c r="E1094" s="9">
        <v>21</v>
      </c>
      <c r="F1094" s="9">
        <v>28</v>
      </c>
      <c r="G1094" s="9">
        <v>62</v>
      </c>
      <c r="H1094" s="9">
        <v>83</v>
      </c>
      <c r="J1094" s="9">
        <v>83</v>
      </c>
      <c r="L1094" s="171">
        <v>44282</v>
      </c>
    </row>
    <row r="1095" spans="3:12" x14ac:dyDescent="0.25">
      <c r="C1095" s="9">
        <v>3</v>
      </c>
      <c r="D1095" s="9">
        <v>4</v>
      </c>
      <c r="E1095" s="9">
        <v>11</v>
      </c>
      <c r="F1095" s="9">
        <v>22</v>
      </c>
      <c r="G1095" s="9">
        <v>37</v>
      </c>
      <c r="H1095" s="9">
        <v>88</v>
      </c>
      <c r="J1095" s="9">
        <v>88</v>
      </c>
      <c r="L1095" s="171">
        <v>44279</v>
      </c>
    </row>
    <row r="1096" spans="3:12" x14ac:dyDescent="0.25">
      <c r="C1096" s="9">
        <v>9</v>
      </c>
      <c r="D1096" s="9">
        <v>12</v>
      </c>
      <c r="E1096" s="9">
        <v>39</v>
      </c>
      <c r="F1096" s="9">
        <v>64</v>
      </c>
      <c r="G1096" s="9">
        <v>70</v>
      </c>
      <c r="H1096" s="9">
        <v>89</v>
      </c>
      <c r="J1096" s="9">
        <v>89</v>
      </c>
      <c r="L1096" s="171">
        <v>44277</v>
      </c>
    </row>
    <row r="1097" spans="3:12" x14ac:dyDescent="0.25">
      <c r="C1097" s="9">
        <v>6</v>
      </c>
      <c r="D1097" s="9">
        <v>22</v>
      </c>
      <c r="E1097" s="9">
        <v>28</v>
      </c>
      <c r="F1097" s="9">
        <v>50</v>
      </c>
      <c r="G1097" s="9">
        <v>72</v>
      </c>
      <c r="H1097" s="9">
        <v>90</v>
      </c>
      <c r="J1097" s="9">
        <v>90</v>
      </c>
      <c r="L1097" s="171">
        <v>44275</v>
      </c>
    </row>
    <row r="1098" spans="3:12" x14ac:dyDescent="0.25">
      <c r="C1098" s="9">
        <v>7</v>
      </c>
      <c r="D1098" s="9">
        <v>13</v>
      </c>
      <c r="E1098" s="9">
        <v>15</v>
      </c>
      <c r="F1098" s="9">
        <v>69</v>
      </c>
      <c r="G1098" s="9">
        <v>78</v>
      </c>
      <c r="H1098" s="9">
        <v>79</v>
      </c>
      <c r="J1098" s="9">
        <v>79</v>
      </c>
      <c r="L1098" s="171">
        <v>44272</v>
      </c>
    </row>
    <row r="1099" spans="3:12" x14ac:dyDescent="0.25">
      <c r="C1099" s="9">
        <v>23</v>
      </c>
      <c r="D1099" s="9">
        <v>27</v>
      </c>
      <c r="E1099" s="9">
        <v>37</v>
      </c>
      <c r="F1099" s="9">
        <v>56</v>
      </c>
      <c r="G1099" s="9">
        <v>79</v>
      </c>
      <c r="H1099" s="9">
        <v>83</v>
      </c>
      <c r="J1099" s="9">
        <v>83</v>
      </c>
      <c r="L1099" s="171">
        <v>44270</v>
      </c>
    </row>
    <row r="1100" spans="3:12" x14ac:dyDescent="0.25">
      <c r="C1100" s="9">
        <v>11</v>
      </c>
      <c r="D1100" s="9">
        <v>19</v>
      </c>
      <c r="E1100" s="9">
        <v>25</v>
      </c>
      <c r="F1100" s="9">
        <v>32</v>
      </c>
      <c r="G1100" s="9">
        <v>54</v>
      </c>
      <c r="H1100" s="9">
        <v>71</v>
      </c>
      <c r="J1100" s="9">
        <v>71</v>
      </c>
      <c r="L1100" s="171">
        <v>44268</v>
      </c>
    </row>
    <row r="1101" spans="3:12" x14ac:dyDescent="0.25">
      <c r="C1101" s="9">
        <v>4</v>
      </c>
      <c r="D1101" s="9">
        <v>23</v>
      </c>
      <c r="E1101" s="9">
        <v>30</v>
      </c>
      <c r="F1101" s="9">
        <v>49</v>
      </c>
      <c r="G1101" s="9">
        <v>53</v>
      </c>
      <c r="H1101" s="9">
        <v>87</v>
      </c>
      <c r="J1101" s="9">
        <v>87</v>
      </c>
      <c r="L1101" s="171">
        <v>44265</v>
      </c>
    </row>
    <row r="1102" spans="3:12" x14ac:dyDescent="0.25">
      <c r="C1102" s="9">
        <v>22</v>
      </c>
      <c r="D1102" s="9">
        <v>38</v>
      </c>
      <c r="E1102" s="9">
        <v>45</v>
      </c>
      <c r="F1102" s="9">
        <v>47</v>
      </c>
      <c r="G1102" s="9">
        <v>70</v>
      </c>
      <c r="H1102" s="9">
        <v>87</v>
      </c>
      <c r="J1102" s="9">
        <v>87</v>
      </c>
      <c r="L1102" s="171">
        <v>44263</v>
      </c>
    </row>
    <row r="1103" spans="3:12" x14ac:dyDescent="0.25">
      <c r="C1103" s="9">
        <v>8</v>
      </c>
      <c r="D1103" s="9">
        <v>12</v>
      </c>
      <c r="E1103" s="9">
        <v>20</v>
      </c>
      <c r="F1103" s="9">
        <v>31</v>
      </c>
      <c r="G1103" s="9">
        <v>45</v>
      </c>
      <c r="H1103" s="9">
        <v>87</v>
      </c>
      <c r="J1103" s="9">
        <v>87</v>
      </c>
      <c r="L1103" s="171">
        <v>44261</v>
      </c>
    </row>
    <row r="1104" spans="3:12" x14ac:dyDescent="0.25">
      <c r="C1104" s="9">
        <v>2</v>
      </c>
      <c r="D1104" s="9">
        <v>11</v>
      </c>
      <c r="E1104" s="9">
        <v>13</v>
      </c>
      <c r="F1104" s="9">
        <v>34</v>
      </c>
      <c r="G1104" s="9">
        <v>47</v>
      </c>
      <c r="H1104" s="9">
        <v>74</v>
      </c>
      <c r="J1104" s="9">
        <v>74</v>
      </c>
      <c r="L1104" s="171">
        <v>44258</v>
      </c>
    </row>
    <row r="1105" spans="1:13" x14ac:dyDescent="0.25">
      <c r="C1105" s="9">
        <v>5</v>
      </c>
      <c r="D1105" s="9">
        <v>30</v>
      </c>
      <c r="E1105" s="9">
        <v>46</v>
      </c>
      <c r="F1105" s="9">
        <v>60</v>
      </c>
      <c r="G1105" s="9">
        <v>69</v>
      </c>
      <c r="H1105" s="9">
        <v>84</v>
      </c>
      <c r="J1105" s="9">
        <v>84</v>
      </c>
      <c r="L1105" s="171">
        <v>44256</v>
      </c>
    </row>
    <row r="1106" spans="1:13" x14ac:dyDescent="0.25">
      <c r="C1106" s="9">
        <v>2</v>
      </c>
      <c r="D1106" s="9">
        <v>14</v>
      </c>
      <c r="E1106" s="9">
        <v>29</v>
      </c>
      <c r="F1106" s="9">
        <v>30</v>
      </c>
      <c r="G1106" s="9">
        <v>69</v>
      </c>
      <c r="H1106" s="9">
        <v>80</v>
      </c>
      <c r="J1106" s="9">
        <v>80</v>
      </c>
      <c r="L1106" s="171">
        <v>44254</v>
      </c>
    </row>
    <row r="1107" spans="1:13" x14ac:dyDescent="0.25">
      <c r="C1107" s="9">
        <v>9</v>
      </c>
      <c r="D1107" s="9">
        <v>26</v>
      </c>
      <c r="E1107" s="9">
        <v>30</v>
      </c>
      <c r="F1107" s="9">
        <v>43</v>
      </c>
      <c r="G1107" s="9">
        <v>54</v>
      </c>
      <c r="H1107" s="9">
        <v>73</v>
      </c>
      <c r="J1107" s="9">
        <v>73</v>
      </c>
      <c r="L1107" s="171">
        <v>44251</v>
      </c>
    </row>
    <row r="1108" spans="1:13" x14ac:dyDescent="0.25">
      <c r="C1108" s="9">
        <v>23</v>
      </c>
      <c r="D1108" s="9">
        <v>35</v>
      </c>
      <c r="E1108" s="9">
        <v>59</v>
      </c>
      <c r="F1108" s="9">
        <v>64</v>
      </c>
      <c r="G1108" s="9">
        <v>75</v>
      </c>
      <c r="H1108" s="9">
        <v>81</v>
      </c>
      <c r="J1108" s="9">
        <v>81</v>
      </c>
      <c r="L1108" s="171">
        <v>44249</v>
      </c>
    </row>
    <row r="1109" spans="1:13" x14ac:dyDescent="0.25">
      <c r="C1109" s="9">
        <v>11</v>
      </c>
      <c r="D1109" s="9">
        <v>26</v>
      </c>
      <c r="E1109" s="9">
        <v>33</v>
      </c>
      <c r="F1109" s="9">
        <v>63</v>
      </c>
      <c r="G1109" s="9">
        <v>69</v>
      </c>
      <c r="H1109" s="9">
        <v>83</v>
      </c>
      <c r="J1109" s="9">
        <v>83</v>
      </c>
      <c r="L1109" s="171">
        <v>44247</v>
      </c>
    </row>
    <row r="1110" spans="1:13" x14ac:dyDescent="0.25">
      <c r="C1110" s="9">
        <v>10</v>
      </c>
      <c r="D1110" s="9">
        <v>12</v>
      </c>
      <c r="E1110" s="9">
        <v>57</v>
      </c>
      <c r="F1110" s="9">
        <v>75</v>
      </c>
      <c r="G1110" s="9">
        <v>80</v>
      </c>
      <c r="H1110" s="9">
        <v>83</v>
      </c>
      <c r="J1110" s="9">
        <v>83</v>
      </c>
      <c r="L1110" s="171">
        <v>44244</v>
      </c>
    </row>
    <row r="1111" spans="1:13" x14ac:dyDescent="0.25">
      <c r="C1111" s="9">
        <v>8</v>
      </c>
      <c r="D1111" s="9">
        <v>11</v>
      </c>
      <c r="E1111" s="9">
        <v>16</v>
      </c>
      <c r="F1111" s="9">
        <v>47</v>
      </c>
      <c r="G1111" s="9">
        <v>64</v>
      </c>
      <c r="H1111" s="9">
        <v>87</v>
      </c>
      <c r="J1111" s="9">
        <v>87</v>
      </c>
      <c r="L1111" s="171">
        <v>44242</v>
      </c>
    </row>
    <row r="1112" spans="1:13" x14ac:dyDescent="0.25">
      <c r="C1112" s="9">
        <v>3</v>
      </c>
      <c r="D1112" s="9">
        <v>20</v>
      </c>
      <c r="E1112" s="9">
        <v>24</v>
      </c>
      <c r="F1112" s="9">
        <v>47</v>
      </c>
      <c r="G1112" s="9">
        <v>63</v>
      </c>
      <c r="H1112" s="9">
        <v>69</v>
      </c>
      <c r="J1112" s="9">
        <v>69</v>
      </c>
      <c r="L1112" s="171">
        <v>44240</v>
      </c>
    </row>
    <row r="1113" spans="1:13" x14ac:dyDescent="0.25">
      <c r="C1113" s="9">
        <v>21</v>
      </c>
      <c r="D1113" s="9">
        <v>24</v>
      </c>
      <c r="E1113" s="9">
        <v>31</v>
      </c>
      <c r="F1113" s="9">
        <v>38</v>
      </c>
      <c r="G1113" s="9">
        <v>46</v>
      </c>
      <c r="H1113" s="9">
        <v>71</v>
      </c>
      <c r="J1113" s="9">
        <v>71</v>
      </c>
      <c r="L1113" s="171">
        <v>44237</v>
      </c>
    </row>
    <row r="1114" spans="1:13" x14ac:dyDescent="0.25">
      <c r="C1114" s="9">
        <v>1</v>
      </c>
      <c r="D1114" s="9">
        <v>5</v>
      </c>
      <c r="E1114" s="9">
        <v>13</v>
      </c>
      <c r="F1114" s="9">
        <v>33</v>
      </c>
      <c r="G1114" s="9">
        <v>40</v>
      </c>
      <c r="H1114" s="9">
        <v>52</v>
      </c>
      <c r="J1114" s="9">
        <v>52</v>
      </c>
      <c r="L1114" s="171">
        <v>44235</v>
      </c>
    </row>
    <row r="1115" spans="1:13" x14ac:dyDescent="0.25">
      <c r="C1115" s="9">
        <v>24</v>
      </c>
      <c r="D1115" s="9">
        <v>32</v>
      </c>
      <c r="E1115" s="9">
        <v>33</v>
      </c>
      <c r="F1115" s="9">
        <v>34</v>
      </c>
      <c r="G1115" s="9">
        <v>45</v>
      </c>
      <c r="H1115" s="9">
        <v>61</v>
      </c>
      <c r="J1115" s="9">
        <v>61</v>
      </c>
      <c r="L1115" s="171">
        <v>44233</v>
      </c>
    </row>
    <row r="1116" spans="1:13" x14ac:dyDescent="0.25">
      <c r="C1116" s="9">
        <v>5</v>
      </c>
      <c r="D1116" s="9">
        <v>41</v>
      </c>
      <c r="E1116" s="9">
        <v>45</v>
      </c>
      <c r="F1116" s="9">
        <v>52</v>
      </c>
      <c r="G1116" s="9">
        <v>65</v>
      </c>
      <c r="H1116" s="9">
        <v>89</v>
      </c>
      <c r="J1116" s="9">
        <v>89</v>
      </c>
      <c r="L1116" s="171">
        <v>44230</v>
      </c>
    </row>
    <row r="1117" spans="1:13" x14ac:dyDescent="0.25">
      <c r="C1117" s="9">
        <v>15</v>
      </c>
      <c r="D1117" s="9">
        <v>51</v>
      </c>
      <c r="E1117" s="9">
        <v>55</v>
      </c>
      <c r="F1117" s="9">
        <v>60</v>
      </c>
      <c r="G1117" s="9">
        <v>62</v>
      </c>
      <c r="H1117" s="9">
        <v>90</v>
      </c>
      <c r="J1117" s="9">
        <v>90</v>
      </c>
      <c r="L1117" s="171">
        <v>44228</v>
      </c>
    </row>
    <row r="1118" spans="1:13" x14ac:dyDescent="0.25">
      <c r="C1118" s="9">
        <v>4</v>
      </c>
      <c r="D1118" s="9">
        <v>12</v>
      </c>
      <c r="E1118" s="9">
        <v>21</v>
      </c>
      <c r="F1118" s="9">
        <v>29</v>
      </c>
      <c r="G1118" s="9">
        <v>42</v>
      </c>
      <c r="H1118" s="9">
        <v>90</v>
      </c>
      <c r="J1118" s="9">
        <v>90</v>
      </c>
      <c r="L1118" s="171">
        <v>44226</v>
      </c>
    </row>
    <row r="1119" spans="1:13" x14ac:dyDescent="0.25">
      <c r="C1119" s="9">
        <v>20</v>
      </c>
      <c r="D1119" s="9">
        <v>62</v>
      </c>
      <c r="E1119" s="9">
        <v>64</v>
      </c>
      <c r="F1119" s="9">
        <v>71</v>
      </c>
      <c r="G1119" s="9">
        <v>73</v>
      </c>
      <c r="H1119" s="9">
        <v>78</v>
      </c>
      <c r="J1119" s="9">
        <v>78</v>
      </c>
      <c r="L1119" s="171">
        <v>44223</v>
      </c>
    </row>
    <row r="1120" spans="1:13" s="56" customFormat="1" x14ac:dyDescent="0.25">
      <c r="A1120" s="2"/>
      <c r="B1120" s="2"/>
      <c r="C1120" s="9">
        <v>15</v>
      </c>
      <c r="D1120" s="9">
        <v>18</v>
      </c>
      <c r="E1120" s="9">
        <v>61</v>
      </c>
      <c r="F1120" s="9">
        <v>70</v>
      </c>
      <c r="G1120" s="9">
        <v>74</v>
      </c>
      <c r="H1120" s="9">
        <v>90</v>
      </c>
      <c r="I1120" s="1"/>
      <c r="J1120" s="9">
        <v>90</v>
      </c>
      <c r="K1120" s="1"/>
      <c r="L1120" s="171">
        <v>44221</v>
      </c>
      <c r="M1120" s="1"/>
    </row>
    <row r="1121" spans="1:13" s="56" customFormat="1" x14ac:dyDescent="0.25">
      <c r="A1121" s="2"/>
      <c r="B1121" s="2"/>
      <c r="C1121" s="9">
        <v>4</v>
      </c>
      <c r="D1121" s="9">
        <v>5</v>
      </c>
      <c r="E1121" s="9">
        <v>18</v>
      </c>
      <c r="F1121" s="9">
        <v>37</v>
      </c>
      <c r="G1121" s="9">
        <v>41</v>
      </c>
      <c r="H1121" s="9">
        <v>60</v>
      </c>
      <c r="I1121" s="1"/>
      <c r="J1121" s="9">
        <v>60</v>
      </c>
      <c r="K1121" s="1"/>
      <c r="L1121" s="171">
        <v>44219</v>
      </c>
      <c r="M1121" s="1"/>
    </row>
    <row r="1122" spans="1:13" s="56" customFormat="1" x14ac:dyDescent="0.25">
      <c r="A1122" s="2"/>
      <c r="B1122" s="2"/>
      <c r="C1122" s="9">
        <v>19</v>
      </c>
      <c r="D1122" s="9">
        <v>24</v>
      </c>
      <c r="E1122" s="9">
        <v>39</v>
      </c>
      <c r="F1122" s="9">
        <v>61</v>
      </c>
      <c r="G1122" s="9">
        <v>63</v>
      </c>
      <c r="H1122" s="9">
        <v>73</v>
      </c>
      <c r="I1122" s="1"/>
      <c r="J1122" s="9">
        <v>73</v>
      </c>
      <c r="K1122" s="1"/>
      <c r="L1122" s="171">
        <v>44216</v>
      </c>
      <c r="M1122" s="1"/>
    </row>
    <row r="1123" spans="1:13" s="56" customFormat="1" x14ac:dyDescent="0.25">
      <c r="A1123" s="2"/>
      <c r="B1123" s="2"/>
      <c r="C1123" s="9">
        <v>23</v>
      </c>
      <c r="D1123" s="9">
        <v>29</v>
      </c>
      <c r="E1123" s="9">
        <v>43</v>
      </c>
      <c r="F1123" s="9">
        <v>68</v>
      </c>
      <c r="G1123" s="9">
        <v>88</v>
      </c>
      <c r="H1123" s="9">
        <v>90</v>
      </c>
      <c r="I1123" s="1"/>
      <c r="J1123" s="9">
        <v>90</v>
      </c>
      <c r="K1123" s="1"/>
      <c r="L1123" s="171">
        <v>44214</v>
      </c>
      <c r="M1123" s="1"/>
    </row>
    <row r="1124" spans="1:13" s="56" customFormat="1" x14ac:dyDescent="0.25">
      <c r="A1124" s="2"/>
      <c r="B1124" s="2"/>
      <c r="C1124" s="9">
        <v>43</v>
      </c>
      <c r="D1124" s="9">
        <v>71</v>
      </c>
      <c r="E1124" s="9">
        <v>73</v>
      </c>
      <c r="F1124" s="9">
        <v>75</v>
      </c>
      <c r="G1124" s="9">
        <v>86</v>
      </c>
      <c r="H1124" s="9">
        <v>88</v>
      </c>
      <c r="I1124" s="1"/>
      <c r="J1124" s="9">
        <v>88</v>
      </c>
      <c r="K1124" s="1"/>
      <c r="L1124" s="171">
        <v>44212</v>
      </c>
      <c r="M1124" s="1"/>
    </row>
    <row r="1125" spans="1:13" s="56" customFormat="1" x14ac:dyDescent="0.25">
      <c r="A1125" s="2"/>
      <c r="B1125" s="2"/>
      <c r="C1125" s="9">
        <v>18</v>
      </c>
      <c r="D1125" s="9">
        <v>28</v>
      </c>
      <c r="E1125" s="9">
        <v>41</v>
      </c>
      <c r="F1125" s="9">
        <v>57</v>
      </c>
      <c r="G1125" s="9">
        <v>71</v>
      </c>
      <c r="H1125" s="9">
        <v>88</v>
      </c>
      <c r="I1125" s="1"/>
      <c r="J1125" s="9">
        <v>88</v>
      </c>
      <c r="K1125" s="1"/>
      <c r="L1125" s="171">
        <v>44209</v>
      </c>
      <c r="M1125" s="1"/>
    </row>
    <row r="1126" spans="1:13" s="56" customFormat="1" x14ac:dyDescent="0.25">
      <c r="A1126" s="2"/>
      <c r="B1126" s="2"/>
      <c r="C1126" s="9">
        <v>6</v>
      </c>
      <c r="D1126" s="9">
        <v>20</v>
      </c>
      <c r="E1126" s="9">
        <v>32</v>
      </c>
      <c r="F1126" s="9">
        <v>54</v>
      </c>
      <c r="G1126" s="9">
        <v>73</v>
      </c>
      <c r="H1126" s="9">
        <v>88</v>
      </c>
      <c r="I1126" s="1"/>
      <c r="J1126" s="9">
        <v>88</v>
      </c>
      <c r="K1126" s="1"/>
      <c r="L1126" s="171">
        <v>44207</v>
      </c>
      <c r="M1126" s="1"/>
    </row>
    <row r="1127" spans="1:13" s="56" customFormat="1" x14ac:dyDescent="0.25">
      <c r="A1127" s="2"/>
      <c r="B1127" s="2"/>
      <c r="C1127" s="9">
        <v>8</v>
      </c>
      <c r="D1127" s="9">
        <v>32</v>
      </c>
      <c r="E1127" s="9">
        <v>33</v>
      </c>
      <c r="F1127" s="9">
        <v>62</v>
      </c>
      <c r="G1127" s="9">
        <v>82</v>
      </c>
      <c r="H1127" s="9">
        <v>83</v>
      </c>
      <c r="I1127" s="1"/>
      <c r="J1127" s="9">
        <v>83</v>
      </c>
      <c r="K1127" s="1"/>
      <c r="L1127" s="171">
        <v>44205</v>
      </c>
      <c r="M1127" s="1"/>
    </row>
    <row r="1128" spans="1:13" s="56" customFormat="1" x14ac:dyDescent="0.25">
      <c r="A1128" s="2"/>
      <c r="B1128" s="2"/>
      <c r="C1128" s="9">
        <v>1</v>
      </c>
      <c r="D1128" s="9">
        <v>32</v>
      </c>
      <c r="E1128" s="9">
        <v>60</v>
      </c>
      <c r="F1128" s="9">
        <v>62</v>
      </c>
      <c r="G1128" s="9">
        <v>63</v>
      </c>
      <c r="H1128" s="9">
        <v>74</v>
      </c>
      <c r="I1128" s="1"/>
      <c r="J1128" s="9">
        <v>74</v>
      </c>
      <c r="K1128" s="1"/>
      <c r="L1128" s="171">
        <v>44202</v>
      </c>
      <c r="M1128" s="1"/>
    </row>
    <row r="1129" spans="1:13" s="56" customFormat="1" x14ac:dyDescent="0.25">
      <c r="A1129" s="2"/>
      <c r="B1129" s="2"/>
      <c r="C1129" s="9">
        <v>6</v>
      </c>
      <c r="D1129" s="9">
        <v>7</v>
      </c>
      <c r="E1129" s="9">
        <v>41</v>
      </c>
      <c r="F1129" s="9">
        <v>63</v>
      </c>
      <c r="G1129" s="9">
        <v>81</v>
      </c>
      <c r="H1129" s="9">
        <v>83</v>
      </c>
      <c r="I1129" s="1"/>
      <c r="J1129" s="9">
        <v>83</v>
      </c>
      <c r="K1129" s="1"/>
      <c r="L1129" s="171">
        <v>44200</v>
      </c>
      <c r="M1129" s="1"/>
    </row>
    <row r="1130" spans="1:13" s="56" customFormat="1" x14ac:dyDescent="0.25">
      <c r="A1130" s="2"/>
      <c r="B1130" s="2"/>
      <c r="C1130" s="9">
        <v>3</v>
      </c>
      <c r="D1130" s="9">
        <v>7</v>
      </c>
      <c r="E1130" s="9">
        <v>9</v>
      </c>
      <c r="F1130" s="9">
        <v>22</v>
      </c>
      <c r="G1130" s="9">
        <v>27</v>
      </c>
      <c r="H1130" s="9">
        <v>70</v>
      </c>
      <c r="I1130" s="1"/>
      <c r="J1130" s="9">
        <v>70</v>
      </c>
      <c r="K1130" s="1"/>
      <c r="L1130" s="171">
        <v>44198</v>
      </c>
      <c r="M1130" s="1"/>
    </row>
    <row r="1131" spans="1:13" s="56" customFormat="1" x14ac:dyDescent="0.25">
      <c r="A1131" s="2"/>
      <c r="B1131" s="2"/>
      <c r="C1131" s="9"/>
      <c r="D1131" s="9"/>
      <c r="E1131" s="9"/>
      <c r="F1131" s="9"/>
      <c r="G1131" s="9"/>
      <c r="H1131" s="9"/>
      <c r="I1131" s="1"/>
      <c r="J1131" s="9"/>
      <c r="K1131" s="1"/>
      <c r="L1131" s="171"/>
      <c r="M1131" s="1"/>
    </row>
    <row r="1132" spans="1:13" s="56" customFormat="1" x14ac:dyDescent="0.25">
      <c r="A1132" s="2"/>
      <c r="B1132" s="2"/>
      <c r="C1132" s="9"/>
      <c r="D1132" s="9"/>
      <c r="E1132" s="9"/>
      <c r="F1132" s="9"/>
      <c r="G1132" s="9"/>
      <c r="H1132" s="9"/>
      <c r="I1132" s="1"/>
      <c r="J1132" s="9"/>
      <c r="K1132" s="1"/>
      <c r="L1132" s="171"/>
      <c r="M1132" s="1"/>
    </row>
    <row r="1133" spans="1:13" s="56" customFormat="1" x14ac:dyDescent="0.25">
      <c r="A1133" s="2"/>
      <c r="B1133" s="2"/>
      <c r="C1133" s="9"/>
      <c r="D1133" s="9"/>
      <c r="E1133" s="9"/>
      <c r="F1133" s="9"/>
      <c r="G1133" s="9"/>
      <c r="H1133" s="9"/>
      <c r="I1133" s="1"/>
      <c r="J1133" s="9"/>
      <c r="K1133" s="1"/>
      <c r="L1133" s="171"/>
      <c r="M1133" s="1"/>
    </row>
    <row r="1134" spans="1:13" s="56" customFormat="1" x14ac:dyDescent="0.25">
      <c r="A1134" s="2"/>
      <c r="B1134" s="2"/>
      <c r="C1134" s="9"/>
      <c r="D1134" s="9"/>
      <c r="E1134" s="9"/>
      <c r="F1134" s="9"/>
      <c r="G1134" s="9"/>
      <c r="H1134" s="9"/>
      <c r="I1134" s="1"/>
      <c r="J1134" s="9"/>
      <c r="K1134" s="1"/>
      <c r="L1134" s="171"/>
      <c r="M1134" s="1"/>
    </row>
    <row r="1135" spans="1:13" s="56" customFormat="1" x14ac:dyDescent="0.25">
      <c r="A1135" s="2"/>
      <c r="B1135" s="2"/>
      <c r="C1135" s="9"/>
      <c r="D1135" s="9"/>
      <c r="E1135" s="9"/>
      <c r="F1135" s="9"/>
      <c r="G1135" s="9"/>
      <c r="H1135" s="9"/>
      <c r="I1135" s="1"/>
      <c r="J1135" s="9"/>
      <c r="K1135" s="1"/>
      <c r="L1135" s="171"/>
      <c r="M1135" s="1"/>
    </row>
    <row r="1136" spans="1:13" s="56" customFormat="1" x14ac:dyDescent="0.25">
      <c r="A1136" s="2"/>
      <c r="B1136" s="2"/>
      <c r="C1136" s="9"/>
      <c r="D1136" s="9"/>
      <c r="E1136" s="9"/>
      <c r="F1136" s="9"/>
      <c r="G1136" s="9"/>
      <c r="H1136" s="9"/>
      <c r="I1136" s="1"/>
      <c r="J1136" s="9"/>
      <c r="K1136" s="1"/>
      <c r="L1136" s="171"/>
      <c r="M1136" s="1"/>
    </row>
    <row r="1137" spans="1:13" s="56" customFormat="1" x14ac:dyDescent="0.25">
      <c r="A1137" s="2"/>
      <c r="B1137" s="2"/>
      <c r="C1137" s="9"/>
      <c r="D1137" s="9"/>
      <c r="E1137" s="9"/>
      <c r="F1137" s="9"/>
      <c r="G1137" s="9"/>
      <c r="H1137" s="9"/>
      <c r="I1137" s="1"/>
      <c r="J1137" s="9"/>
      <c r="K1137" s="1"/>
      <c r="L1137" s="171"/>
      <c r="M1137" s="1"/>
    </row>
    <row r="1138" spans="1:13" s="56" customFormat="1" x14ac:dyDescent="0.25">
      <c r="A1138" s="2"/>
      <c r="B1138" s="2"/>
      <c r="C1138" s="9"/>
      <c r="D1138" s="9"/>
      <c r="E1138" s="9"/>
      <c r="F1138" s="9"/>
      <c r="G1138" s="9"/>
      <c r="H1138" s="9"/>
      <c r="I1138" s="1"/>
      <c r="J1138" s="9"/>
      <c r="K1138" s="1"/>
      <c r="L1138" s="171"/>
      <c r="M1138" s="1"/>
    </row>
    <row r="1139" spans="1:13" s="56" customFormat="1" x14ac:dyDescent="0.25">
      <c r="A1139" s="2"/>
      <c r="B1139" s="2"/>
      <c r="C1139" s="9"/>
      <c r="D1139" s="9"/>
      <c r="E1139" s="9"/>
      <c r="F1139" s="9"/>
      <c r="G1139" s="9"/>
      <c r="H1139" s="9"/>
      <c r="I1139" s="1"/>
      <c r="J1139" s="9"/>
      <c r="K1139" s="1"/>
      <c r="L1139" s="171"/>
      <c r="M1139" s="1"/>
    </row>
    <row r="1140" spans="1:13" s="56" customFormat="1" x14ac:dyDescent="0.25">
      <c r="A1140" s="2"/>
      <c r="B1140" s="2"/>
      <c r="C1140" s="9"/>
      <c r="D1140" s="9"/>
      <c r="E1140" s="9"/>
      <c r="F1140" s="9"/>
      <c r="G1140" s="9"/>
      <c r="H1140" s="9"/>
      <c r="I1140" s="1"/>
      <c r="J1140" s="9"/>
      <c r="K1140" s="1"/>
      <c r="L1140" s="171"/>
      <c r="M1140" s="1"/>
    </row>
    <row r="1141" spans="1:13" s="56" customFormat="1" x14ac:dyDescent="0.25">
      <c r="A1141" s="2"/>
      <c r="B1141" s="2"/>
      <c r="C1141" s="9"/>
      <c r="D1141" s="9"/>
      <c r="E1141" s="9"/>
      <c r="F1141" s="9"/>
      <c r="G1141" s="9"/>
      <c r="H1141" s="9"/>
      <c r="I1141" s="1"/>
      <c r="J1141" s="9"/>
      <c r="K1141" s="1"/>
      <c r="L1141" s="171"/>
      <c r="M1141" s="1"/>
    </row>
    <row r="1142" spans="1:13" s="56" customFormat="1" x14ac:dyDescent="0.25">
      <c r="A1142" s="2"/>
      <c r="B1142" s="2"/>
      <c r="C1142" s="9"/>
      <c r="D1142" s="9"/>
      <c r="E1142" s="9"/>
      <c r="F1142" s="9"/>
      <c r="G1142" s="9"/>
      <c r="H1142" s="9"/>
      <c r="I1142" s="1"/>
      <c r="J1142" s="9"/>
      <c r="K1142" s="1"/>
      <c r="L1142" s="171"/>
      <c r="M1142" s="1"/>
    </row>
    <row r="1143" spans="1:13" s="56" customFormat="1" x14ac:dyDescent="0.25">
      <c r="A1143" s="2"/>
      <c r="B1143" s="2"/>
      <c r="C1143" s="9"/>
      <c r="D1143" s="9"/>
      <c r="E1143" s="9"/>
      <c r="F1143" s="9"/>
      <c r="G1143" s="9"/>
      <c r="H1143" s="9"/>
      <c r="I1143" s="1"/>
      <c r="J1143" s="9"/>
      <c r="K1143" s="1"/>
      <c r="L1143" s="171"/>
      <c r="M1143" s="1"/>
    </row>
    <row r="1144" spans="1:13" s="56" customFormat="1" x14ac:dyDescent="0.25">
      <c r="A1144" s="2"/>
      <c r="B1144" s="2"/>
      <c r="C1144" s="9"/>
      <c r="D1144" s="9"/>
      <c r="E1144" s="9"/>
      <c r="F1144" s="9"/>
      <c r="G1144" s="9"/>
      <c r="H1144" s="9"/>
      <c r="I1144" s="1"/>
      <c r="J1144" s="9"/>
      <c r="K1144" s="1"/>
      <c r="L1144" s="171"/>
      <c r="M1144" s="1"/>
    </row>
    <row r="1145" spans="1:13" s="56" customFormat="1" x14ac:dyDescent="0.25">
      <c r="A1145" s="2"/>
      <c r="B1145" s="2"/>
      <c r="C1145" s="9"/>
      <c r="D1145" s="9"/>
      <c r="E1145" s="9"/>
      <c r="F1145" s="9"/>
      <c r="G1145" s="9"/>
      <c r="H1145" s="9"/>
      <c r="I1145" s="1"/>
      <c r="J1145" s="9"/>
      <c r="K1145" s="1"/>
      <c r="L1145" s="171"/>
      <c r="M1145" s="1"/>
    </row>
    <row r="1146" spans="1:13" s="56" customFormat="1" x14ac:dyDescent="0.25">
      <c r="A1146" s="2"/>
      <c r="B1146" s="2"/>
      <c r="C1146" s="9"/>
      <c r="D1146" s="9"/>
      <c r="E1146" s="9"/>
      <c r="F1146" s="9"/>
      <c r="G1146" s="9"/>
      <c r="H1146" s="9"/>
      <c r="I1146" s="1"/>
      <c r="J1146" s="9"/>
      <c r="K1146" s="1"/>
      <c r="L1146" s="171"/>
      <c r="M1146" s="1"/>
    </row>
    <row r="1147" spans="1:13" s="56" customFormat="1" x14ac:dyDescent="0.25">
      <c r="A1147" s="2"/>
      <c r="B1147" s="2"/>
      <c r="C1147" s="9"/>
      <c r="D1147" s="9"/>
      <c r="E1147" s="9"/>
      <c r="F1147" s="9"/>
      <c r="G1147" s="9"/>
      <c r="H1147" s="9"/>
      <c r="I1147" s="1"/>
      <c r="J1147" s="9"/>
      <c r="K1147" s="1"/>
      <c r="L1147" s="171"/>
      <c r="M1147" s="1"/>
    </row>
    <row r="1148" spans="1:13" s="56" customFormat="1" x14ac:dyDescent="0.25">
      <c r="A1148" s="2"/>
      <c r="B1148" s="2"/>
      <c r="C1148" s="9"/>
      <c r="D1148" s="9"/>
      <c r="E1148" s="9"/>
      <c r="F1148" s="9"/>
      <c r="G1148" s="9"/>
      <c r="H1148" s="9"/>
      <c r="I1148" s="1"/>
      <c r="J1148" s="9"/>
      <c r="K1148" s="1"/>
      <c r="L1148" s="171"/>
      <c r="M1148" s="1"/>
    </row>
    <row r="1149" spans="1:13" s="56" customFormat="1" x14ac:dyDescent="0.25">
      <c r="A1149" s="2"/>
      <c r="B1149" s="2"/>
      <c r="C1149" s="9"/>
      <c r="D1149" s="9"/>
      <c r="E1149" s="9"/>
      <c r="F1149" s="9"/>
      <c r="G1149" s="9"/>
      <c r="H1149" s="9"/>
      <c r="I1149" s="1"/>
      <c r="J1149" s="9"/>
      <c r="K1149" s="1"/>
      <c r="L1149" s="171"/>
      <c r="M1149" s="1"/>
    </row>
    <row r="1150" spans="1:13" s="56" customFormat="1" x14ac:dyDescent="0.25">
      <c r="A1150" s="2"/>
      <c r="B1150" s="2"/>
      <c r="C1150" s="9"/>
      <c r="D1150" s="9"/>
      <c r="E1150" s="9"/>
      <c r="F1150" s="9"/>
      <c r="G1150" s="9"/>
      <c r="H1150" s="9"/>
      <c r="I1150" s="1"/>
      <c r="J1150" s="9"/>
      <c r="K1150" s="1"/>
      <c r="L1150" s="171"/>
      <c r="M1150" s="1"/>
    </row>
    <row r="1151" spans="1:13" s="56" customFormat="1" x14ac:dyDescent="0.25">
      <c r="A1151" s="2"/>
      <c r="B1151" s="2"/>
      <c r="C1151" s="9"/>
      <c r="D1151" s="9"/>
      <c r="E1151" s="9"/>
      <c r="F1151" s="9"/>
      <c r="G1151" s="9"/>
      <c r="H1151" s="9"/>
      <c r="I1151" s="1"/>
      <c r="J1151" s="9"/>
      <c r="K1151" s="1"/>
      <c r="L1151" s="171"/>
      <c r="M1151" s="1"/>
    </row>
    <row r="1152" spans="1:13" s="56" customFormat="1" x14ac:dyDescent="0.25">
      <c r="A1152" s="2"/>
      <c r="B1152" s="2"/>
      <c r="C1152" s="9"/>
      <c r="D1152" s="9"/>
      <c r="E1152" s="9"/>
      <c r="F1152" s="9"/>
      <c r="G1152" s="9"/>
      <c r="H1152" s="9"/>
      <c r="I1152" s="1"/>
      <c r="J1152" s="9"/>
      <c r="K1152" s="1"/>
      <c r="L1152" s="171"/>
      <c r="M1152" s="1"/>
    </row>
    <row r="1153" spans="1:13" s="56" customFormat="1" x14ac:dyDescent="0.25">
      <c r="A1153" s="2"/>
      <c r="B1153" s="2"/>
      <c r="C1153" s="9"/>
      <c r="D1153" s="9"/>
      <c r="E1153" s="9"/>
      <c r="F1153" s="9"/>
      <c r="G1153" s="9"/>
      <c r="H1153" s="9"/>
      <c r="I1153" s="1"/>
      <c r="J1153" s="9"/>
      <c r="K1153" s="1"/>
      <c r="L1153" s="171"/>
      <c r="M1153" s="1"/>
    </row>
    <row r="1154" spans="1:13" s="56" customFormat="1" x14ac:dyDescent="0.25">
      <c r="A1154" s="2"/>
      <c r="B1154" s="2"/>
      <c r="C1154" s="9"/>
      <c r="D1154" s="9"/>
      <c r="E1154" s="9"/>
      <c r="F1154" s="9"/>
      <c r="G1154" s="9"/>
      <c r="H1154" s="9"/>
      <c r="I1154" s="1"/>
      <c r="J1154" s="9"/>
      <c r="K1154" s="1"/>
      <c r="L1154" s="171"/>
      <c r="M1154" s="1"/>
    </row>
    <row r="1155" spans="1:13" s="56" customFormat="1" x14ac:dyDescent="0.25">
      <c r="A1155" s="2"/>
      <c r="B1155" s="2"/>
      <c r="C1155" s="9"/>
      <c r="D1155" s="9"/>
      <c r="E1155" s="9"/>
      <c r="F1155" s="9"/>
      <c r="G1155" s="9"/>
      <c r="H1155" s="9"/>
      <c r="I1155" s="1"/>
      <c r="J1155" s="9"/>
      <c r="K1155" s="1"/>
      <c r="L1155" s="171"/>
      <c r="M1155" s="1"/>
    </row>
    <row r="1156" spans="1:13" s="56" customFormat="1" x14ac:dyDescent="0.25">
      <c r="A1156" s="2"/>
      <c r="B1156" s="2"/>
      <c r="C1156" s="9"/>
      <c r="D1156" s="9"/>
      <c r="E1156" s="9"/>
      <c r="F1156" s="9"/>
      <c r="G1156" s="9"/>
      <c r="H1156" s="9"/>
      <c r="I1156" s="1"/>
      <c r="J1156" s="9"/>
      <c r="K1156" s="1"/>
      <c r="L1156" s="171"/>
      <c r="M1156" s="1"/>
    </row>
    <row r="1157" spans="1:13" s="56" customFormat="1" x14ac:dyDescent="0.25">
      <c r="A1157" s="2"/>
      <c r="B1157" s="2"/>
      <c r="C1157" s="9"/>
      <c r="D1157" s="9"/>
      <c r="E1157" s="9"/>
      <c r="F1157" s="9"/>
      <c r="G1157" s="9"/>
      <c r="H1157" s="9"/>
      <c r="I1157" s="1"/>
      <c r="J1157" s="9"/>
      <c r="K1157" s="1"/>
      <c r="L1157" s="171"/>
      <c r="M1157" s="1"/>
    </row>
    <row r="1158" spans="1:13" s="56" customFormat="1" x14ac:dyDescent="0.25">
      <c r="A1158" s="2"/>
      <c r="B1158" s="2"/>
      <c r="C1158" s="9"/>
      <c r="D1158" s="9"/>
      <c r="E1158" s="9"/>
      <c r="F1158" s="9"/>
      <c r="G1158" s="9"/>
      <c r="H1158" s="9"/>
      <c r="I1158" s="1"/>
      <c r="J1158" s="9"/>
      <c r="K1158" s="1"/>
      <c r="L1158" s="171"/>
      <c r="M1158" s="1"/>
    </row>
    <row r="1159" spans="1:13" s="56" customFormat="1" x14ac:dyDescent="0.25">
      <c r="A1159" s="2"/>
      <c r="B1159" s="2"/>
      <c r="C1159" s="9"/>
      <c r="D1159" s="9"/>
      <c r="E1159" s="9"/>
      <c r="F1159" s="9"/>
      <c r="G1159" s="9"/>
      <c r="H1159" s="9"/>
      <c r="I1159" s="1"/>
      <c r="J1159" s="9"/>
      <c r="K1159" s="1"/>
      <c r="L1159" s="171"/>
      <c r="M1159" s="1"/>
    </row>
    <row r="1160" spans="1:13" s="56" customFormat="1" x14ac:dyDescent="0.25">
      <c r="A1160" s="2"/>
      <c r="B1160" s="2"/>
      <c r="C1160" s="9"/>
      <c r="D1160" s="9"/>
      <c r="E1160" s="9"/>
      <c r="F1160" s="9"/>
      <c r="G1160" s="9"/>
      <c r="H1160" s="9"/>
      <c r="I1160" s="1"/>
      <c r="J1160" s="9"/>
      <c r="K1160" s="1"/>
      <c r="L1160" s="171"/>
      <c r="M1160" s="1"/>
    </row>
    <row r="1161" spans="1:13" s="56" customFormat="1" x14ac:dyDescent="0.25">
      <c r="A1161" s="2"/>
      <c r="B1161" s="2"/>
      <c r="C1161" s="9"/>
      <c r="D1161" s="9"/>
      <c r="E1161" s="9"/>
      <c r="F1161" s="9"/>
      <c r="G1161" s="9"/>
      <c r="H1161" s="9"/>
      <c r="I1161" s="1"/>
      <c r="J1161" s="9"/>
      <c r="K1161" s="1"/>
      <c r="L1161" s="171"/>
      <c r="M1161" s="1"/>
    </row>
    <row r="1162" spans="1:13" s="56" customFormat="1" x14ac:dyDescent="0.25">
      <c r="A1162" s="2"/>
      <c r="B1162" s="2"/>
      <c r="C1162" s="9"/>
      <c r="D1162" s="9"/>
      <c r="E1162" s="9"/>
      <c r="F1162" s="9"/>
      <c r="G1162" s="9"/>
      <c r="H1162" s="9"/>
      <c r="I1162" s="1"/>
      <c r="J1162" s="9"/>
      <c r="K1162" s="1"/>
      <c r="L1162" s="171"/>
      <c r="M1162" s="1"/>
    </row>
    <row r="1163" spans="1:13" s="56" customFormat="1" x14ac:dyDescent="0.25">
      <c r="A1163" s="2"/>
      <c r="B1163" s="2"/>
      <c r="C1163" s="9"/>
      <c r="D1163" s="9"/>
      <c r="E1163" s="9"/>
      <c r="F1163" s="9"/>
      <c r="G1163" s="9"/>
      <c r="H1163" s="9"/>
      <c r="I1163" s="1"/>
      <c r="J1163" s="9"/>
      <c r="K1163" s="1"/>
      <c r="L1163" s="171"/>
      <c r="M1163" s="1"/>
    </row>
    <row r="1164" spans="1:13" s="56" customFormat="1" x14ac:dyDescent="0.25">
      <c r="A1164" s="2"/>
      <c r="B1164" s="2"/>
      <c r="C1164" s="9"/>
      <c r="D1164" s="9"/>
      <c r="E1164" s="9"/>
      <c r="F1164" s="9"/>
      <c r="G1164" s="9"/>
      <c r="H1164" s="9"/>
      <c r="I1164" s="1"/>
      <c r="J1164" s="9"/>
      <c r="K1164" s="1"/>
      <c r="L1164" s="171"/>
      <c r="M1164" s="1"/>
    </row>
    <row r="1165" spans="1:13" s="56" customFormat="1" x14ac:dyDescent="0.25">
      <c r="A1165" s="2"/>
      <c r="B1165" s="2"/>
      <c r="C1165" s="9"/>
      <c r="D1165" s="9"/>
      <c r="E1165" s="9"/>
      <c r="F1165" s="9"/>
      <c r="G1165" s="9"/>
      <c r="H1165" s="9"/>
      <c r="I1165" s="1"/>
      <c r="J1165" s="9"/>
      <c r="K1165" s="1"/>
      <c r="L1165" s="171"/>
      <c r="M1165" s="1"/>
    </row>
    <row r="1166" spans="1:13" s="56" customFormat="1" x14ac:dyDescent="0.25">
      <c r="A1166" s="2"/>
      <c r="B1166" s="2"/>
      <c r="C1166" s="9"/>
      <c r="D1166" s="9"/>
      <c r="E1166" s="9"/>
      <c r="F1166" s="9"/>
      <c r="G1166" s="9"/>
      <c r="H1166" s="9"/>
      <c r="I1166" s="1"/>
      <c r="J1166" s="9"/>
      <c r="K1166" s="1"/>
      <c r="L1166" s="171"/>
      <c r="M1166" s="1"/>
    </row>
    <row r="1167" spans="1:13" s="56" customFormat="1" x14ac:dyDescent="0.25">
      <c r="A1167" s="2"/>
      <c r="B1167" s="2"/>
      <c r="C1167" s="9"/>
      <c r="D1167" s="9"/>
      <c r="E1167" s="9"/>
      <c r="F1167" s="9"/>
      <c r="G1167" s="9"/>
      <c r="H1167" s="9"/>
      <c r="I1167" s="1"/>
      <c r="J1167" s="9"/>
      <c r="K1167" s="1"/>
      <c r="L1167" s="171"/>
      <c r="M1167" s="1"/>
    </row>
    <row r="1168" spans="1:13" s="56" customFormat="1" x14ac:dyDescent="0.25">
      <c r="A1168" s="2"/>
      <c r="B1168" s="2"/>
      <c r="C1168" s="9"/>
      <c r="D1168" s="9"/>
      <c r="E1168" s="9"/>
      <c r="F1168" s="9"/>
      <c r="G1168" s="9"/>
      <c r="H1168" s="9"/>
      <c r="I1168" s="1"/>
      <c r="J1168" s="9"/>
      <c r="K1168" s="1"/>
      <c r="L1168" s="171"/>
      <c r="M1168" s="1"/>
    </row>
  </sheetData>
  <autoFilter ref="A1:M1168"/>
  <mergeCells count="376">
    <mergeCell ref="A8:A10"/>
    <mergeCell ref="B8:B10"/>
    <mergeCell ref="L8:L10"/>
    <mergeCell ref="A2:A4"/>
    <mergeCell ref="B2:B4"/>
    <mergeCell ref="L2:L4"/>
    <mergeCell ref="A11:A13"/>
    <mergeCell ref="B11:B13"/>
    <mergeCell ref="L11:L13"/>
    <mergeCell ref="A14:A16"/>
    <mergeCell ref="B14:B16"/>
    <mergeCell ref="L14:L16"/>
    <mergeCell ref="A5:A7"/>
    <mergeCell ref="B5:B7"/>
    <mergeCell ref="L5:L7"/>
    <mergeCell ref="A23:A25"/>
    <mergeCell ref="B23:B25"/>
    <mergeCell ref="L23:L25"/>
    <mergeCell ref="A26:A28"/>
    <mergeCell ref="B26:B28"/>
    <mergeCell ref="L26:L28"/>
    <mergeCell ref="A17:A19"/>
    <mergeCell ref="B17:B19"/>
    <mergeCell ref="L17:L19"/>
    <mergeCell ref="A20:A22"/>
    <mergeCell ref="B20:B22"/>
    <mergeCell ref="L20:L22"/>
    <mergeCell ref="A35:A37"/>
    <mergeCell ref="B35:B37"/>
    <mergeCell ref="L35:L37"/>
    <mergeCell ref="A38:A40"/>
    <mergeCell ref="B38:B40"/>
    <mergeCell ref="L38:L40"/>
    <mergeCell ref="A29:A31"/>
    <mergeCell ref="B29:B31"/>
    <mergeCell ref="L29:L31"/>
    <mergeCell ref="A32:A34"/>
    <mergeCell ref="B32:B34"/>
    <mergeCell ref="L32:L34"/>
    <mergeCell ref="A47:A49"/>
    <mergeCell ref="B47:B49"/>
    <mergeCell ref="A50:A52"/>
    <mergeCell ref="B50:B52"/>
    <mergeCell ref="A41:A43"/>
    <mergeCell ref="B41:B43"/>
    <mergeCell ref="L41:L43"/>
    <mergeCell ref="A44:A46"/>
    <mergeCell ref="B44:B46"/>
    <mergeCell ref="L44:L46"/>
    <mergeCell ref="A62:A64"/>
    <mergeCell ref="B62:B64"/>
    <mergeCell ref="A65:A67"/>
    <mergeCell ref="B65:B67"/>
    <mergeCell ref="A68:A70"/>
    <mergeCell ref="B68:B70"/>
    <mergeCell ref="A53:A55"/>
    <mergeCell ref="B53:B55"/>
    <mergeCell ref="A56:A58"/>
    <mergeCell ref="B56:B58"/>
    <mergeCell ref="A59:A61"/>
    <mergeCell ref="B59:B61"/>
    <mergeCell ref="A80:A82"/>
    <mergeCell ref="B80:B82"/>
    <mergeCell ref="A83:A85"/>
    <mergeCell ref="B83:B85"/>
    <mergeCell ref="A71:A73"/>
    <mergeCell ref="B71:B73"/>
    <mergeCell ref="A74:A76"/>
    <mergeCell ref="B74:B76"/>
    <mergeCell ref="A77:A79"/>
    <mergeCell ref="B77:B79"/>
    <mergeCell ref="A95:A97"/>
    <mergeCell ref="B95:B97"/>
    <mergeCell ref="A98:A100"/>
    <mergeCell ref="B98:B100"/>
    <mergeCell ref="A86:A88"/>
    <mergeCell ref="B86:B88"/>
    <mergeCell ref="A89:A91"/>
    <mergeCell ref="B89:B91"/>
    <mergeCell ref="A92:A94"/>
    <mergeCell ref="B92:B94"/>
    <mergeCell ref="A110:A112"/>
    <mergeCell ref="B110:B112"/>
    <mergeCell ref="A113:A115"/>
    <mergeCell ref="B113:B115"/>
    <mergeCell ref="A116:A118"/>
    <mergeCell ref="B116:B118"/>
    <mergeCell ref="A101:A103"/>
    <mergeCell ref="B101:B103"/>
    <mergeCell ref="A104:A106"/>
    <mergeCell ref="B104:B106"/>
    <mergeCell ref="A107:A109"/>
    <mergeCell ref="B107:B109"/>
    <mergeCell ref="L125:L127"/>
    <mergeCell ref="A128:A130"/>
    <mergeCell ref="B128:B130"/>
    <mergeCell ref="L128:L130"/>
    <mergeCell ref="A131:A133"/>
    <mergeCell ref="B131:B133"/>
    <mergeCell ref="L131:L133"/>
    <mergeCell ref="A119:A121"/>
    <mergeCell ref="B119:B121"/>
    <mergeCell ref="A122:A124"/>
    <mergeCell ref="B122:B124"/>
    <mergeCell ref="A125:A127"/>
    <mergeCell ref="B125:B127"/>
    <mergeCell ref="A140:A142"/>
    <mergeCell ref="B140:B142"/>
    <mergeCell ref="L140:L142"/>
    <mergeCell ref="A143:A145"/>
    <mergeCell ref="B143:B145"/>
    <mergeCell ref="L143:L145"/>
    <mergeCell ref="A134:A136"/>
    <mergeCell ref="B134:B136"/>
    <mergeCell ref="L134:L136"/>
    <mergeCell ref="A137:A139"/>
    <mergeCell ref="B137:B139"/>
    <mergeCell ref="L137:L139"/>
    <mergeCell ref="A152:A154"/>
    <mergeCell ref="B152:B154"/>
    <mergeCell ref="L152:L154"/>
    <mergeCell ref="A155:A157"/>
    <mergeCell ref="B155:B157"/>
    <mergeCell ref="L155:L157"/>
    <mergeCell ref="A146:A148"/>
    <mergeCell ref="B146:B148"/>
    <mergeCell ref="L146:L148"/>
    <mergeCell ref="A149:A151"/>
    <mergeCell ref="B149:B151"/>
    <mergeCell ref="L149:L151"/>
    <mergeCell ref="A167:A169"/>
    <mergeCell ref="B167:B169"/>
    <mergeCell ref="L167:L169"/>
    <mergeCell ref="A158:A160"/>
    <mergeCell ref="B158:B160"/>
    <mergeCell ref="L158:L160"/>
    <mergeCell ref="A161:A163"/>
    <mergeCell ref="B161:B163"/>
    <mergeCell ref="L161:L163"/>
    <mergeCell ref="A170:A172"/>
    <mergeCell ref="B170:B172"/>
    <mergeCell ref="L170:L172"/>
    <mergeCell ref="A173:A175"/>
    <mergeCell ref="B173:B175"/>
    <mergeCell ref="L173:L175"/>
    <mergeCell ref="A164:A166"/>
    <mergeCell ref="B164:B166"/>
    <mergeCell ref="L164:L166"/>
    <mergeCell ref="A182:A184"/>
    <mergeCell ref="B182:B184"/>
    <mergeCell ref="L182:L184"/>
    <mergeCell ref="A185:A187"/>
    <mergeCell ref="B185:B187"/>
    <mergeCell ref="L185:L187"/>
    <mergeCell ref="A176:A178"/>
    <mergeCell ref="B176:B178"/>
    <mergeCell ref="L176:L178"/>
    <mergeCell ref="A179:A181"/>
    <mergeCell ref="B179:B181"/>
    <mergeCell ref="L179:L181"/>
    <mergeCell ref="A194:A196"/>
    <mergeCell ref="B194:B196"/>
    <mergeCell ref="L194:L196"/>
    <mergeCell ref="A197:A199"/>
    <mergeCell ref="B197:B199"/>
    <mergeCell ref="L197:L199"/>
    <mergeCell ref="A188:A190"/>
    <mergeCell ref="B188:B190"/>
    <mergeCell ref="L188:L190"/>
    <mergeCell ref="A191:A193"/>
    <mergeCell ref="B191:B193"/>
    <mergeCell ref="L191:L193"/>
    <mergeCell ref="A206:A208"/>
    <mergeCell ref="B206:B208"/>
    <mergeCell ref="L206:L208"/>
    <mergeCell ref="A209:A211"/>
    <mergeCell ref="B209:B211"/>
    <mergeCell ref="L209:L211"/>
    <mergeCell ref="A200:A202"/>
    <mergeCell ref="B200:B202"/>
    <mergeCell ref="L200:L202"/>
    <mergeCell ref="A203:A205"/>
    <mergeCell ref="B203:B205"/>
    <mergeCell ref="L203:L205"/>
    <mergeCell ref="A218:A220"/>
    <mergeCell ref="B218:B220"/>
    <mergeCell ref="L218:L220"/>
    <mergeCell ref="A221:A223"/>
    <mergeCell ref="B221:B223"/>
    <mergeCell ref="L221:L223"/>
    <mergeCell ref="A212:A214"/>
    <mergeCell ref="B212:B214"/>
    <mergeCell ref="L212:L214"/>
    <mergeCell ref="A215:A217"/>
    <mergeCell ref="B215:B217"/>
    <mergeCell ref="L215:L217"/>
    <mergeCell ref="A230:A232"/>
    <mergeCell ref="B230:B232"/>
    <mergeCell ref="L230:L232"/>
    <mergeCell ref="A233:A235"/>
    <mergeCell ref="B233:B235"/>
    <mergeCell ref="L233:L235"/>
    <mergeCell ref="A224:A226"/>
    <mergeCell ref="B224:B226"/>
    <mergeCell ref="L224:L226"/>
    <mergeCell ref="A227:A229"/>
    <mergeCell ref="B227:B229"/>
    <mergeCell ref="L227:L229"/>
    <mergeCell ref="A242:A244"/>
    <mergeCell ref="B242:B244"/>
    <mergeCell ref="L242:L244"/>
    <mergeCell ref="A245:A247"/>
    <mergeCell ref="B245:B247"/>
    <mergeCell ref="L245:L247"/>
    <mergeCell ref="A236:A238"/>
    <mergeCell ref="B236:B238"/>
    <mergeCell ref="L236:L238"/>
    <mergeCell ref="A239:A241"/>
    <mergeCell ref="B239:B241"/>
    <mergeCell ref="L239:L241"/>
    <mergeCell ref="A254:A256"/>
    <mergeCell ref="B254:B256"/>
    <mergeCell ref="L254:L256"/>
    <mergeCell ref="A257:A259"/>
    <mergeCell ref="B257:B259"/>
    <mergeCell ref="L257:L259"/>
    <mergeCell ref="A248:A250"/>
    <mergeCell ref="B248:B250"/>
    <mergeCell ref="L248:L250"/>
    <mergeCell ref="A251:A253"/>
    <mergeCell ref="B251:B253"/>
    <mergeCell ref="L251:L253"/>
    <mergeCell ref="A266:A268"/>
    <mergeCell ref="B266:B268"/>
    <mergeCell ref="L266:L268"/>
    <mergeCell ref="A269:A271"/>
    <mergeCell ref="B269:B271"/>
    <mergeCell ref="L269:L271"/>
    <mergeCell ref="A260:A262"/>
    <mergeCell ref="B260:B262"/>
    <mergeCell ref="L260:L262"/>
    <mergeCell ref="A263:A265"/>
    <mergeCell ref="B263:B265"/>
    <mergeCell ref="L263:L265"/>
    <mergeCell ref="A278:A280"/>
    <mergeCell ref="B278:B280"/>
    <mergeCell ref="L278:L280"/>
    <mergeCell ref="A281:A283"/>
    <mergeCell ref="B281:B283"/>
    <mergeCell ref="L281:L283"/>
    <mergeCell ref="A272:A274"/>
    <mergeCell ref="B272:B274"/>
    <mergeCell ref="L272:L274"/>
    <mergeCell ref="A275:A277"/>
    <mergeCell ref="B275:B277"/>
    <mergeCell ref="L275:L277"/>
    <mergeCell ref="A290:A292"/>
    <mergeCell ref="B290:B292"/>
    <mergeCell ref="L290:L292"/>
    <mergeCell ref="A293:A295"/>
    <mergeCell ref="B293:B295"/>
    <mergeCell ref="L293:L295"/>
    <mergeCell ref="A284:A286"/>
    <mergeCell ref="B284:B286"/>
    <mergeCell ref="L284:L286"/>
    <mergeCell ref="A287:A289"/>
    <mergeCell ref="B287:B289"/>
    <mergeCell ref="L287:L289"/>
    <mergeCell ref="A302:A304"/>
    <mergeCell ref="B302:B304"/>
    <mergeCell ref="L302:L304"/>
    <mergeCell ref="A305:A307"/>
    <mergeCell ref="B305:B307"/>
    <mergeCell ref="L305:L307"/>
    <mergeCell ref="A296:A298"/>
    <mergeCell ref="B296:B298"/>
    <mergeCell ref="L296:L298"/>
    <mergeCell ref="A299:A301"/>
    <mergeCell ref="B299:B301"/>
    <mergeCell ref="L299:L301"/>
    <mergeCell ref="A314:A316"/>
    <mergeCell ref="B314:B316"/>
    <mergeCell ref="L314:L316"/>
    <mergeCell ref="A317:A319"/>
    <mergeCell ref="B317:B319"/>
    <mergeCell ref="L317:L319"/>
    <mergeCell ref="A308:A310"/>
    <mergeCell ref="B308:B310"/>
    <mergeCell ref="L308:L310"/>
    <mergeCell ref="A311:A313"/>
    <mergeCell ref="B311:B313"/>
    <mergeCell ref="L311:L313"/>
    <mergeCell ref="A326:A328"/>
    <mergeCell ref="B326:B328"/>
    <mergeCell ref="L326:L328"/>
    <mergeCell ref="A329:A331"/>
    <mergeCell ref="B329:B331"/>
    <mergeCell ref="L329:L331"/>
    <mergeCell ref="A320:A322"/>
    <mergeCell ref="B320:B322"/>
    <mergeCell ref="L320:L322"/>
    <mergeCell ref="A323:A325"/>
    <mergeCell ref="B323:B325"/>
    <mergeCell ref="L323:L325"/>
    <mergeCell ref="A338:A340"/>
    <mergeCell ref="B338:B340"/>
    <mergeCell ref="L338:L340"/>
    <mergeCell ref="A341:A343"/>
    <mergeCell ref="B341:B343"/>
    <mergeCell ref="L341:L343"/>
    <mergeCell ref="A332:A334"/>
    <mergeCell ref="B332:B334"/>
    <mergeCell ref="L332:L334"/>
    <mergeCell ref="A335:A337"/>
    <mergeCell ref="B335:B337"/>
    <mergeCell ref="L335:L337"/>
    <mergeCell ref="A350:A352"/>
    <mergeCell ref="B350:B352"/>
    <mergeCell ref="L350:L352"/>
    <mergeCell ref="A353:A355"/>
    <mergeCell ref="B353:B355"/>
    <mergeCell ref="L353:L355"/>
    <mergeCell ref="A344:A346"/>
    <mergeCell ref="B344:B346"/>
    <mergeCell ref="L344:L346"/>
    <mergeCell ref="A347:A349"/>
    <mergeCell ref="B347:B349"/>
    <mergeCell ref="L347:L349"/>
    <mergeCell ref="A362:A364"/>
    <mergeCell ref="B362:B364"/>
    <mergeCell ref="L362:L364"/>
    <mergeCell ref="A365:A367"/>
    <mergeCell ref="B365:B367"/>
    <mergeCell ref="L365:L367"/>
    <mergeCell ref="A356:A358"/>
    <mergeCell ref="B356:B358"/>
    <mergeCell ref="L356:L358"/>
    <mergeCell ref="A359:A361"/>
    <mergeCell ref="B359:B361"/>
    <mergeCell ref="L359:L361"/>
    <mergeCell ref="L383:L385"/>
    <mergeCell ref="A374:A376"/>
    <mergeCell ref="B374:B376"/>
    <mergeCell ref="L374:L376"/>
    <mergeCell ref="A377:A379"/>
    <mergeCell ref="B377:B379"/>
    <mergeCell ref="L377:L379"/>
    <mergeCell ref="A368:A370"/>
    <mergeCell ref="B368:B370"/>
    <mergeCell ref="L368:L370"/>
    <mergeCell ref="A371:A373"/>
    <mergeCell ref="B371:B373"/>
    <mergeCell ref="L371:L373"/>
    <mergeCell ref="A398:A400"/>
    <mergeCell ref="B398:B400"/>
    <mergeCell ref="L398:L400"/>
    <mergeCell ref="A401:A403"/>
    <mergeCell ref="B401:B403"/>
    <mergeCell ref="L401:L403"/>
    <mergeCell ref="A392:A394"/>
    <mergeCell ref="B392:B394"/>
    <mergeCell ref="L392:L394"/>
    <mergeCell ref="A395:A397"/>
    <mergeCell ref="B395:B397"/>
    <mergeCell ref="L395:L397"/>
    <mergeCell ref="A386:A388"/>
    <mergeCell ref="B386:B388"/>
    <mergeCell ref="L386:L388"/>
    <mergeCell ref="A389:A391"/>
    <mergeCell ref="B389:B391"/>
    <mergeCell ref="L389:L391"/>
    <mergeCell ref="A380:A382"/>
    <mergeCell ref="B380:B382"/>
    <mergeCell ref="L380:L382"/>
    <mergeCell ref="A383:A385"/>
    <mergeCell ref="B383:B38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A1114"/>
  <sheetViews>
    <sheetView zoomScale="90" zoomScaleNormal="90" workbookViewId="0">
      <pane xSplit="34" ySplit="13" topLeftCell="AI14" activePane="bottomRight" state="frozen"/>
      <selection pane="topRight" activeCell="AI1" sqref="AI1"/>
      <selection pane="bottomLeft" activeCell="A14" sqref="A14"/>
      <selection pane="bottomRight" activeCell="C1" sqref="C1:H1048576"/>
    </sheetView>
  </sheetViews>
  <sheetFormatPr defaultRowHeight="15" x14ac:dyDescent="0.25"/>
  <cols>
    <col min="1" max="2" width="4" style="2" bestFit="1" customWidth="1"/>
    <col min="3" max="8" width="4.6640625" style="9" customWidth="1"/>
    <col min="9" max="9" width="1.44140625" style="43" customWidth="1"/>
    <col min="10" max="10" width="4.6640625" style="9" customWidth="1"/>
    <col min="11" max="11" width="1.44140625" style="43" customWidth="1"/>
    <col min="12" max="12" width="11.33203125" style="39" customWidth="1"/>
    <col min="13" max="13" width="1.44140625" style="43" customWidth="1"/>
    <col min="14" max="22" width="2.5546875" customWidth="1"/>
    <col min="23" max="23" width="2.5546875" style="52" customWidth="1"/>
    <col min="24" max="24" width="1.44140625" style="43" customWidth="1"/>
    <col min="25" max="33" width="2.5546875" customWidth="1"/>
    <col min="34" max="34" width="2.5546875" style="52" customWidth="1"/>
    <col min="35" max="35" width="1.44140625" style="148" customWidth="1"/>
    <col min="36" max="37" width="6.33203125" style="19" customWidth="1"/>
    <col min="38" max="38" width="10.109375" style="19" customWidth="1"/>
    <col min="39" max="39" width="8.6640625" style="19" customWidth="1"/>
    <col min="40" max="40" width="1.5546875" style="42" customWidth="1"/>
    <col min="41" max="41" width="6.33203125" style="54" customWidth="1"/>
    <col min="42" max="42" width="6.33203125" style="19" customWidth="1"/>
    <col min="43" max="43" width="8.88671875" style="1" customWidth="1"/>
    <col min="44" max="44" width="8.6640625" style="74" customWidth="1"/>
    <col min="45" max="45" width="1.44140625" style="42" customWidth="1"/>
    <col min="46" max="47" width="6.33203125" style="54" customWidth="1"/>
    <col min="48" max="48" width="6.33203125" style="19" customWidth="1"/>
    <col min="49" max="49" width="10.6640625" style="54" customWidth="1"/>
    <col min="50" max="50" width="1.44140625" style="57" customWidth="1"/>
    <col min="51" max="53" width="6.33203125" style="54" customWidth="1"/>
    <col min="54" max="54" width="10.6640625" style="54" customWidth="1"/>
    <col min="55" max="55" width="1.44140625" style="57" customWidth="1"/>
    <col min="56" max="58" width="6.33203125" style="19" customWidth="1"/>
    <col min="59" max="59" width="10.6640625" style="54" customWidth="1"/>
    <col min="60" max="60" width="1.33203125" style="43" customWidth="1"/>
    <col min="61" max="61" width="10.88671875" style="54" customWidth="1"/>
    <col min="62" max="62" width="5.6640625" style="55" customWidth="1"/>
    <col min="63" max="63" width="5.88671875" style="55" customWidth="1"/>
    <col min="64" max="64" width="7.33203125" style="54" customWidth="1"/>
    <col min="65" max="65" width="7.5546875" style="56" customWidth="1"/>
    <col min="66" max="66" width="7.88671875" style="56" customWidth="1"/>
    <col min="67" max="128" width="4.5546875" style="52" customWidth="1"/>
    <col min="129" max="129" width="1.33203125" style="43" customWidth="1"/>
    <col min="130" max="130" width="1.44140625" customWidth="1"/>
    <col min="131" max="132" width="2.5546875" style="19" customWidth="1"/>
    <col min="133" max="137" width="2.5546875" style="9" customWidth="1"/>
    <col min="138" max="139" width="2.5546875" style="13" customWidth="1"/>
    <col min="140" max="140" width="2.6640625" style="13" customWidth="1"/>
    <col min="141" max="180" width="2.5546875" style="13" customWidth="1"/>
    <col min="181" max="183" width="8.88671875" style="13"/>
  </cols>
  <sheetData>
    <row r="1" spans="1:177" s="13" customFormat="1" ht="16.2" thickTop="1" thickBot="1" x14ac:dyDescent="0.3">
      <c r="A1" s="3"/>
      <c r="B1" s="3"/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43"/>
      <c r="J1" s="8" t="s">
        <v>83</v>
      </c>
      <c r="K1" s="43"/>
      <c r="L1" s="39"/>
      <c r="M1" s="43"/>
      <c r="N1"/>
      <c r="O1"/>
      <c r="P1"/>
      <c r="Q1"/>
      <c r="R1"/>
      <c r="S1"/>
      <c r="T1"/>
      <c r="U1"/>
      <c r="V1"/>
      <c r="W1" s="52"/>
      <c r="X1" s="43"/>
      <c r="Y1"/>
      <c r="Z1"/>
      <c r="AA1"/>
      <c r="AB1"/>
      <c r="AC1"/>
      <c r="AD1"/>
      <c r="AE1"/>
      <c r="AF1"/>
      <c r="AG1"/>
      <c r="AH1" s="52"/>
      <c r="AI1" s="148"/>
      <c r="AJ1" s="19"/>
      <c r="AK1" s="19"/>
      <c r="AL1" s="19"/>
      <c r="AM1" s="19"/>
      <c r="AN1" s="42"/>
      <c r="AO1" s="54"/>
      <c r="AP1" s="19"/>
      <c r="AR1" s="74"/>
      <c r="AS1" s="42"/>
      <c r="AT1" s="54"/>
      <c r="AU1" s="54"/>
      <c r="AV1" s="19"/>
      <c r="AW1" s="54"/>
      <c r="AX1" s="57"/>
      <c r="AY1" s="54"/>
      <c r="AZ1" s="54"/>
      <c r="BA1" s="54"/>
      <c r="BB1" s="54"/>
      <c r="BC1" s="57"/>
      <c r="BD1" s="19"/>
      <c r="BE1" s="19"/>
      <c r="BF1" s="19"/>
      <c r="BG1" s="54"/>
      <c r="BH1" s="43"/>
      <c r="BI1" s="54"/>
      <c r="BJ1" s="55"/>
      <c r="BK1" s="55"/>
      <c r="BL1" s="54"/>
      <c r="BM1" s="56"/>
      <c r="BN1" s="56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43"/>
      <c r="DZ1"/>
      <c r="EA1" s="19"/>
      <c r="EB1" s="12"/>
      <c r="EC1" s="12"/>
      <c r="ED1" s="12"/>
      <c r="EE1" s="12"/>
      <c r="EF1" s="12"/>
      <c r="EG1" s="12"/>
      <c r="EH1" s="12"/>
      <c r="EI1" s="12"/>
      <c r="EJ1" s="12"/>
      <c r="EK1" s="22"/>
      <c r="EL1" s="22"/>
      <c r="EM1" s="22"/>
      <c r="EN1" s="22"/>
      <c r="EO1" s="22"/>
      <c r="EP1" s="22"/>
      <c r="EQ1" s="22"/>
      <c r="ER1" s="22"/>
      <c r="ES1" s="138"/>
      <c r="ET1" s="138"/>
      <c r="EU1" s="138"/>
      <c r="EV1" s="138"/>
      <c r="EW1" s="138"/>
      <c r="EX1" s="138"/>
      <c r="FQ1" s="20"/>
      <c r="FR1" s="20"/>
      <c r="FS1" s="20"/>
    </row>
    <row r="2" spans="1:177" s="13" customFormat="1" ht="12.6" customHeight="1" thickTop="1" x14ac:dyDescent="0.25">
      <c r="A2" s="177">
        <v>116</v>
      </c>
      <c r="B2" s="180">
        <v>1</v>
      </c>
      <c r="C2" s="14">
        <f>A2-A47-1</f>
        <v>14</v>
      </c>
      <c r="D2" s="14">
        <f>A2-A116-1</f>
        <v>37</v>
      </c>
      <c r="E2" s="14">
        <f>A2-A17-1</f>
        <v>4</v>
      </c>
      <c r="F2" s="14">
        <f>A2-A23-1</f>
        <v>6</v>
      </c>
      <c r="G2" s="14">
        <f>A2-A11-1</f>
        <v>2</v>
      </c>
      <c r="H2" s="14">
        <f>A2-A23-1</f>
        <v>6</v>
      </c>
      <c r="I2" s="44"/>
      <c r="J2" s="156">
        <f>A2-A20-1</f>
        <v>5</v>
      </c>
      <c r="K2" s="44"/>
      <c r="M2" s="44"/>
      <c r="X2" s="44"/>
      <c r="AI2" s="149"/>
      <c r="AJ2" s="1"/>
      <c r="AK2" s="1"/>
      <c r="AL2" s="54"/>
      <c r="AM2" s="1"/>
      <c r="AN2" s="43"/>
      <c r="AO2" s="1"/>
      <c r="AP2" s="1"/>
      <c r="AR2" s="54"/>
      <c r="AS2" s="43"/>
      <c r="AT2" s="1"/>
      <c r="AU2" s="1"/>
      <c r="AV2" s="1"/>
      <c r="AW2" s="54"/>
      <c r="AX2" s="57"/>
      <c r="AY2" s="54"/>
      <c r="AZ2" s="54"/>
      <c r="BA2" s="54"/>
      <c r="BB2" s="54"/>
      <c r="BC2" s="57"/>
      <c r="BD2" s="1"/>
      <c r="BE2" s="1"/>
      <c r="BF2" s="1"/>
      <c r="BG2" s="54"/>
      <c r="BH2" s="43"/>
      <c r="BI2" s="54"/>
      <c r="BJ2" s="55"/>
      <c r="BK2" s="55"/>
      <c r="BL2" s="54"/>
      <c r="BM2" s="56"/>
      <c r="BN2" s="56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43"/>
      <c r="EA2" s="29"/>
      <c r="EB2" s="12"/>
      <c r="EC2" s="12"/>
      <c r="ED2" s="12"/>
      <c r="EE2" s="12"/>
      <c r="EF2" s="12"/>
      <c r="EG2" s="146"/>
      <c r="EH2" s="146"/>
      <c r="EI2" s="146"/>
      <c r="EJ2" s="146"/>
      <c r="EK2" s="146"/>
      <c r="EL2" s="146"/>
      <c r="EM2" s="146"/>
      <c r="EN2" s="146"/>
      <c r="EO2" s="146"/>
      <c r="EP2" s="146"/>
      <c r="EQ2" s="146"/>
      <c r="ER2" s="146"/>
      <c r="ES2" s="146"/>
      <c r="ET2" s="146"/>
      <c r="EU2" s="146"/>
      <c r="EV2" s="146"/>
      <c r="EW2" s="146"/>
      <c r="EX2" s="146"/>
      <c r="FC2" s="144"/>
      <c r="FD2" s="144"/>
      <c r="FE2" s="144"/>
      <c r="FF2" s="144"/>
      <c r="FG2" s="144"/>
      <c r="FH2" s="144"/>
      <c r="FI2" s="144"/>
      <c r="FJ2" s="144"/>
      <c r="FK2" s="144"/>
      <c r="FL2" s="144"/>
      <c r="FM2" s="144"/>
      <c r="FN2" s="144"/>
      <c r="FO2" s="144"/>
      <c r="FP2" s="138"/>
      <c r="FQ2" s="20"/>
      <c r="FR2" s="20"/>
      <c r="FS2" s="20"/>
      <c r="FT2" s="20"/>
      <c r="FU2" s="20"/>
    </row>
    <row r="3" spans="1:177" s="13" customFormat="1" ht="12.6" customHeight="1" x14ac:dyDescent="0.25">
      <c r="A3" s="178"/>
      <c r="B3" s="180"/>
      <c r="C3" s="114">
        <v>2</v>
      </c>
      <c r="D3" s="115">
        <v>8</v>
      </c>
      <c r="E3" s="115">
        <v>55</v>
      </c>
      <c r="F3" s="115">
        <v>73</v>
      </c>
      <c r="G3" s="115">
        <v>79</v>
      </c>
      <c r="H3" s="115">
        <v>88</v>
      </c>
      <c r="I3" s="44"/>
      <c r="J3" s="115">
        <v>47</v>
      </c>
      <c r="K3" s="44"/>
      <c r="L3" s="159">
        <v>46158</v>
      </c>
      <c r="M3" s="44"/>
      <c r="X3" s="44"/>
      <c r="AI3" s="149"/>
      <c r="AJ3" s="1"/>
      <c r="AK3" s="1"/>
      <c r="AL3" s="54"/>
      <c r="AM3" s="1"/>
      <c r="AN3" s="43"/>
      <c r="AO3" s="1"/>
      <c r="AP3" s="1"/>
      <c r="AR3" s="54"/>
      <c r="AS3" s="43"/>
      <c r="AT3" s="1"/>
      <c r="AU3" s="1"/>
      <c r="AV3" s="1"/>
      <c r="AW3" s="54"/>
      <c r="AX3" s="57"/>
      <c r="AY3" s="54"/>
      <c r="AZ3" s="54"/>
      <c r="BA3" s="126"/>
      <c r="BB3" s="54"/>
      <c r="BC3" s="57"/>
      <c r="BD3" s="1"/>
      <c r="BE3" s="1"/>
      <c r="BF3" s="1"/>
      <c r="BG3" s="54"/>
      <c r="BH3" s="43"/>
      <c r="BI3" s="54"/>
      <c r="BJ3" s="55"/>
      <c r="BK3" s="55"/>
      <c r="BL3" s="54"/>
      <c r="BM3" s="56"/>
      <c r="BN3" s="56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43"/>
      <c r="EA3" s="29"/>
      <c r="EB3" s="12"/>
      <c r="EC3" s="12"/>
      <c r="ED3" s="12"/>
      <c r="EE3" s="12"/>
      <c r="EF3" s="12"/>
      <c r="EG3" s="146"/>
      <c r="EH3" s="146"/>
      <c r="EI3" s="146"/>
      <c r="EJ3" s="146"/>
      <c r="EK3" s="146"/>
      <c r="EL3" s="146"/>
      <c r="EM3" s="146"/>
      <c r="EN3" s="146"/>
      <c r="EO3" s="146"/>
      <c r="EP3" s="146"/>
      <c r="EQ3" s="146"/>
      <c r="ER3" s="146"/>
      <c r="ES3" s="146"/>
      <c r="ET3" s="146"/>
      <c r="EU3" s="146"/>
      <c r="EV3" s="146"/>
      <c r="EW3" s="146"/>
      <c r="EX3" s="146"/>
      <c r="FC3" s="144"/>
      <c r="FD3" s="144"/>
      <c r="FE3" s="144"/>
      <c r="FF3" s="144"/>
      <c r="FG3" s="144"/>
      <c r="FH3" s="144"/>
      <c r="FI3" s="144"/>
      <c r="FJ3" s="144"/>
      <c r="FK3" s="144"/>
      <c r="FL3" s="144"/>
      <c r="FM3" s="144"/>
      <c r="FN3" s="144"/>
      <c r="FO3" s="144"/>
      <c r="FP3" s="138"/>
      <c r="FQ3" s="20"/>
      <c r="FR3" s="20"/>
      <c r="FS3" s="20"/>
      <c r="FT3" s="20"/>
      <c r="FU3" s="20"/>
    </row>
    <row r="4" spans="1:177" s="13" customFormat="1" ht="13.2" customHeight="1" x14ac:dyDescent="0.25">
      <c r="A4" s="179"/>
      <c r="B4" s="180"/>
      <c r="C4" s="10"/>
      <c r="D4" s="10"/>
      <c r="E4" s="10"/>
      <c r="F4" s="10"/>
      <c r="G4" s="10"/>
      <c r="H4" s="10"/>
      <c r="I4" s="44"/>
      <c r="J4" s="156"/>
      <c r="K4" s="44"/>
      <c r="L4" s="159"/>
      <c r="M4" s="44"/>
      <c r="N4" s="174" t="s">
        <v>84</v>
      </c>
      <c r="O4" s="175"/>
      <c r="P4" s="175"/>
      <c r="Q4" s="175"/>
      <c r="R4" s="175"/>
      <c r="S4" s="175"/>
      <c r="T4" s="175"/>
      <c r="U4" s="175"/>
      <c r="V4" s="175"/>
      <c r="W4" s="176"/>
      <c r="X4" s="44"/>
      <c r="Y4" s="174">
        <v>46155</v>
      </c>
      <c r="Z4" s="175"/>
      <c r="AA4" s="175"/>
      <c r="AB4" s="175"/>
      <c r="AC4" s="175"/>
      <c r="AD4" s="175"/>
      <c r="AE4" s="175"/>
      <c r="AF4" s="175"/>
      <c r="AG4" s="175"/>
      <c r="AH4" s="176"/>
      <c r="AI4" s="149"/>
      <c r="AJ4" s="1"/>
      <c r="AK4" s="1"/>
      <c r="AL4" s="54"/>
      <c r="AM4" s="1"/>
      <c r="AN4" s="43"/>
      <c r="AO4" s="1"/>
      <c r="AP4" s="1"/>
      <c r="AR4" s="54"/>
      <c r="AS4" s="43"/>
      <c r="AT4" s="1"/>
      <c r="AU4" s="1"/>
      <c r="AV4" s="1"/>
      <c r="AW4" s="54"/>
      <c r="AX4" s="57"/>
      <c r="AY4" s="54"/>
      <c r="AZ4" s="54"/>
      <c r="BA4" s="99"/>
      <c r="BB4" s="54"/>
      <c r="BC4" s="57"/>
      <c r="BD4" s="1"/>
      <c r="BE4" s="1"/>
      <c r="BF4" s="1"/>
      <c r="BG4" s="54"/>
      <c r="BH4" s="43"/>
      <c r="BI4" s="54"/>
      <c r="BJ4" s="55"/>
      <c r="BK4" s="55"/>
      <c r="BL4" s="54"/>
      <c r="BM4" s="56"/>
      <c r="BN4" s="56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43"/>
      <c r="EA4" s="29"/>
      <c r="EB4" s="12"/>
      <c r="EC4" s="12"/>
      <c r="ED4" s="12"/>
      <c r="EE4" s="12"/>
      <c r="EF4" s="12"/>
      <c r="EG4" s="146"/>
      <c r="EH4" s="146"/>
      <c r="EI4" s="146"/>
      <c r="EJ4" s="146"/>
      <c r="EK4" s="146"/>
      <c r="EL4" s="146"/>
      <c r="EM4" s="146"/>
      <c r="EN4" s="146"/>
      <c r="EO4" s="146"/>
      <c r="EP4" s="146"/>
      <c r="EQ4" s="146"/>
      <c r="ER4" s="146"/>
      <c r="ES4" s="146"/>
      <c r="ET4" s="146"/>
      <c r="EU4" s="146"/>
      <c r="EV4" s="146"/>
      <c r="EW4" s="146"/>
      <c r="EX4" s="146"/>
      <c r="FC4" s="144"/>
      <c r="FD4" s="144"/>
      <c r="FE4" s="144"/>
      <c r="FF4" s="144"/>
      <c r="FG4" s="144"/>
      <c r="FH4" s="144"/>
      <c r="FI4" s="144"/>
      <c r="FJ4" s="144"/>
      <c r="FK4" s="144"/>
      <c r="FL4" s="144"/>
      <c r="FM4" s="144"/>
      <c r="FN4" s="144"/>
      <c r="FO4" s="144"/>
      <c r="FP4" s="138"/>
      <c r="FQ4" s="20"/>
      <c r="FR4" s="20"/>
      <c r="FS4" s="20"/>
      <c r="FT4" s="20"/>
      <c r="FU4" s="20"/>
    </row>
    <row r="5" spans="1:177" s="13" customFormat="1" ht="12.6" customHeight="1" x14ac:dyDescent="0.25">
      <c r="A5" s="177">
        <v>115</v>
      </c>
      <c r="B5" s="180">
        <v>1</v>
      </c>
      <c r="C5" s="14">
        <f>A5-A38-1</f>
        <v>10</v>
      </c>
      <c r="D5" s="14">
        <f>A5-A107-1</f>
        <v>33</v>
      </c>
      <c r="E5" s="14">
        <f>A5-A68-1</f>
        <v>20</v>
      </c>
      <c r="F5" s="14">
        <f>A5-A56-1</f>
        <v>16</v>
      </c>
      <c r="G5" s="14">
        <f>A5-A20-1</f>
        <v>4</v>
      </c>
      <c r="H5" s="14">
        <f>A5-A38-1</f>
        <v>10</v>
      </c>
      <c r="I5" s="44"/>
      <c r="J5" s="156">
        <f>A5-A35-1</f>
        <v>9</v>
      </c>
      <c r="K5" s="44"/>
      <c r="M5" s="44"/>
      <c r="N5" s="6">
        <v>1</v>
      </c>
      <c r="O5" s="6">
        <v>2</v>
      </c>
      <c r="P5" s="6">
        <v>3</v>
      </c>
      <c r="Q5" s="6">
        <v>4</v>
      </c>
      <c r="R5" s="6">
        <v>5</v>
      </c>
      <c r="S5" s="4">
        <v>6</v>
      </c>
      <c r="T5" s="4">
        <v>7</v>
      </c>
      <c r="U5" s="4">
        <v>8</v>
      </c>
      <c r="V5" s="4">
        <v>9</v>
      </c>
      <c r="W5" s="70">
        <v>10</v>
      </c>
      <c r="X5" s="44"/>
      <c r="Y5" s="6">
        <v>1</v>
      </c>
      <c r="Z5" s="6">
        <v>2</v>
      </c>
      <c r="AA5" s="6">
        <v>3</v>
      </c>
      <c r="AB5" s="6">
        <v>4</v>
      </c>
      <c r="AC5" s="4">
        <v>5</v>
      </c>
      <c r="AD5" s="4">
        <v>6</v>
      </c>
      <c r="AE5" s="4">
        <v>7</v>
      </c>
      <c r="AF5" s="168">
        <v>8</v>
      </c>
      <c r="AG5" s="6">
        <v>9</v>
      </c>
      <c r="AH5" s="70">
        <v>10</v>
      </c>
      <c r="AI5" s="149"/>
      <c r="AJ5" s="1"/>
      <c r="AK5" s="1"/>
      <c r="AL5" s="54"/>
      <c r="AM5" s="1"/>
      <c r="AN5" s="43"/>
      <c r="AO5" s="1"/>
      <c r="AP5" s="1"/>
      <c r="AR5" s="54"/>
      <c r="AS5" s="43"/>
      <c r="AT5" s="1"/>
      <c r="AU5" s="1"/>
      <c r="AV5" s="1"/>
      <c r="AW5" s="54"/>
      <c r="AX5" s="57"/>
      <c r="AY5" s="54"/>
      <c r="AZ5" s="54"/>
      <c r="BA5" s="54"/>
      <c r="BB5" s="54"/>
      <c r="BC5" s="57"/>
      <c r="BD5" s="1"/>
      <c r="BE5" s="1"/>
      <c r="BF5" s="1"/>
      <c r="BG5" s="54"/>
      <c r="BH5" s="43"/>
      <c r="BI5" s="54"/>
      <c r="BJ5" s="55"/>
      <c r="BK5" s="55"/>
      <c r="BL5" s="54"/>
      <c r="BM5" s="56"/>
      <c r="BN5" s="56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43"/>
      <c r="EA5" s="29"/>
      <c r="EB5" s="12"/>
      <c r="EC5" s="12"/>
      <c r="ED5" s="12"/>
      <c r="EE5" s="12"/>
      <c r="EF5" s="12"/>
      <c r="EG5" s="146"/>
      <c r="EH5" s="146"/>
      <c r="EI5" s="146"/>
      <c r="EJ5" s="146"/>
      <c r="EK5" s="146"/>
      <c r="EL5" s="146"/>
      <c r="EM5" s="146"/>
      <c r="EN5" s="146"/>
      <c r="EO5" s="146"/>
      <c r="EP5" s="146"/>
      <c r="EQ5" s="146"/>
      <c r="ER5" s="146"/>
      <c r="ES5" s="146"/>
      <c r="ET5" s="146"/>
      <c r="EU5" s="146"/>
      <c r="EV5" s="146"/>
      <c r="EW5" s="146"/>
      <c r="EX5" s="146"/>
      <c r="FC5" s="144"/>
      <c r="FD5" s="144"/>
      <c r="FE5" s="144"/>
      <c r="FF5" s="144"/>
      <c r="FG5" s="144"/>
      <c r="FH5" s="144"/>
      <c r="FI5" s="144"/>
      <c r="FJ5" s="144"/>
      <c r="FK5" s="144"/>
      <c r="FL5" s="144"/>
      <c r="FM5" s="144"/>
      <c r="FN5" s="144"/>
      <c r="FO5" s="144"/>
      <c r="FP5" s="138"/>
      <c r="FQ5" s="20"/>
      <c r="FR5" s="20"/>
      <c r="FS5" s="20"/>
      <c r="FT5" s="20"/>
      <c r="FU5" s="20"/>
    </row>
    <row r="6" spans="1:177" s="13" customFormat="1" ht="12.6" customHeight="1" x14ac:dyDescent="0.25">
      <c r="A6" s="178"/>
      <c r="B6" s="180"/>
      <c r="C6" s="114">
        <v>6</v>
      </c>
      <c r="D6" s="115">
        <v>39</v>
      </c>
      <c r="E6" s="115">
        <v>41</v>
      </c>
      <c r="F6" s="115">
        <v>59</v>
      </c>
      <c r="G6" s="115">
        <v>70</v>
      </c>
      <c r="H6" s="115">
        <v>89</v>
      </c>
      <c r="I6" s="44"/>
      <c r="J6" s="125">
        <v>21</v>
      </c>
      <c r="K6" s="44"/>
      <c r="L6" s="159">
        <v>46155</v>
      </c>
      <c r="M6" s="44"/>
      <c r="N6" s="6">
        <v>11</v>
      </c>
      <c r="O6" s="6">
        <v>12</v>
      </c>
      <c r="P6" s="6">
        <v>13</v>
      </c>
      <c r="Q6" s="4">
        <v>14</v>
      </c>
      <c r="R6" s="4">
        <v>15</v>
      </c>
      <c r="S6" s="4">
        <v>16</v>
      </c>
      <c r="T6" s="79">
        <v>17</v>
      </c>
      <c r="U6" s="82">
        <v>18</v>
      </c>
      <c r="V6" s="4">
        <v>19</v>
      </c>
      <c r="W6" s="6">
        <v>20</v>
      </c>
      <c r="X6" s="44"/>
      <c r="Y6" s="6">
        <v>11</v>
      </c>
      <c r="Z6" s="4">
        <v>12</v>
      </c>
      <c r="AA6" s="6">
        <v>13</v>
      </c>
      <c r="AB6" s="4">
        <v>14</v>
      </c>
      <c r="AC6" s="4">
        <v>15</v>
      </c>
      <c r="AD6" s="4">
        <v>16</v>
      </c>
      <c r="AE6" s="4">
        <v>17</v>
      </c>
      <c r="AF6" s="4">
        <v>18</v>
      </c>
      <c r="AG6" s="6">
        <v>19</v>
      </c>
      <c r="AH6" s="6">
        <v>20</v>
      </c>
      <c r="AI6" s="149"/>
      <c r="AJ6" s="1"/>
      <c r="AK6" s="1"/>
      <c r="AL6" s="54"/>
      <c r="AM6" s="1"/>
      <c r="AN6" s="43"/>
      <c r="AO6" s="1"/>
      <c r="AP6" s="1"/>
      <c r="AR6" s="54"/>
      <c r="AS6" s="43"/>
      <c r="AT6" s="1"/>
      <c r="AU6" s="1"/>
      <c r="AV6" s="1"/>
      <c r="AW6" s="54"/>
      <c r="AX6" s="57"/>
      <c r="AY6" s="54"/>
      <c r="AZ6" s="54"/>
      <c r="BA6" s="126"/>
      <c r="BB6" s="54"/>
      <c r="BC6" s="57"/>
      <c r="BD6" s="1"/>
      <c r="BE6" s="1"/>
      <c r="BF6" s="1"/>
      <c r="BG6" s="54"/>
      <c r="BH6" s="43"/>
      <c r="BI6" s="54"/>
      <c r="BJ6" s="55"/>
      <c r="BK6" s="55"/>
      <c r="BL6" s="54"/>
      <c r="BM6" s="56"/>
      <c r="BN6" s="56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43"/>
      <c r="EA6" s="29"/>
      <c r="EB6" s="12"/>
      <c r="EC6" s="12"/>
      <c r="ED6" s="12"/>
      <c r="EE6" s="12"/>
      <c r="EF6" s="12"/>
      <c r="EG6" s="146"/>
      <c r="EH6" s="146"/>
      <c r="EI6" s="146"/>
      <c r="EJ6" s="146"/>
      <c r="EK6" s="146"/>
      <c r="EL6" s="146"/>
      <c r="EM6" s="146"/>
      <c r="EN6" s="146"/>
      <c r="EO6" s="146"/>
      <c r="EP6" s="146"/>
      <c r="EQ6" s="146"/>
      <c r="ER6" s="146"/>
      <c r="ES6" s="146"/>
      <c r="ET6" s="146"/>
      <c r="EU6" s="146"/>
      <c r="EV6" s="146"/>
      <c r="EW6" s="146"/>
      <c r="EX6" s="146"/>
      <c r="FC6" s="144"/>
      <c r="FD6" s="144"/>
      <c r="FE6" s="144"/>
      <c r="FF6" s="144"/>
      <c r="FG6" s="144"/>
      <c r="FH6" s="144"/>
      <c r="FI6" s="144"/>
      <c r="FJ6" s="144"/>
      <c r="FK6" s="144"/>
      <c r="FL6" s="144"/>
      <c r="FM6" s="144"/>
      <c r="FN6" s="144"/>
      <c r="FO6" s="144"/>
      <c r="FP6" s="138"/>
      <c r="FQ6" s="20"/>
      <c r="FR6" s="20"/>
      <c r="FS6" s="20"/>
      <c r="FT6" s="20"/>
      <c r="FU6" s="20"/>
    </row>
    <row r="7" spans="1:177" s="13" customFormat="1" ht="13.2" customHeight="1" x14ac:dyDescent="0.25">
      <c r="A7" s="179"/>
      <c r="B7" s="180"/>
      <c r="C7" s="10">
        <f>D40+1</f>
        <v>15</v>
      </c>
      <c r="D7" s="10">
        <f>G109+1</f>
        <v>11</v>
      </c>
      <c r="E7" s="10">
        <f>F70+1</f>
        <v>13</v>
      </c>
      <c r="F7" s="10">
        <f>F58+1</f>
        <v>8</v>
      </c>
      <c r="G7" s="10">
        <f>G22+1</f>
        <v>10</v>
      </c>
      <c r="H7" s="10">
        <f>J40+1</f>
        <v>10</v>
      </c>
      <c r="I7" s="44"/>
      <c r="J7" s="156">
        <f>J37+1</f>
        <v>6</v>
      </c>
      <c r="K7" s="44"/>
      <c r="L7" s="159"/>
      <c r="M7" s="44"/>
      <c r="N7" s="6">
        <v>21</v>
      </c>
      <c r="O7" s="6">
        <v>22</v>
      </c>
      <c r="P7" s="6">
        <v>23</v>
      </c>
      <c r="Q7" s="4">
        <v>24</v>
      </c>
      <c r="R7" s="79">
        <v>25</v>
      </c>
      <c r="S7" s="4">
        <v>26</v>
      </c>
      <c r="T7" s="4">
        <v>27</v>
      </c>
      <c r="U7" s="79">
        <v>28</v>
      </c>
      <c r="V7" s="4">
        <v>29</v>
      </c>
      <c r="W7" s="70">
        <v>30</v>
      </c>
      <c r="X7" s="44"/>
      <c r="Y7" s="6">
        <v>21</v>
      </c>
      <c r="Z7" s="6">
        <v>22</v>
      </c>
      <c r="AA7" s="6">
        <v>23</v>
      </c>
      <c r="AB7" s="6">
        <v>24</v>
      </c>
      <c r="AC7" s="6">
        <v>25</v>
      </c>
      <c r="AD7" s="6">
        <v>26</v>
      </c>
      <c r="AE7" s="6">
        <v>27</v>
      </c>
      <c r="AF7" s="4">
        <v>28</v>
      </c>
      <c r="AG7" s="4">
        <v>29</v>
      </c>
      <c r="AH7" s="41">
        <v>30</v>
      </c>
      <c r="AI7" s="149"/>
      <c r="AJ7" s="1"/>
      <c r="AK7" s="1"/>
      <c r="AL7" s="54"/>
      <c r="AM7" s="1"/>
      <c r="AN7" s="43"/>
      <c r="AO7" s="1"/>
      <c r="AP7" s="1"/>
      <c r="AR7" s="54"/>
      <c r="AS7" s="43"/>
      <c r="AT7" s="1"/>
      <c r="AU7" s="1"/>
      <c r="AV7" s="1"/>
      <c r="AW7" s="54"/>
      <c r="AX7" s="57"/>
      <c r="AY7" s="54"/>
      <c r="AZ7" s="54"/>
      <c r="BA7" s="99"/>
      <c r="BB7" s="54"/>
      <c r="BC7" s="57"/>
      <c r="BD7" s="1"/>
      <c r="BE7" s="1"/>
      <c r="BF7" s="1"/>
      <c r="BG7" s="54"/>
      <c r="BH7" s="43"/>
      <c r="BI7" s="54"/>
      <c r="BJ7" s="55"/>
      <c r="BK7" s="55"/>
      <c r="BL7" s="54"/>
      <c r="BM7" s="56"/>
      <c r="BN7" s="56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43"/>
      <c r="EA7" s="29"/>
      <c r="EB7" s="12"/>
      <c r="EC7" s="12"/>
      <c r="ED7" s="12"/>
      <c r="EE7" s="12"/>
      <c r="EF7" s="12"/>
      <c r="EG7" s="146"/>
      <c r="EH7" s="146"/>
      <c r="EI7" s="146"/>
      <c r="EJ7" s="146"/>
      <c r="EK7" s="146"/>
      <c r="EL7" s="146"/>
      <c r="EM7" s="146"/>
      <c r="EN7" s="146"/>
      <c r="EO7" s="146"/>
      <c r="EP7" s="146"/>
      <c r="EQ7" s="146"/>
      <c r="ER7" s="146"/>
      <c r="ES7" s="146"/>
      <c r="ET7" s="146"/>
      <c r="EU7" s="146"/>
      <c r="EV7" s="146"/>
      <c r="EW7" s="146"/>
      <c r="EX7" s="146"/>
      <c r="FC7" s="144"/>
      <c r="FD7" s="144"/>
      <c r="FE7" s="144"/>
      <c r="FF7" s="144"/>
      <c r="FG7" s="144"/>
      <c r="FH7" s="144"/>
      <c r="FI7" s="144"/>
      <c r="FJ7" s="144"/>
      <c r="FK7" s="144"/>
      <c r="FL7" s="144"/>
      <c r="FM7" s="144"/>
      <c r="FN7" s="144"/>
      <c r="FO7" s="144"/>
      <c r="FP7" s="138"/>
      <c r="FQ7" s="20"/>
      <c r="FR7" s="20"/>
      <c r="FS7" s="20"/>
      <c r="FT7" s="20"/>
      <c r="FU7" s="20"/>
    </row>
    <row r="8" spans="1:177" s="13" customFormat="1" ht="12.6" customHeight="1" x14ac:dyDescent="0.25">
      <c r="A8" s="177">
        <v>114</v>
      </c>
      <c r="B8" s="180">
        <v>2</v>
      </c>
      <c r="C8" s="14">
        <f>A8-A14-1</f>
        <v>1</v>
      </c>
      <c r="D8" s="14">
        <f>A8-A164-1</f>
        <v>51</v>
      </c>
      <c r="E8" s="14">
        <f>A8-A23-1</f>
        <v>4</v>
      </c>
      <c r="F8" s="14">
        <f>A8-A32-1</f>
        <v>7</v>
      </c>
      <c r="G8" s="14">
        <f>A8-A11-1</f>
        <v>0</v>
      </c>
      <c r="H8" s="14">
        <f>A8-A26-1</f>
        <v>5</v>
      </c>
      <c r="I8" s="44"/>
      <c r="J8" s="156">
        <f>A8-A44-1</f>
        <v>11</v>
      </c>
      <c r="K8" s="44"/>
      <c r="M8" s="44"/>
      <c r="N8" s="6">
        <v>31</v>
      </c>
      <c r="O8" s="6">
        <v>32</v>
      </c>
      <c r="P8" s="6">
        <v>33</v>
      </c>
      <c r="Q8" s="4">
        <v>34</v>
      </c>
      <c r="R8" s="4">
        <v>35</v>
      </c>
      <c r="S8" s="82">
        <v>36</v>
      </c>
      <c r="T8" s="4">
        <v>37</v>
      </c>
      <c r="U8" s="82">
        <v>38</v>
      </c>
      <c r="V8" s="4">
        <v>39</v>
      </c>
      <c r="W8" s="70">
        <v>40</v>
      </c>
      <c r="X8" s="44"/>
      <c r="Y8" s="4">
        <v>31</v>
      </c>
      <c r="Z8" s="4">
        <v>32</v>
      </c>
      <c r="AA8" s="4">
        <v>33</v>
      </c>
      <c r="AB8" s="6">
        <v>34</v>
      </c>
      <c r="AC8" s="6">
        <v>8</v>
      </c>
      <c r="AD8" s="4">
        <v>36</v>
      </c>
      <c r="AE8" s="6">
        <v>37</v>
      </c>
      <c r="AF8" s="4">
        <v>38</v>
      </c>
      <c r="AG8" s="6">
        <v>39</v>
      </c>
      <c r="AH8" s="41">
        <v>40</v>
      </c>
      <c r="AI8" s="149"/>
      <c r="AJ8" s="1"/>
      <c r="AK8" s="1"/>
      <c r="AL8" s="54"/>
      <c r="AM8" s="1"/>
      <c r="AN8" s="43"/>
      <c r="AO8" s="1"/>
      <c r="AP8" s="1"/>
      <c r="AR8" s="54"/>
      <c r="AS8" s="43"/>
      <c r="AT8" s="1"/>
      <c r="AU8" s="1"/>
      <c r="AV8" s="1"/>
      <c r="AW8" s="54"/>
      <c r="AX8" s="57"/>
      <c r="AY8" s="54"/>
      <c r="AZ8" s="54"/>
      <c r="BA8" s="54"/>
      <c r="BB8" s="54"/>
      <c r="BC8" s="57"/>
      <c r="BD8" s="1"/>
      <c r="BE8" s="1"/>
      <c r="BF8" s="1"/>
      <c r="BG8" s="54"/>
      <c r="BH8" s="43"/>
      <c r="BI8" s="54"/>
      <c r="BJ8" s="55"/>
      <c r="BK8" s="55"/>
      <c r="BL8" s="54"/>
      <c r="BM8" s="56"/>
      <c r="BN8" s="56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43"/>
      <c r="EA8" s="29"/>
      <c r="EB8" s="12"/>
      <c r="EC8" s="12"/>
      <c r="ED8" s="12"/>
      <c r="EE8" s="12"/>
      <c r="EF8" s="12"/>
      <c r="EG8" s="146"/>
      <c r="EH8" s="146"/>
      <c r="EI8" s="146"/>
      <c r="EJ8" s="146"/>
      <c r="EK8" s="146"/>
      <c r="EL8" s="146"/>
      <c r="EM8" s="146"/>
      <c r="EN8" s="146"/>
      <c r="EO8" s="146"/>
      <c r="EP8" s="146"/>
      <c r="EQ8" s="146"/>
      <c r="ER8" s="146"/>
      <c r="ES8" s="146"/>
      <c r="ET8" s="146"/>
      <c r="EU8" s="146"/>
      <c r="EV8" s="146"/>
      <c r="EW8" s="146"/>
      <c r="EX8" s="146"/>
      <c r="FC8" s="144"/>
      <c r="FD8" s="144"/>
      <c r="FE8" s="144"/>
      <c r="FF8" s="144"/>
      <c r="FG8" s="144"/>
      <c r="FH8" s="144"/>
      <c r="FI8" s="144"/>
      <c r="FJ8" s="144"/>
      <c r="FK8" s="144"/>
      <c r="FL8" s="144"/>
      <c r="FM8" s="144"/>
      <c r="FN8" s="144"/>
      <c r="FO8" s="144"/>
      <c r="FP8" s="138"/>
      <c r="FQ8" s="20"/>
      <c r="FR8" s="20"/>
      <c r="FS8" s="20"/>
      <c r="FT8" s="20"/>
      <c r="FU8" s="20"/>
    </row>
    <row r="9" spans="1:177" s="13" customFormat="1" ht="12.6" customHeight="1" x14ac:dyDescent="0.25">
      <c r="A9" s="178"/>
      <c r="B9" s="180"/>
      <c r="C9" s="114">
        <v>18</v>
      </c>
      <c r="D9" s="115">
        <v>36</v>
      </c>
      <c r="E9" s="115">
        <v>38</v>
      </c>
      <c r="F9" s="115">
        <v>48</v>
      </c>
      <c r="G9" s="115">
        <v>53</v>
      </c>
      <c r="H9" s="115">
        <v>81</v>
      </c>
      <c r="I9" s="44"/>
      <c r="J9" s="115">
        <v>74</v>
      </c>
      <c r="K9" s="44"/>
      <c r="L9" s="159">
        <v>46153</v>
      </c>
      <c r="M9" s="44"/>
      <c r="N9" s="6">
        <v>41</v>
      </c>
      <c r="O9" s="4">
        <v>42</v>
      </c>
      <c r="P9" s="4">
        <v>43</v>
      </c>
      <c r="Q9" s="4">
        <v>44</v>
      </c>
      <c r="R9" s="4">
        <v>45</v>
      </c>
      <c r="S9" s="4">
        <v>46</v>
      </c>
      <c r="T9" s="4">
        <v>47</v>
      </c>
      <c r="U9" s="82">
        <v>48</v>
      </c>
      <c r="V9" s="4">
        <v>49</v>
      </c>
      <c r="W9" s="70">
        <v>50</v>
      </c>
      <c r="X9" s="44"/>
      <c r="Y9" s="6">
        <v>41</v>
      </c>
      <c r="Z9" s="4">
        <v>42</v>
      </c>
      <c r="AA9" s="6">
        <v>43</v>
      </c>
      <c r="AB9" s="4">
        <v>44</v>
      </c>
      <c r="AC9" s="6">
        <v>45</v>
      </c>
      <c r="AD9" s="6">
        <v>46</v>
      </c>
      <c r="AE9" s="6">
        <v>47</v>
      </c>
      <c r="AF9" s="4">
        <v>48</v>
      </c>
      <c r="AG9" s="4">
        <v>49</v>
      </c>
      <c r="AH9" s="41">
        <v>50</v>
      </c>
      <c r="AI9" s="149"/>
      <c r="AJ9" s="1"/>
      <c r="AK9" s="1"/>
      <c r="AL9" s="54"/>
      <c r="AM9" s="1"/>
      <c r="AN9" s="43"/>
      <c r="AO9" s="1"/>
      <c r="AP9" s="1"/>
      <c r="AR9" s="54"/>
      <c r="AS9" s="43"/>
      <c r="AT9" s="1"/>
      <c r="AU9" s="1"/>
      <c r="AV9" s="1"/>
      <c r="AW9" s="54"/>
      <c r="AX9" s="57"/>
      <c r="AY9" s="54"/>
      <c r="AZ9" s="54"/>
      <c r="BA9" s="126"/>
      <c r="BB9" s="54"/>
      <c r="BC9" s="57"/>
      <c r="BD9" s="1"/>
      <c r="BE9" s="1"/>
      <c r="BF9" s="1"/>
      <c r="BG9" s="54"/>
      <c r="BH9" s="43"/>
      <c r="BI9" s="54"/>
      <c r="BJ9" s="55"/>
      <c r="BK9" s="55"/>
      <c r="BL9" s="54"/>
      <c r="BM9" s="56"/>
      <c r="BN9" s="56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43"/>
      <c r="EA9" s="29"/>
      <c r="EB9" s="12"/>
      <c r="EC9" s="12"/>
      <c r="ED9" s="12"/>
      <c r="EE9" s="12"/>
      <c r="EF9" s="12"/>
      <c r="EG9" s="146"/>
      <c r="EH9" s="146"/>
      <c r="EI9" s="146"/>
      <c r="EJ9" s="146"/>
      <c r="EK9" s="146"/>
      <c r="EL9" s="146"/>
      <c r="EM9" s="146"/>
      <c r="EN9" s="146"/>
      <c r="EO9" s="146"/>
      <c r="EP9" s="146"/>
      <c r="EQ9" s="146"/>
      <c r="ER9" s="146"/>
      <c r="ES9" s="146"/>
      <c r="ET9" s="146"/>
      <c r="EU9" s="146"/>
      <c r="EV9" s="146"/>
      <c r="EW9" s="146"/>
      <c r="EX9" s="146"/>
      <c r="FC9" s="144"/>
      <c r="FD9" s="144"/>
      <c r="FE9" s="144"/>
      <c r="FF9" s="144"/>
      <c r="FG9" s="144"/>
      <c r="FH9" s="144"/>
      <c r="FI9" s="144"/>
      <c r="FJ9" s="144"/>
      <c r="FK9" s="144"/>
      <c r="FL9" s="144"/>
      <c r="FM9" s="144"/>
      <c r="FN9" s="144"/>
      <c r="FO9" s="144"/>
      <c r="FP9" s="138"/>
      <c r="FQ9" s="20"/>
      <c r="FR9" s="20"/>
      <c r="FS9" s="20"/>
      <c r="FT9" s="20"/>
      <c r="FU9" s="20"/>
    </row>
    <row r="10" spans="1:177" s="13" customFormat="1" ht="13.2" customHeight="1" x14ac:dyDescent="0.25">
      <c r="A10" s="179"/>
      <c r="B10" s="180"/>
      <c r="C10" s="10">
        <f>C16+1</f>
        <v>9</v>
      </c>
      <c r="D10" s="10">
        <f>J166+1</f>
        <v>10</v>
      </c>
      <c r="E10" s="10">
        <f>C25+1</f>
        <v>12</v>
      </c>
      <c r="F10" s="10">
        <f>F34+1</f>
        <v>11</v>
      </c>
      <c r="G10" s="10">
        <f>F13+1</f>
        <v>12</v>
      </c>
      <c r="H10" s="10">
        <f>H28+1</f>
        <v>8</v>
      </c>
      <c r="I10" s="44"/>
      <c r="J10" s="156">
        <f>J46+1</f>
        <v>15</v>
      </c>
      <c r="K10" s="44"/>
      <c r="L10" s="159"/>
      <c r="M10" s="44"/>
      <c r="N10" s="6">
        <v>51</v>
      </c>
      <c r="O10" s="4">
        <v>52</v>
      </c>
      <c r="P10" s="79">
        <v>53</v>
      </c>
      <c r="Q10" s="4">
        <v>54</v>
      </c>
      <c r="R10" s="6">
        <v>55</v>
      </c>
      <c r="S10" s="6">
        <v>56</v>
      </c>
      <c r="T10" s="4">
        <v>57</v>
      </c>
      <c r="U10" s="4">
        <v>58</v>
      </c>
      <c r="V10" s="4">
        <v>59</v>
      </c>
      <c r="W10" s="70">
        <v>60</v>
      </c>
      <c r="X10" s="44"/>
      <c r="Y10" s="4">
        <v>51</v>
      </c>
      <c r="Z10" s="4">
        <v>52</v>
      </c>
      <c r="AA10" s="4">
        <v>53</v>
      </c>
      <c r="AB10" s="6">
        <v>54</v>
      </c>
      <c r="AC10" s="168">
        <v>55</v>
      </c>
      <c r="AD10" s="6">
        <v>56</v>
      </c>
      <c r="AE10" s="4">
        <v>57</v>
      </c>
      <c r="AF10" s="4">
        <v>58</v>
      </c>
      <c r="AG10" s="6">
        <v>59</v>
      </c>
      <c r="AH10" s="41">
        <v>60</v>
      </c>
      <c r="AI10" s="149"/>
      <c r="AJ10" s="1"/>
      <c r="AK10" s="1"/>
      <c r="AL10" s="54"/>
      <c r="AM10" s="1"/>
      <c r="AN10" s="43"/>
      <c r="AO10" s="1"/>
      <c r="AP10" s="1"/>
      <c r="AR10" s="54"/>
      <c r="AS10" s="43"/>
      <c r="AT10" s="1"/>
      <c r="AU10" s="1"/>
      <c r="AV10" s="1"/>
      <c r="AW10" s="54"/>
      <c r="AX10" s="57"/>
      <c r="AY10" s="54"/>
      <c r="AZ10" s="54"/>
      <c r="BA10" s="99"/>
      <c r="BB10" s="54"/>
      <c r="BC10" s="57"/>
      <c r="BD10" s="1"/>
      <c r="BE10" s="1"/>
      <c r="BF10" s="1"/>
      <c r="BG10" s="54"/>
      <c r="BH10" s="43"/>
      <c r="BI10" s="54"/>
      <c r="BJ10" s="55"/>
      <c r="BK10" s="55"/>
      <c r="BL10" s="54"/>
      <c r="BM10" s="56"/>
      <c r="BN10" s="56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43"/>
      <c r="EA10" s="29"/>
      <c r="EB10" s="12"/>
      <c r="EC10" s="12"/>
      <c r="ED10" s="12"/>
      <c r="EE10" s="12"/>
      <c r="EF10" s="12"/>
      <c r="EG10" s="146"/>
      <c r="EH10" s="146"/>
      <c r="EI10" s="146"/>
      <c r="EJ10" s="146"/>
      <c r="EK10" s="146"/>
      <c r="EL10" s="146"/>
      <c r="EM10" s="146"/>
      <c r="EN10" s="146"/>
      <c r="EO10" s="146"/>
      <c r="EP10" s="146"/>
      <c r="EQ10" s="146"/>
      <c r="ER10" s="146"/>
      <c r="ES10" s="146"/>
      <c r="ET10" s="146"/>
      <c r="EU10" s="146"/>
      <c r="EV10" s="146"/>
      <c r="EW10" s="146"/>
      <c r="EX10" s="146"/>
      <c r="FC10" s="144"/>
      <c r="FD10" s="144"/>
      <c r="FE10" s="144"/>
      <c r="FF10" s="144"/>
      <c r="FG10" s="144"/>
      <c r="FH10" s="144"/>
      <c r="FI10" s="144"/>
      <c r="FJ10" s="144"/>
      <c r="FK10" s="144"/>
      <c r="FL10" s="144"/>
      <c r="FM10" s="144"/>
      <c r="FN10" s="144"/>
      <c r="FO10" s="144"/>
      <c r="FP10" s="138"/>
      <c r="FQ10" s="20"/>
      <c r="FR10" s="20"/>
      <c r="FS10" s="20"/>
      <c r="FT10" s="20"/>
      <c r="FU10" s="20"/>
    </row>
    <row r="11" spans="1:177" s="13" customFormat="1" ht="12.6" customHeight="1" x14ac:dyDescent="0.25">
      <c r="A11" s="177">
        <v>113</v>
      </c>
      <c r="B11" s="180">
        <v>3</v>
      </c>
      <c r="C11" s="14">
        <f>A11-A32-1</f>
        <v>6</v>
      </c>
      <c r="D11" s="14">
        <f>A11-A176-1</f>
        <v>54</v>
      </c>
      <c r="E11" s="14">
        <f>A11-A35-1</f>
        <v>7</v>
      </c>
      <c r="F11" s="14">
        <f>A11-A35-1</f>
        <v>7</v>
      </c>
      <c r="G11" s="14">
        <f>A11-A14-1</f>
        <v>0</v>
      </c>
      <c r="H11" s="14">
        <f>A11-A122-1</f>
        <v>36</v>
      </c>
      <c r="I11" s="44"/>
      <c r="J11" s="156">
        <f>A11-A29-1</f>
        <v>5</v>
      </c>
      <c r="K11" s="44"/>
      <c r="M11" s="44"/>
      <c r="N11" s="4">
        <v>61</v>
      </c>
      <c r="O11" s="4">
        <v>62</v>
      </c>
      <c r="P11" s="4">
        <v>63</v>
      </c>
      <c r="Q11" s="4">
        <v>64</v>
      </c>
      <c r="R11" s="6">
        <v>65</v>
      </c>
      <c r="S11" s="6">
        <v>66</v>
      </c>
      <c r="T11" s="6">
        <v>67</v>
      </c>
      <c r="U11" s="4">
        <v>68</v>
      </c>
      <c r="V11" s="4">
        <v>69</v>
      </c>
      <c r="W11" s="41">
        <v>70</v>
      </c>
      <c r="X11" s="44"/>
      <c r="Y11" s="4">
        <v>61</v>
      </c>
      <c r="Z11" s="6">
        <v>62</v>
      </c>
      <c r="AA11" s="6">
        <v>63</v>
      </c>
      <c r="AB11" s="6">
        <v>64</v>
      </c>
      <c r="AC11" s="6">
        <v>65</v>
      </c>
      <c r="AD11" s="4">
        <v>66</v>
      </c>
      <c r="AE11" s="6">
        <v>67</v>
      </c>
      <c r="AF11" s="4">
        <v>68</v>
      </c>
      <c r="AG11" s="4">
        <v>69</v>
      </c>
      <c r="AH11" s="70">
        <v>70</v>
      </c>
      <c r="AI11" s="149"/>
      <c r="AJ11" s="88"/>
      <c r="AK11" s="107" t="s">
        <v>81</v>
      </c>
      <c r="AL11" s="90"/>
      <c r="AM11" s="91"/>
      <c r="AN11" s="42"/>
      <c r="AO11" s="87"/>
      <c r="AP11" s="92" t="s">
        <v>9</v>
      </c>
      <c r="AR11" s="93"/>
      <c r="AS11" s="42"/>
      <c r="AT11" s="129"/>
      <c r="AU11" s="130"/>
      <c r="AV11" s="89" t="s">
        <v>7</v>
      </c>
      <c r="AW11" s="131"/>
      <c r="AX11" s="57"/>
      <c r="AY11" s="133"/>
      <c r="AZ11" s="134"/>
      <c r="BA11" s="139" t="s">
        <v>8</v>
      </c>
      <c r="BB11" s="135"/>
      <c r="BC11" s="57"/>
      <c r="BD11" s="136"/>
      <c r="BE11" s="137"/>
      <c r="BF11" s="140" t="s">
        <v>80</v>
      </c>
      <c r="BG11" s="135"/>
      <c r="BH11" s="43"/>
      <c r="DY11" s="43"/>
      <c r="EA11" s="29"/>
      <c r="EB11" s="12"/>
      <c r="EC11" s="12"/>
      <c r="ED11" s="12"/>
      <c r="EE11" s="12"/>
      <c r="EF11" s="12"/>
      <c r="EG11" s="146"/>
      <c r="EH11" s="146"/>
      <c r="EI11" s="146"/>
      <c r="EJ11" s="146"/>
      <c r="EK11" s="146"/>
      <c r="EL11" s="146"/>
      <c r="EM11" s="146"/>
      <c r="EN11" s="146"/>
      <c r="EO11" s="146"/>
      <c r="EP11" s="146"/>
      <c r="EQ11" s="146"/>
      <c r="ER11" s="146"/>
      <c r="ES11" s="146"/>
      <c r="ET11" s="146"/>
      <c r="EU11" s="146"/>
      <c r="EV11" s="146"/>
      <c r="EW11" s="146"/>
      <c r="EX11" s="146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38"/>
      <c r="FQ11" s="20"/>
      <c r="FR11" s="20"/>
      <c r="FS11" s="20"/>
      <c r="FT11" s="20"/>
      <c r="FU11" s="20"/>
    </row>
    <row r="12" spans="1:177" s="13" customFormat="1" ht="12.6" customHeight="1" x14ac:dyDescent="0.25">
      <c r="A12" s="178"/>
      <c r="B12" s="180"/>
      <c r="C12" s="114">
        <v>17</v>
      </c>
      <c r="D12" s="115">
        <v>25</v>
      </c>
      <c r="E12" s="115">
        <v>28</v>
      </c>
      <c r="F12" s="115">
        <v>53</v>
      </c>
      <c r="G12" s="115">
        <v>72</v>
      </c>
      <c r="H12" s="115">
        <v>79</v>
      </c>
      <c r="I12" s="44"/>
      <c r="J12" s="115">
        <v>61</v>
      </c>
      <c r="K12" s="44"/>
      <c r="L12" s="159">
        <v>46151</v>
      </c>
      <c r="M12" s="44"/>
      <c r="N12" s="4">
        <v>71</v>
      </c>
      <c r="O12" s="79">
        <v>72</v>
      </c>
      <c r="P12" s="4">
        <v>73</v>
      </c>
      <c r="Q12" s="6">
        <v>74</v>
      </c>
      <c r="R12" s="6">
        <v>75</v>
      </c>
      <c r="S12" s="6">
        <v>76</v>
      </c>
      <c r="T12" s="6">
        <v>77</v>
      </c>
      <c r="U12" s="4">
        <v>78</v>
      </c>
      <c r="V12" s="79">
        <v>79</v>
      </c>
      <c r="W12" s="41">
        <v>80</v>
      </c>
      <c r="X12" s="44"/>
      <c r="Y12" s="6">
        <v>71</v>
      </c>
      <c r="Z12" s="4">
        <v>72</v>
      </c>
      <c r="AA12" s="6">
        <v>73</v>
      </c>
      <c r="AB12" s="6">
        <v>74</v>
      </c>
      <c r="AC12" s="6">
        <v>75</v>
      </c>
      <c r="AD12" s="6">
        <v>76</v>
      </c>
      <c r="AE12" s="6">
        <v>77</v>
      </c>
      <c r="AF12" s="4">
        <v>78</v>
      </c>
      <c r="AG12" s="168">
        <v>79</v>
      </c>
      <c r="AH12" s="41">
        <v>80</v>
      </c>
      <c r="AI12" s="149"/>
      <c r="AJ12" s="100" t="s">
        <v>1</v>
      </c>
      <c r="AK12" s="100" t="s">
        <v>10</v>
      </c>
      <c r="AL12" s="100" t="s">
        <v>2</v>
      </c>
      <c r="AM12" s="100" t="s">
        <v>3</v>
      </c>
      <c r="AN12" s="101"/>
      <c r="AO12" s="102" t="s">
        <v>1</v>
      </c>
      <c r="AP12" s="100" t="s">
        <v>10</v>
      </c>
      <c r="AQ12" s="100" t="s">
        <v>2</v>
      </c>
      <c r="AR12" s="103" t="s">
        <v>11</v>
      </c>
      <c r="AS12" s="101"/>
      <c r="AT12" s="102" t="s">
        <v>1</v>
      </c>
      <c r="AU12" s="102" t="s">
        <v>10</v>
      </c>
      <c r="AV12" s="100" t="s">
        <v>3</v>
      </c>
      <c r="AW12" s="102" t="s">
        <v>2</v>
      </c>
      <c r="AX12" s="110"/>
      <c r="AY12" s="102" t="s">
        <v>1</v>
      </c>
      <c r="AZ12" s="102" t="s">
        <v>10</v>
      </c>
      <c r="BA12" s="102" t="s">
        <v>11</v>
      </c>
      <c r="BB12" s="102" t="s">
        <v>13</v>
      </c>
      <c r="BC12" s="110"/>
      <c r="BD12" s="100" t="s">
        <v>1</v>
      </c>
      <c r="BE12" s="100" t="s">
        <v>10</v>
      </c>
      <c r="BF12" s="100" t="s">
        <v>11</v>
      </c>
      <c r="BG12" s="102" t="s">
        <v>13</v>
      </c>
      <c r="BH12" s="43"/>
      <c r="DY12" s="43"/>
      <c r="EA12" s="29"/>
      <c r="EB12" s="12"/>
      <c r="EC12" s="12"/>
      <c r="ED12" s="12"/>
      <c r="EE12" s="12"/>
      <c r="EF12" s="12"/>
      <c r="EG12" s="146"/>
      <c r="EH12" s="146"/>
      <c r="EI12" s="146"/>
      <c r="EJ12" s="146"/>
      <c r="EK12" s="146"/>
      <c r="EL12" s="146"/>
      <c r="EM12" s="146"/>
      <c r="EN12" s="146"/>
      <c r="EO12" s="146"/>
      <c r="EP12" s="146"/>
      <c r="EQ12" s="146"/>
      <c r="ER12" s="146"/>
      <c r="ES12" s="146"/>
      <c r="ET12" s="146"/>
      <c r="EU12" s="146"/>
      <c r="EV12" s="146"/>
      <c r="EW12" s="146"/>
      <c r="EX12" s="146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38"/>
      <c r="FQ12" s="20"/>
      <c r="FR12" s="20"/>
      <c r="FS12" s="20"/>
      <c r="FT12" s="20"/>
      <c r="FU12" s="20"/>
    </row>
    <row r="13" spans="1:177" s="13" customFormat="1" ht="13.2" customHeight="1" x14ac:dyDescent="0.25">
      <c r="A13" s="179"/>
      <c r="B13" s="180"/>
      <c r="C13" s="10">
        <f>D34+1</f>
        <v>7</v>
      </c>
      <c r="D13" s="10">
        <f>F178+1</f>
        <v>5</v>
      </c>
      <c r="E13" s="10">
        <f>C37+1</f>
        <v>7</v>
      </c>
      <c r="F13" s="10">
        <f>E37+1</f>
        <v>11</v>
      </c>
      <c r="G13" s="10">
        <f>G16+1</f>
        <v>11</v>
      </c>
      <c r="H13" s="10">
        <f>H124+1</f>
        <v>6</v>
      </c>
      <c r="I13" s="44"/>
      <c r="J13" s="156">
        <f>J31+2</f>
        <v>10</v>
      </c>
      <c r="K13" s="44"/>
      <c r="L13" s="159"/>
      <c r="M13" s="44"/>
      <c r="N13" s="82">
        <v>81</v>
      </c>
      <c r="O13" s="4">
        <v>82</v>
      </c>
      <c r="P13" s="4">
        <v>83</v>
      </c>
      <c r="Q13" s="6">
        <v>84</v>
      </c>
      <c r="R13" s="6">
        <v>85</v>
      </c>
      <c r="S13" s="6">
        <v>86</v>
      </c>
      <c r="T13" s="6">
        <v>87</v>
      </c>
      <c r="U13" s="4">
        <v>88</v>
      </c>
      <c r="V13" s="4">
        <v>89</v>
      </c>
      <c r="W13" s="41">
        <v>90</v>
      </c>
      <c r="X13" s="44"/>
      <c r="Y13" s="6">
        <v>81</v>
      </c>
      <c r="Z13" s="4">
        <v>82</v>
      </c>
      <c r="AA13" s="6">
        <v>83</v>
      </c>
      <c r="AB13" s="6">
        <v>84</v>
      </c>
      <c r="AC13" s="6">
        <v>85</v>
      </c>
      <c r="AD13" s="6">
        <v>86</v>
      </c>
      <c r="AE13" s="6">
        <v>87</v>
      </c>
      <c r="AF13" s="168">
        <v>88</v>
      </c>
      <c r="AG13" s="4">
        <v>89</v>
      </c>
      <c r="AH13" s="70">
        <v>90</v>
      </c>
      <c r="AI13" s="149"/>
      <c r="AJ13" s="104"/>
      <c r="AK13" s="104"/>
      <c r="AL13" s="104" t="s">
        <v>6</v>
      </c>
      <c r="AM13" s="104" t="s">
        <v>4</v>
      </c>
      <c r="AN13" s="101"/>
      <c r="AO13" s="105"/>
      <c r="AP13" s="104"/>
      <c r="AQ13" s="104" t="s">
        <v>6</v>
      </c>
      <c r="AR13" s="106" t="s">
        <v>12</v>
      </c>
      <c r="AS13" s="101"/>
      <c r="AT13" s="105"/>
      <c r="AU13" s="105"/>
      <c r="AV13" s="104" t="s">
        <v>4</v>
      </c>
      <c r="AW13" s="105" t="s">
        <v>6</v>
      </c>
      <c r="AX13" s="110"/>
      <c r="AY13" s="105"/>
      <c r="AZ13" s="105"/>
      <c r="BA13" s="105" t="s">
        <v>12</v>
      </c>
      <c r="BB13" s="105" t="s">
        <v>6</v>
      </c>
      <c r="BC13" s="110"/>
      <c r="BD13" s="104"/>
      <c r="BE13" s="104"/>
      <c r="BF13" s="104" t="s">
        <v>12</v>
      </c>
      <c r="BG13" s="105" t="s">
        <v>6</v>
      </c>
      <c r="BH13" s="43"/>
      <c r="BI13" s="59" t="s">
        <v>69</v>
      </c>
      <c r="BJ13" s="123" t="s">
        <v>5</v>
      </c>
      <c r="BK13" s="59" t="s">
        <v>5</v>
      </c>
      <c r="BL13" s="59" t="s">
        <v>16</v>
      </c>
      <c r="BM13" s="59" t="s">
        <v>15</v>
      </c>
      <c r="BN13" s="60" t="s">
        <v>14</v>
      </c>
      <c r="BO13" s="61" t="s">
        <v>18</v>
      </c>
      <c r="BP13" s="62" t="s">
        <v>17</v>
      </c>
      <c r="BQ13" s="61" t="s">
        <v>19</v>
      </c>
      <c r="BR13" s="62" t="s">
        <v>20</v>
      </c>
      <c r="BS13" s="61" t="s">
        <v>21</v>
      </c>
      <c r="BT13" s="62" t="s">
        <v>22</v>
      </c>
      <c r="BU13" s="61" t="s">
        <v>23</v>
      </c>
      <c r="BV13" s="62" t="s">
        <v>24</v>
      </c>
      <c r="BW13" s="61" t="s">
        <v>25</v>
      </c>
      <c r="BX13" s="62" t="s">
        <v>26</v>
      </c>
      <c r="BY13" s="61" t="s">
        <v>27</v>
      </c>
      <c r="BZ13" s="62" t="s">
        <v>28</v>
      </c>
      <c r="CA13" s="61" t="s">
        <v>29</v>
      </c>
      <c r="CB13" s="62" t="s">
        <v>30</v>
      </c>
      <c r="CC13" s="61" t="s">
        <v>31</v>
      </c>
      <c r="CD13" s="62" t="s">
        <v>32</v>
      </c>
      <c r="CE13" s="61" t="s">
        <v>33</v>
      </c>
      <c r="CF13" s="62" t="s">
        <v>34</v>
      </c>
      <c r="CG13" s="61" t="s">
        <v>35</v>
      </c>
      <c r="CH13" s="62" t="s">
        <v>36</v>
      </c>
      <c r="CI13" s="61" t="s">
        <v>37</v>
      </c>
      <c r="CJ13" s="62" t="s">
        <v>38</v>
      </c>
      <c r="CK13" s="61" t="s">
        <v>39</v>
      </c>
      <c r="CL13" s="62" t="s">
        <v>40</v>
      </c>
      <c r="CM13" s="61" t="s">
        <v>41</v>
      </c>
      <c r="CN13" s="62" t="s">
        <v>42</v>
      </c>
      <c r="CO13" s="61" t="s">
        <v>43</v>
      </c>
      <c r="CP13" s="62" t="s">
        <v>44</v>
      </c>
      <c r="CQ13" s="61" t="s">
        <v>45</v>
      </c>
      <c r="CR13" s="62" t="s">
        <v>46</v>
      </c>
      <c r="CS13" s="61" t="s">
        <v>47</v>
      </c>
      <c r="CT13" s="62" t="s">
        <v>48</v>
      </c>
      <c r="CU13" s="61" t="s">
        <v>49</v>
      </c>
      <c r="CV13" s="62" t="s">
        <v>50</v>
      </c>
      <c r="CW13" s="61" t="s">
        <v>51</v>
      </c>
      <c r="CX13" s="62" t="s">
        <v>52</v>
      </c>
      <c r="CY13" s="61" t="s">
        <v>53</v>
      </c>
      <c r="CZ13" s="62" t="s">
        <v>54</v>
      </c>
      <c r="DA13" s="61" t="s">
        <v>55</v>
      </c>
      <c r="DB13" s="62" t="s">
        <v>56</v>
      </c>
      <c r="DC13" s="61" t="s">
        <v>57</v>
      </c>
      <c r="DD13" s="62" t="s">
        <v>58</v>
      </c>
      <c r="DE13" s="61" t="s">
        <v>59</v>
      </c>
      <c r="DF13" s="62" t="s">
        <v>60</v>
      </c>
      <c r="DG13" s="61" t="s">
        <v>61</v>
      </c>
      <c r="DH13" s="62" t="s">
        <v>62</v>
      </c>
      <c r="DI13" s="61" t="s">
        <v>63</v>
      </c>
      <c r="DJ13" s="62" t="s">
        <v>64</v>
      </c>
      <c r="DK13" s="61" t="s">
        <v>65</v>
      </c>
      <c r="DL13" s="62" t="s">
        <v>66</v>
      </c>
      <c r="DM13" s="61" t="s">
        <v>67</v>
      </c>
      <c r="DN13" s="62" t="s">
        <v>68</v>
      </c>
      <c r="DO13" s="61" t="s">
        <v>70</v>
      </c>
      <c r="DP13" s="62" t="s">
        <v>71</v>
      </c>
      <c r="DQ13" s="61" t="s">
        <v>72</v>
      </c>
      <c r="DR13" s="62" t="s">
        <v>73</v>
      </c>
      <c r="DS13" s="61" t="s">
        <v>74</v>
      </c>
      <c r="DT13" s="62" t="s">
        <v>75</v>
      </c>
      <c r="DU13" s="61" t="s">
        <v>76</v>
      </c>
      <c r="DV13" s="62" t="s">
        <v>77</v>
      </c>
      <c r="DW13" s="61" t="s">
        <v>78</v>
      </c>
      <c r="DX13" s="62" t="s">
        <v>79</v>
      </c>
      <c r="DY13" s="43"/>
      <c r="EA13" s="29"/>
      <c r="EB13" s="12"/>
      <c r="EC13" s="12"/>
      <c r="ED13" s="12"/>
      <c r="EE13" s="12"/>
      <c r="EF13" s="12"/>
      <c r="EG13" s="146"/>
      <c r="EH13" s="146"/>
      <c r="EI13" s="146"/>
      <c r="EJ13" s="146"/>
      <c r="EK13" s="146"/>
      <c r="EL13" s="146"/>
      <c r="EM13" s="146"/>
      <c r="EN13" s="146"/>
      <c r="EO13" s="146"/>
      <c r="EP13" s="146"/>
      <c r="EQ13" s="146"/>
      <c r="ER13" s="146"/>
      <c r="ES13" s="146"/>
      <c r="ET13" s="146"/>
      <c r="EU13" s="146"/>
      <c r="EV13" s="146"/>
      <c r="EW13" s="146"/>
      <c r="EX13" s="146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38"/>
      <c r="FQ13" s="20"/>
      <c r="FR13" s="20"/>
      <c r="FS13" s="20"/>
      <c r="FT13" s="20"/>
      <c r="FU13" s="20"/>
    </row>
    <row r="14" spans="1:177" s="13" customFormat="1" ht="12.6" customHeight="1" x14ac:dyDescent="0.25">
      <c r="A14" s="177">
        <v>112</v>
      </c>
      <c r="B14" s="180">
        <v>4</v>
      </c>
      <c r="C14" s="14">
        <f>A14-A98-1</f>
        <v>27</v>
      </c>
      <c r="D14" s="14">
        <f>A14-A47-1</f>
        <v>10</v>
      </c>
      <c r="E14" s="14">
        <f>A14-A47-1</f>
        <v>10</v>
      </c>
      <c r="F14" s="14">
        <f>A14-A53-1</f>
        <v>12</v>
      </c>
      <c r="G14" s="14">
        <f>A14-A56-1</f>
        <v>13</v>
      </c>
      <c r="H14" s="14">
        <f>A14-A17-1</f>
        <v>0</v>
      </c>
      <c r="I14" s="44"/>
      <c r="J14" s="156">
        <f>A14-A53-1</f>
        <v>12</v>
      </c>
      <c r="K14" s="44"/>
      <c r="M14" s="44"/>
      <c r="X14" s="44"/>
      <c r="AI14" s="149"/>
      <c r="AJ14" s="9">
        <v>45</v>
      </c>
      <c r="AK14" s="19">
        <v>82</v>
      </c>
      <c r="AL14" s="85">
        <v>46123</v>
      </c>
      <c r="AM14" s="19">
        <v>14</v>
      </c>
      <c r="AN14" s="42"/>
      <c r="AO14" s="54">
        <v>17</v>
      </c>
      <c r="AP14" s="19">
        <v>36</v>
      </c>
      <c r="AQ14" s="85">
        <v>46151</v>
      </c>
      <c r="AR14" s="19">
        <v>2</v>
      </c>
      <c r="AS14" s="42"/>
      <c r="AT14" s="112">
        <v>6</v>
      </c>
      <c r="AU14" s="112">
        <v>65</v>
      </c>
      <c r="AV14" s="108" t="s">
        <v>0</v>
      </c>
      <c r="AW14" s="132">
        <v>46155</v>
      </c>
      <c r="AX14" s="111"/>
      <c r="AY14" s="112">
        <v>54</v>
      </c>
      <c r="AZ14" s="112">
        <v>43</v>
      </c>
      <c r="BA14" s="112">
        <v>66</v>
      </c>
      <c r="BB14" s="132">
        <v>46001</v>
      </c>
      <c r="BC14" s="111"/>
      <c r="BD14" s="108">
        <v>2</v>
      </c>
      <c r="BE14" s="108">
        <v>53</v>
      </c>
      <c r="BF14" s="108">
        <v>14</v>
      </c>
      <c r="BG14" s="132">
        <v>46123</v>
      </c>
      <c r="BH14" s="43"/>
      <c r="BI14" s="53">
        <v>46069</v>
      </c>
      <c r="BJ14" s="64">
        <v>1</v>
      </c>
      <c r="BK14" s="71">
        <v>1</v>
      </c>
      <c r="BL14" s="77">
        <v>37</v>
      </c>
      <c r="BM14" s="77">
        <v>67</v>
      </c>
      <c r="BN14" s="72">
        <v>5</v>
      </c>
      <c r="BO14" s="73">
        <v>7</v>
      </c>
      <c r="BP14" s="73">
        <v>3</v>
      </c>
      <c r="BQ14" s="73">
        <v>5</v>
      </c>
      <c r="BR14" s="73">
        <v>1</v>
      </c>
      <c r="BS14" s="73">
        <v>3</v>
      </c>
      <c r="BT14" s="73">
        <v>3</v>
      </c>
      <c r="BU14" s="73">
        <v>1</v>
      </c>
      <c r="BV14" s="73">
        <v>2</v>
      </c>
      <c r="BW14" s="73">
        <v>3</v>
      </c>
      <c r="BX14" s="73">
        <v>2</v>
      </c>
      <c r="BY14" s="73">
        <v>1</v>
      </c>
      <c r="BZ14" s="73">
        <v>2</v>
      </c>
      <c r="CA14" s="73"/>
      <c r="CB14" s="73">
        <v>3</v>
      </c>
      <c r="CC14" s="73">
        <v>1</v>
      </c>
      <c r="CD14" s="73"/>
      <c r="CE14" s="73">
        <v>1</v>
      </c>
      <c r="CF14" s="73">
        <v>2</v>
      </c>
      <c r="CG14" s="73">
        <v>2</v>
      </c>
      <c r="CH14" s="73">
        <v>3</v>
      </c>
      <c r="CI14" s="73">
        <v>1</v>
      </c>
      <c r="CJ14" s="73">
        <v>2</v>
      </c>
      <c r="CK14" s="73"/>
      <c r="CL14" s="73">
        <v>3</v>
      </c>
      <c r="CM14" s="73"/>
      <c r="CN14" s="73"/>
      <c r="CO14" s="73"/>
      <c r="CP14" s="73"/>
      <c r="CQ14" s="73"/>
      <c r="CR14" s="73">
        <v>1</v>
      </c>
      <c r="CS14" s="73"/>
      <c r="CT14" s="73"/>
      <c r="CU14" s="73"/>
      <c r="CV14" s="73"/>
      <c r="CW14" s="73"/>
      <c r="CX14" s="73">
        <v>1</v>
      </c>
      <c r="CY14" s="73"/>
      <c r="CZ14" s="73"/>
      <c r="DA14" s="73"/>
      <c r="DB14" s="73">
        <v>1</v>
      </c>
      <c r="DC14" s="73">
        <v>1</v>
      </c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>
        <v>2</v>
      </c>
      <c r="DY14" s="43"/>
      <c r="EA14" s="29"/>
      <c r="EB14" s="12"/>
      <c r="EC14" s="12"/>
      <c r="ED14" s="12"/>
      <c r="EE14" s="12"/>
      <c r="EF14" s="12"/>
      <c r="EG14" s="146"/>
      <c r="EH14" s="146"/>
      <c r="EI14" s="146"/>
      <c r="EJ14" s="146"/>
      <c r="EK14" s="146"/>
      <c r="EL14" s="146"/>
      <c r="EM14" s="146"/>
      <c r="EN14" s="146"/>
      <c r="EO14" s="146"/>
      <c r="EP14" s="146"/>
      <c r="EQ14" s="146"/>
      <c r="ER14" s="146"/>
      <c r="ES14" s="146"/>
      <c r="ET14" s="146"/>
      <c r="EU14" s="146"/>
      <c r="EV14" s="146"/>
      <c r="EW14" s="146"/>
      <c r="EX14" s="146"/>
      <c r="FC14" s="144"/>
      <c r="FD14" s="144"/>
      <c r="FE14" s="144"/>
      <c r="FF14" s="144"/>
      <c r="FG14" s="144"/>
      <c r="FH14" s="144"/>
      <c r="FI14" s="144"/>
      <c r="FJ14" s="144"/>
      <c r="FK14" s="144"/>
      <c r="FL14" s="144"/>
      <c r="FM14" s="144"/>
      <c r="FN14" s="144"/>
      <c r="FO14" s="144"/>
      <c r="FP14" s="138"/>
      <c r="FQ14" s="20"/>
      <c r="FR14" s="20"/>
      <c r="FS14" s="20"/>
      <c r="FT14" s="20"/>
      <c r="FU14" s="20"/>
    </row>
    <row r="15" spans="1:177" s="13" customFormat="1" ht="12.6" customHeight="1" x14ac:dyDescent="0.25">
      <c r="A15" s="178"/>
      <c r="B15" s="180"/>
      <c r="C15" s="114">
        <v>18</v>
      </c>
      <c r="D15" s="115">
        <v>30</v>
      </c>
      <c r="E15" s="115">
        <v>50</v>
      </c>
      <c r="F15" s="115">
        <v>55</v>
      </c>
      <c r="G15" s="115">
        <v>72</v>
      </c>
      <c r="H15" s="115">
        <v>82</v>
      </c>
      <c r="I15" s="44"/>
      <c r="J15" s="115">
        <v>40</v>
      </c>
      <c r="K15" s="44"/>
      <c r="L15" s="159">
        <v>46148</v>
      </c>
      <c r="M15" s="44"/>
      <c r="X15" s="44"/>
      <c r="AI15" s="149"/>
      <c r="AJ15" s="9">
        <v>87</v>
      </c>
      <c r="AK15" s="19">
        <v>80</v>
      </c>
      <c r="AL15" s="85">
        <v>46144</v>
      </c>
      <c r="AM15" s="19">
        <v>5</v>
      </c>
      <c r="AN15" s="42"/>
      <c r="AO15" s="54">
        <v>54</v>
      </c>
      <c r="AP15" s="19">
        <v>43</v>
      </c>
      <c r="AQ15" s="85">
        <v>46001</v>
      </c>
      <c r="AR15" s="19">
        <v>66</v>
      </c>
      <c r="AS15" s="42"/>
      <c r="AT15" s="112">
        <v>39</v>
      </c>
      <c r="AU15" s="112">
        <v>51</v>
      </c>
      <c r="AV15" s="108" t="s">
        <v>0</v>
      </c>
      <c r="AW15" s="132">
        <v>46155</v>
      </c>
      <c r="AX15" s="111"/>
      <c r="AY15" s="112">
        <v>85</v>
      </c>
      <c r="AZ15" s="112">
        <v>47</v>
      </c>
      <c r="BA15" s="112">
        <v>58</v>
      </c>
      <c r="BB15" s="132">
        <v>46020</v>
      </c>
      <c r="BC15" s="111"/>
      <c r="BD15" s="108">
        <v>3</v>
      </c>
      <c r="BE15" s="108">
        <v>62</v>
      </c>
      <c r="BF15" s="108">
        <v>5</v>
      </c>
      <c r="BG15" s="132">
        <v>46144</v>
      </c>
      <c r="BH15" s="43"/>
      <c r="BI15" s="53">
        <v>46123</v>
      </c>
      <c r="BJ15" s="64">
        <v>2</v>
      </c>
      <c r="BK15" s="65">
        <v>2</v>
      </c>
      <c r="BL15" s="63">
        <v>14</v>
      </c>
      <c r="BM15" s="63">
        <v>53</v>
      </c>
      <c r="BN15" s="64">
        <v>12</v>
      </c>
      <c r="BO15" s="68">
        <v>2</v>
      </c>
      <c r="BP15" s="68">
        <v>4</v>
      </c>
      <c r="BQ15" s="68">
        <v>3</v>
      </c>
      <c r="BR15" s="68">
        <v>1</v>
      </c>
      <c r="BS15" s="68">
        <v>3</v>
      </c>
      <c r="BT15" s="68">
        <v>3</v>
      </c>
      <c r="BU15" s="68">
        <v>1</v>
      </c>
      <c r="BV15" s="68">
        <v>3</v>
      </c>
      <c r="BW15" s="68">
        <v>2</v>
      </c>
      <c r="BX15" s="68">
        <v>2</v>
      </c>
      <c r="BY15" s="68">
        <v>3</v>
      </c>
      <c r="BZ15" s="68"/>
      <c r="CA15" s="68">
        <v>1</v>
      </c>
      <c r="CB15" s="68">
        <v>1</v>
      </c>
      <c r="CC15" s="68">
        <v>1</v>
      </c>
      <c r="CD15" s="68">
        <v>5</v>
      </c>
      <c r="CE15" s="68">
        <v>1</v>
      </c>
      <c r="CF15" s="68">
        <v>1</v>
      </c>
      <c r="CG15" s="68"/>
      <c r="CH15" s="68">
        <v>1</v>
      </c>
      <c r="CI15" s="68">
        <v>2</v>
      </c>
      <c r="CJ15" s="68">
        <v>1</v>
      </c>
      <c r="CK15" s="68">
        <v>1</v>
      </c>
      <c r="CL15" s="68"/>
      <c r="CM15" s="68"/>
      <c r="CN15" s="68">
        <v>2</v>
      </c>
      <c r="CO15" s="68">
        <v>1</v>
      </c>
      <c r="CP15" s="68"/>
      <c r="CQ15" s="68"/>
      <c r="CR15" s="68"/>
      <c r="CS15" s="68"/>
      <c r="CT15" s="68"/>
      <c r="CU15" s="68">
        <v>1</v>
      </c>
      <c r="CV15" s="68"/>
      <c r="CW15" s="68"/>
      <c r="CX15" s="68"/>
      <c r="CY15" s="68"/>
      <c r="CZ15" s="68"/>
      <c r="DA15" s="68">
        <v>1</v>
      </c>
      <c r="DB15" s="68"/>
      <c r="DC15" s="68"/>
      <c r="DD15" s="68"/>
      <c r="DE15" s="68"/>
      <c r="DF15" s="68">
        <v>1</v>
      </c>
      <c r="DG15" s="68"/>
      <c r="DH15" s="68">
        <v>1</v>
      </c>
      <c r="DI15" s="68"/>
      <c r="DJ15" s="68"/>
      <c r="DK15" s="68"/>
      <c r="DL15" s="68">
        <v>1</v>
      </c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>
        <v>1</v>
      </c>
      <c r="DY15" s="43"/>
      <c r="EA15" s="29"/>
      <c r="EB15" s="12"/>
      <c r="EC15" s="12"/>
      <c r="ED15" s="12"/>
      <c r="EE15" s="12"/>
      <c r="EF15" s="12"/>
      <c r="EG15" s="146"/>
      <c r="EH15" s="146"/>
      <c r="EI15" s="146"/>
      <c r="EJ15" s="146"/>
      <c r="EK15" s="146"/>
      <c r="EL15" s="146"/>
      <c r="EM15" s="146"/>
      <c r="EN15" s="146"/>
      <c r="EO15" s="146"/>
      <c r="EP15" s="146"/>
      <c r="EQ15" s="146"/>
      <c r="ER15" s="146"/>
      <c r="ES15" s="146"/>
      <c r="ET15" s="146"/>
      <c r="EU15" s="146"/>
      <c r="EV15" s="146"/>
      <c r="EW15" s="146"/>
      <c r="EX15" s="146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38"/>
      <c r="FQ15" s="20"/>
      <c r="FR15" s="20"/>
      <c r="FS15" s="20"/>
      <c r="FT15" s="20"/>
      <c r="FU15" s="20"/>
    </row>
    <row r="16" spans="1:177" s="13" customFormat="1" ht="13.2" customHeight="1" x14ac:dyDescent="0.25">
      <c r="A16" s="179"/>
      <c r="B16" s="180"/>
      <c r="C16" s="10">
        <f>C100+1</f>
        <v>8</v>
      </c>
      <c r="D16" s="10">
        <f>E49+1</f>
        <v>8</v>
      </c>
      <c r="E16" s="10">
        <f>G49+1</f>
        <v>11</v>
      </c>
      <c r="F16" s="10">
        <f>F55+1</f>
        <v>9</v>
      </c>
      <c r="G16" s="10">
        <f>G58+1</f>
        <v>10</v>
      </c>
      <c r="H16" s="10">
        <f>H19+1</f>
        <v>14</v>
      </c>
      <c r="I16" s="44"/>
      <c r="J16" s="156">
        <f>C55+1</f>
        <v>12</v>
      </c>
      <c r="K16" s="44"/>
      <c r="L16" s="159"/>
      <c r="M16" s="44"/>
      <c r="X16" s="44"/>
      <c r="Y16" s="174">
        <v>46155</v>
      </c>
      <c r="Z16" s="175"/>
      <c r="AA16" s="175"/>
      <c r="AB16" s="175"/>
      <c r="AC16" s="175"/>
      <c r="AD16" s="175"/>
      <c r="AE16" s="175"/>
      <c r="AF16" s="175"/>
      <c r="AG16" s="175"/>
      <c r="AH16" s="176"/>
      <c r="AI16" s="149"/>
      <c r="AJ16" s="9">
        <v>71</v>
      </c>
      <c r="AK16" s="19">
        <v>79</v>
      </c>
      <c r="AL16" s="85">
        <v>46102</v>
      </c>
      <c r="AM16" s="19">
        <v>23</v>
      </c>
      <c r="AN16" s="42"/>
      <c r="AO16" s="54">
        <v>51</v>
      </c>
      <c r="AP16" s="19">
        <v>46</v>
      </c>
      <c r="AQ16" s="85">
        <v>46055</v>
      </c>
      <c r="AR16" s="19">
        <v>43</v>
      </c>
      <c r="AS16" s="42"/>
      <c r="AT16" s="112">
        <v>41</v>
      </c>
      <c r="AU16" s="112">
        <v>66</v>
      </c>
      <c r="AV16" s="108" t="s">
        <v>0</v>
      </c>
      <c r="AW16" s="132">
        <v>46155</v>
      </c>
      <c r="AX16" s="111"/>
      <c r="AY16" s="112">
        <v>51</v>
      </c>
      <c r="AZ16" s="112">
        <v>46</v>
      </c>
      <c r="BA16" s="112">
        <v>43</v>
      </c>
      <c r="BB16" s="132">
        <v>46055</v>
      </c>
      <c r="BC16" s="111"/>
      <c r="BD16" s="108">
        <v>5</v>
      </c>
      <c r="BE16" s="108">
        <v>67</v>
      </c>
      <c r="BF16" s="108">
        <v>15</v>
      </c>
      <c r="BG16" s="132">
        <v>46120</v>
      </c>
      <c r="BH16" s="43"/>
      <c r="BI16" s="53">
        <v>46144</v>
      </c>
      <c r="BJ16" s="64">
        <v>3</v>
      </c>
      <c r="BK16" s="71">
        <v>3</v>
      </c>
      <c r="BL16" s="77">
        <v>5</v>
      </c>
      <c r="BM16" s="77">
        <v>62</v>
      </c>
      <c r="BN16" s="72">
        <v>9</v>
      </c>
      <c r="BO16" s="73">
        <v>3</v>
      </c>
      <c r="BP16" s="73">
        <v>4</v>
      </c>
      <c r="BQ16" s="73">
        <v>3</v>
      </c>
      <c r="BR16" s="73">
        <v>2</v>
      </c>
      <c r="BS16" s="73">
        <v>1</v>
      </c>
      <c r="BT16" s="73">
        <v>3</v>
      </c>
      <c r="BU16" s="73"/>
      <c r="BV16" s="73">
        <v>3</v>
      </c>
      <c r="BW16" s="73">
        <v>2</v>
      </c>
      <c r="BX16" s="73">
        <v>2</v>
      </c>
      <c r="BY16" s="73">
        <v>3</v>
      </c>
      <c r="BZ16" s="73">
        <v>1</v>
      </c>
      <c r="CA16" s="73">
        <v>1</v>
      </c>
      <c r="CB16" s="73">
        <v>2</v>
      </c>
      <c r="CC16" s="73"/>
      <c r="CD16" s="73">
        <v>2</v>
      </c>
      <c r="CE16" s="73">
        <v>1</v>
      </c>
      <c r="CF16" s="73">
        <v>3</v>
      </c>
      <c r="CG16" s="73"/>
      <c r="CH16" s="73">
        <v>1</v>
      </c>
      <c r="CI16" s="73">
        <v>1</v>
      </c>
      <c r="CJ16" s="73">
        <v>1</v>
      </c>
      <c r="CK16" s="73"/>
      <c r="CL16" s="73"/>
      <c r="CM16" s="73">
        <v>1</v>
      </c>
      <c r="CN16" s="73"/>
      <c r="CO16" s="73"/>
      <c r="CP16" s="73">
        <v>1</v>
      </c>
      <c r="CQ16" s="73"/>
      <c r="CR16" s="73"/>
      <c r="CS16" s="73"/>
      <c r="CT16" s="73"/>
      <c r="CU16" s="73">
        <v>1</v>
      </c>
      <c r="CV16" s="73"/>
      <c r="CW16" s="73">
        <v>1</v>
      </c>
      <c r="CX16" s="73"/>
      <c r="CY16" s="73"/>
      <c r="CZ16" s="73"/>
      <c r="DA16" s="73"/>
      <c r="DB16" s="73">
        <v>1</v>
      </c>
      <c r="DC16" s="73"/>
      <c r="DD16" s="73"/>
      <c r="DE16" s="73"/>
      <c r="DF16" s="73"/>
      <c r="DG16" s="73">
        <v>1</v>
      </c>
      <c r="DH16" s="73"/>
      <c r="DI16" s="73"/>
      <c r="DJ16" s="73"/>
      <c r="DK16" s="73"/>
      <c r="DL16" s="73"/>
      <c r="DM16" s="73"/>
      <c r="DN16" s="73">
        <v>1</v>
      </c>
      <c r="DO16" s="73">
        <v>1</v>
      </c>
      <c r="DP16" s="73">
        <v>1</v>
      </c>
      <c r="DQ16" s="73"/>
      <c r="DR16" s="73"/>
      <c r="DS16" s="73"/>
      <c r="DT16" s="73"/>
      <c r="DU16" s="73"/>
      <c r="DV16" s="73"/>
      <c r="DW16" s="73"/>
      <c r="DX16" s="73">
        <v>1</v>
      </c>
      <c r="DY16" s="43"/>
      <c r="EA16" s="29"/>
      <c r="EB16" s="12"/>
      <c r="EC16" s="12"/>
      <c r="ED16" s="12"/>
      <c r="EE16" s="12"/>
      <c r="EF16" s="12"/>
      <c r="EG16" s="146"/>
      <c r="EH16" s="146"/>
      <c r="EI16" s="146"/>
      <c r="EJ16" s="146"/>
      <c r="EK16" s="146"/>
      <c r="EL16" s="146"/>
      <c r="EM16" s="146"/>
      <c r="EN16" s="146"/>
      <c r="EO16" s="146"/>
      <c r="EP16" s="146"/>
      <c r="EQ16" s="146"/>
      <c r="ER16" s="146"/>
      <c r="ES16" s="146"/>
      <c r="ET16" s="146"/>
      <c r="EU16" s="146"/>
      <c r="EV16" s="146"/>
      <c r="EW16" s="146"/>
      <c r="EX16" s="146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38"/>
      <c r="FQ16" s="20"/>
      <c r="FR16" s="20"/>
      <c r="FS16" s="20"/>
      <c r="FT16" s="20"/>
      <c r="FU16" s="20"/>
    </row>
    <row r="17" spans="1:177" s="13" customFormat="1" ht="12.6" customHeight="1" x14ac:dyDescent="0.25">
      <c r="A17" s="177">
        <v>111</v>
      </c>
      <c r="B17" s="180">
        <v>5</v>
      </c>
      <c r="C17" s="14">
        <f>A17-A65-1</f>
        <v>15</v>
      </c>
      <c r="D17" s="14">
        <f>A17-A32-1</f>
        <v>4</v>
      </c>
      <c r="E17" s="14">
        <f>A17-A26-1</f>
        <v>2</v>
      </c>
      <c r="F17" s="14">
        <f>A17-A20-1</f>
        <v>0</v>
      </c>
      <c r="G17" s="14">
        <f>A17-A95-1</f>
        <v>25</v>
      </c>
      <c r="H17" s="14">
        <f>A17-A56-1</f>
        <v>12</v>
      </c>
      <c r="I17" s="44"/>
      <c r="J17" s="156">
        <f>A17-A110-1</f>
        <v>30</v>
      </c>
      <c r="K17" s="44"/>
      <c r="M17" s="44"/>
      <c r="X17" s="44"/>
      <c r="Y17" s="119">
        <v>1</v>
      </c>
      <c r="Z17" s="119">
        <v>2</v>
      </c>
      <c r="AA17" s="119">
        <v>3</v>
      </c>
      <c r="AB17" s="119">
        <v>4</v>
      </c>
      <c r="AC17" s="119">
        <v>5</v>
      </c>
      <c r="AD17" s="165">
        <v>6</v>
      </c>
      <c r="AE17" s="119">
        <v>7</v>
      </c>
      <c r="AF17" s="119">
        <v>8</v>
      </c>
      <c r="AG17" s="119">
        <v>9</v>
      </c>
      <c r="AH17" s="154">
        <v>10</v>
      </c>
      <c r="AI17" s="149"/>
      <c r="AJ17" s="9">
        <v>60</v>
      </c>
      <c r="AK17" s="19">
        <v>73</v>
      </c>
      <c r="AL17" s="85">
        <v>46146</v>
      </c>
      <c r="AM17" s="19">
        <v>4</v>
      </c>
      <c r="AN17" s="42"/>
      <c r="AO17" s="54">
        <v>85</v>
      </c>
      <c r="AP17" s="19">
        <v>47</v>
      </c>
      <c r="AQ17" s="85">
        <v>46020</v>
      </c>
      <c r="AR17" s="19">
        <v>58</v>
      </c>
      <c r="AS17" s="42"/>
      <c r="AT17" s="112">
        <v>59</v>
      </c>
      <c r="AU17" s="112">
        <v>57</v>
      </c>
      <c r="AV17" s="108" t="s">
        <v>0</v>
      </c>
      <c r="AW17" s="132">
        <v>46155</v>
      </c>
      <c r="AX17" s="111"/>
      <c r="AY17" s="112">
        <v>73</v>
      </c>
      <c r="AZ17" s="112">
        <v>57</v>
      </c>
      <c r="BA17" s="112">
        <v>39</v>
      </c>
      <c r="BB17" s="132">
        <v>46064</v>
      </c>
      <c r="BC17" s="111"/>
      <c r="BD17" s="108">
        <v>7</v>
      </c>
      <c r="BE17" s="108">
        <v>64</v>
      </c>
      <c r="BF17" s="108">
        <v>4</v>
      </c>
      <c r="BG17" s="132">
        <v>46146</v>
      </c>
      <c r="BH17" s="43"/>
      <c r="BI17" s="53">
        <v>46127</v>
      </c>
      <c r="BJ17" s="64">
        <v>4</v>
      </c>
      <c r="BK17" s="66">
        <v>4</v>
      </c>
      <c r="BL17" s="64">
        <v>12</v>
      </c>
      <c r="BM17" s="64">
        <v>56</v>
      </c>
      <c r="BN17" s="64">
        <v>14</v>
      </c>
      <c r="BO17" s="68">
        <v>1</v>
      </c>
      <c r="BP17" s="68">
        <v>3</v>
      </c>
      <c r="BQ17" s="68">
        <v>2</v>
      </c>
      <c r="BR17" s="68">
        <v>5</v>
      </c>
      <c r="BS17" s="68">
        <v>5</v>
      </c>
      <c r="BT17" s="68">
        <v>3</v>
      </c>
      <c r="BU17" s="68">
        <v>2</v>
      </c>
      <c r="BV17" s="68">
        <v>3</v>
      </c>
      <c r="BW17" s="68">
        <v>4</v>
      </c>
      <c r="BX17" s="68"/>
      <c r="BY17" s="68">
        <v>2</v>
      </c>
      <c r="BZ17" s="68"/>
      <c r="CA17" s="68"/>
      <c r="CB17" s="68">
        <v>1</v>
      </c>
      <c r="CC17" s="68">
        <v>1</v>
      </c>
      <c r="CD17" s="68"/>
      <c r="CE17" s="68">
        <v>2</v>
      </c>
      <c r="CF17" s="68"/>
      <c r="CG17" s="68"/>
      <c r="CH17" s="68">
        <v>1</v>
      </c>
      <c r="CI17" s="68"/>
      <c r="CJ17" s="68">
        <v>1</v>
      </c>
      <c r="CK17" s="68"/>
      <c r="CL17" s="68"/>
      <c r="CM17" s="68">
        <v>1</v>
      </c>
      <c r="CN17" s="68"/>
      <c r="CO17" s="68">
        <v>1</v>
      </c>
      <c r="CP17" s="68"/>
      <c r="CQ17" s="68"/>
      <c r="CR17" s="68">
        <v>1</v>
      </c>
      <c r="CS17" s="68">
        <v>1</v>
      </c>
      <c r="CT17" s="68"/>
      <c r="CU17" s="68"/>
      <c r="CV17" s="68"/>
      <c r="CW17" s="68">
        <v>1</v>
      </c>
      <c r="CX17" s="68"/>
      <c r="CY17" s="68"/>
      <c r="CZ17" s="68">
        <v>1</v>
      </c>
      <c r="DA17" s="68"/>
      <c r="DB17" s="68"/>
      <c r="DC17" s="68">
        <v>1</v>
      </c>
      <c r="DD17" s="68"/>
      <c r="DE17" s="68"/>
      <c r="DF17" s="68"/>
      <c r="DG17" s="68"/>
      <c r="DH17" s="68"/>
      <c r="DI17" s="68"/>
      <c r="DJ17" s="68"/>
      <c r="DK17" s="68">
        <v>1</v>
      </c>
      <c r="DL17" s="68"/>
      <c r="DM17" s="68"/>
      <c r="DN17" s="68">
        <v>1</v>
      </c>
      <c r="DO17" s="68">
        <v>1</v>
      </c>
      <c r="DP17" s="68"/>
      <c r="DQ17" s="68"/>
      <c r="DR17" s="68"/>
      <c r="DS17" s="68"/>
      <c r="DT17" s="68"/>
      <c r="DU17" s="68"/>
      <c r="DV17" s="68"/>
      <c r="DW17" s="68"/>
      <c r="DX17" s="68">
        <v>2</v>
      </c>
      <c r="DY17" s="43"/>
      <c r="EA17" s="29"/>
      <c r="EB17" s="12"/>
      <c r="EC17" s="12"/>
      <c r="ED17" s="12"/>
      <c r="EE17" s="12"/>
      <c r="EF17" s="12"/>
      <c r="EG17" s="146"/>
      <c r="EH17" s="146"/>
      <c r="EI17" s="146"/>
      <c r="EJ17" s="146"/>
      <c r="EK17" s="146"/>
      <c r="EL17" s="146"/>
      <c r="EM17" s="146"/>
      <c r="EN17" s="146"/>
      <c r="EO17" s="146"/>
      <c r="EP17" s="146"/>
      <c r="EQ17" s="146"/>
      <c r="ER17" s="146"/>
      <c r="ES17" s="146"/>
      <c r="ET17" s="146"/>
      <c r="EU17" s="146"/>
      <c r="EV17" s="146"/>
      <c r="EW17" s="146"/>
      <c r="EX17" s="146"/>
      <c r="FC17" s="144"/>
      <c r="FD17" s="144"/>
      <c r="FE17" s="144"/>
      <c r="FF17" s="144"/>
      <c r="FG17" s="144"/>
      <c r="FH17" s="144"/>
      <c r="FI17" s="144"/>
      <c r="FJ17" s="144"/>
      <c r="FK17" s="144"/>
      <c r="FL17" s="144"/>
      <c r="FM17" s="144"/>
      <c r="FN17" s="144"/>
      <c r="FO17" s="144"/>
      <c r="FP17" s="138"/>
      <c r="FQ17" s="20"/>
      <c r="FR17" s="20"/>
      <c r="FS17" s="20"/>
      <c r="FT17" s="20"/>
      <c r="FU17" s="20"/>
    </row>
    <row r="18" spans="1:177" s="13" customFormat="1" ht="12.6" customHeight="1" x14ac:dyDescent="0.25">
      <c r="A18" s="178"/>
      <c r="B18" s="180"/>
      <c r="C18" s="114">
        <v>7</v>
      </c>
      <c r="D18" s="115">
        <v>12</v>
      </c>
      <c r="E18" s="115">
        <v>35</v>
      </c>
      <c r="F18" s="115">
        <v>47</v>
      </c>
      <c r="G18" s="115">
        <v>60</v>
      </c>
      <c r="H18" s="115">
        <v>82</v>
      </c>
      <c r="I18" s="44"/>
      <c r="J18" s="115">
        <v>15</v>
      </c>
      <c r="K18" s="44"/>
      <c r="L18" s="159">
        <v>46146</v>
      </c>
      <c r="M18" s="44"/>
      <c r="X18" s="44"/>
      <c r="Y18" s="119">
        <v>11</v>
      </c>
      <c r="Z18" s="119">
        <v>12</v>
      </c>
      <c r="AA18" s="119">
        <v>13</v>
      </c>
      <c r="AB18" s="119">
        <v>14</v>
      </c>
      <c r="AC18" s="119">
        <v>15</v>
      </c>
      <c r="AD18" s="119">
        <v>16</v>
      </c>
      <c r="AE18" s="166">
        <v>17</v>
      </c>
      <c r="AF18" s="164">
        <v>18</v>
      </c>
      <c r="AG18" s="119">
        <v>19</v>
      </c>
      <c r="AH18" s="119">
        <v>20</v>
      </c>
      <c r="AI18" s="149"/>
      <c r="AJ18" s="9">
        <v>62</v>
      </c>
      <c r="AK18" s="19">
        <v>73</v>
      </c>
      <c r="AL18" s="85">
        <v>46144</v>
      </c>
      <c r="AM18" s="19">
        <v>5</v>
      </c>
      <c r="AN18" s="42"/>
      <c r="AO18" s="54">
        <v>10</v>
      </c>
      <c r="AP18" s="19">
        <v>48</v>
      </c>
      <c r="AQ18" s="85">
        <v>46137</v>
      </c>
      <c r="AR18" s="19">
        <v>8</v>
      </c>
      <c r="AS18" s="42"/>
      <c r="AT18" s="112">
        <v>70</v>
      </c>
      <c r="AU18" s="112">
        <v>52</v>
      </c>
      <c r="AV18" s="108" t="s">
        <v>0</v>
      </c>
      <c r="AW18" s="132">
        <v>46155</v>
      </c>
      <c r="AX18" s="111"/>
      <c r="AY18" s="112">
        <v>15</v>
      </c>
      <c r="AZ18" s="112">
        <v>61</v>
      </c>
      <c r="BA18" s="112">
        <v>38</v>
      </c>
      <c r="BB18" s="132">
        <v>46067</v>
      </c>
      <c r="BC18" s="111"/>
      <c r="BD18" s="108">
        <v>11</v>
      </c>
      <c r="BE18" s="108">
        <v>56</v>
      </c>
      <c r="BF18" s="108">
        <v>7</v>
      </c>
      <c r="BG18" s="132">
        <v>46139</v>
      </c>
      <c r="BH18" s="43"/>
      <c r="BI18" s="53">
        <v>46120</v>
      </c>
      <c r="BJ18" s="64">
        <v>5</v>
      </c>
      <c r="BK18" s="71">
        <v>5</v>
      </c>
      <c r="BL18" s="77">
        <v>15</v>
      </c>
      <c r="BM18" s="77">
        <v>67</v>
      </c>
      <c r="BN18" s="72">
        <v>10</v>
      </c>
      <c r="BO18" s="73">
        <v>0</v>
      </c>
      <c r="BP18" s="73">
        <v>5</v>
      </c>
      <c r="BQ18" s="73">
        <v>7</v>
      </c>
      <c r="BR18" s="73">
        <v>4</v>
      </c>
      <c r="BS18" s="73">
        <v>6</v>
      </c>
      <c r="BT18" s="73">
        <v>3</v>
      </c>
      <c r="BU18" s="73">
        <v>1</v>
      </c>
      <c r="BV18" s="73">
        <v>2</v>
      </c>
      <c r="BW18" s="73">
        <v>1</v>
      </c>
      <c r="BX18" s="73">
        <v>1</v>
      </c>
      <c r="BY18" s="73">
        <v>2</v>
      </c>
      <c r="BZ18" s="73">
        <v>3</v>
      </c>
      <c r="CA18" s="73">
        <v>2</v>
      </c>
      <c r="CB18" s="73">
        <v>2</v>
      </c>
      <c r="CC18" s="73">
        <v>2</v>
      </c>
      <c r="CD18" s="73"/>
      <c r="CE18" s="73"/>
      <c r="CF18" s="73">
        <v>3</v>
      </c>
      <c r="CG18" s="73"/>
      <c r="CH18" s="73">
        <v>1</v>
      </c>
      <c r="CI18" s="73">
        <v>3</v>
      </c>
      <c r="CJ18" s="73">
        <v>2</v>
      </c>
      <c r="CK18" s="73">
        <v>2</v>
      </c>
      <c r="CL18" s="73"/>
      <c r="CM18" s="73"/>
      <c r="CN18" s="73">
        <v>1</v>
      </c>
      <c r="CO18" s="73">
        <v>1</v>
      </c>
      <c r="CP18" s="73"/>
      <c r="CQ18" s="73"/>
      <c r="CR18" s="73"/>
      <c r="CS18" s="73"/>
      <c r="CT18" s="73"/>
      <c r="CU18" s="73">
        <v>1</v>
      </c>
      <c r="CV18" s="73"/>
      <c r="CW18" s="73"/>
      <c r="CX18" s="73"/>
      <c r="CY18" s="73">
        <v>1</v>
      </c>
      <c r="CZ18" s="73"/>
      <c r="DA18" s="73">
        <v>1</v>
      </c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>
        <v>1</v>
      </c>
      <c r="DN18" s="73"/>
      <c r="DO18" s="73"/>
      <c r="DP18" s="73">
        <v>1</v>
      </c>
      <c r="DQ18" s="73"/>
      <c r="DR18" s="73"/>
      <c r="DS18" s="73"/>
      <c r="DT18" s="73"/>
      <c r="DU18" s="73"/>
      <c r="DV18" s="73"/>
      <c r="DW18" s="73"/>
      <c r="DX18" s="73"/>
      <c r="DY18" s="43"/>
      <c r="EA18" s="29"/>
      <c r="EB18" s="12"/>
      <c r="EC18" s="12"/>
      <c r="ED18" s="12"/>
      <c r="EE18" s="12"/>
      <c r="EF18" s="12"/>
      <c r="EG18" s="146"/>
      <c r="EH18" s="146"/>
      <c r="EI18" s="146"/>
      <c r="EJ18" s="146"/>
      <c r="EK18" s="146"/>
      <c r="EL18" s="146"/>
      <c r="EM18" s="146"/>
      <c r="EN18" s="146"/>
      <c r="EO18" s="146"/>
      <c r="EP18" s="146"/>
      <c r="EQ18" s="146"/>
      <c r="ER18" s="146"/>
      <c r="ES18" s="146"/>
      <c r="ET18" s="146"/>
      <c r="EU18" s="146"/>
      <c r="EV18" s="146"/>
      <c r="EW18" s="146"/>
      <c r="EX18" s="146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38"/>
      <c r="FQ18" s="20"/>
      <c r="FR18" s="20"/>
      <c r="FS18" s="20"/>
      <c r="FT18" s="20"/>
      <c r="FU18" s="20"/>
    </row>
    <row r="19" spans="1:177" s="13" customFormat="1" ht="13.2" customHeight="1" x14ac:dyDescent="0.25">
      <c r="A19" s="179"/>
      <c r="B19" s="180"/>
      <c r="C19" s="10">
        <f>E67+1</f>
        <v>12</v>
      </c>
      <c r="D19" s="10">
        <f>C34+1</f>
        <v>12</v>
      </c>
      <c r="E19" s="10">
        <f>G28+1</f>
        <v>11</v>
      </c>
      <c r="F19" s="10">
        <f>J22+1</f>
        <v>9</v>
      </c>
      <c r="G19" s="10">
        <f>E97+1</f>
        <v>9</v>
      </c>
      <c r="H19" s="10">
        <f>H58+1</f>
        <v>13</v>
      </c>
      <c r="I19" s="44"/>
      <c r="J19" s="156">
        <f>J112+1</f>
        <v>7</v>
      </c>
      <c r="K19" s="44"/>
      <c r="L19" s="159"/>
      <c r="M19" s="44"/>
      <c r="X19" s="44"/>
      <c r="Y19" s="119">
        <v>21</v>
      </c>
      <c r="Z19" s="119">
        <v>22</v>
      </c>
      <c r="AA19" s="119">
        <v>23</v>
      </c>
      <c r="AB19" s="119">
        <v>24</v>
      </c>
      <c r="AC19" s="166">
        <v>25</v>
      </c>
      <c r="AD19" s="119">
        <v>26</v>
      </c>
      <c r="AE19" s="119">
        <v>27</v>
      </c>
      <c r="AF19" s="166">
        <v>28</v>
      </c>
      <c r="AG19" s="119">
        <v>29</v>
      </c>
      <c r="AH19" s="154">
        <v>30</v>
      </c>
      <c r="AI19" s="149"/>
      <c r="AJ19" s="9">
        <v>18</v>
      </c>
      <c r="AK19" s="19">
        <v>72</v>
      </c>
      <c r="AL19" s="85">
        <v>46153</v>
      </c>
      <c r="AM19" s="19">
        <v>1</v>
      </c>
      <c r="AN19" s="42"/>
      <c r="AO19" s="54">
        <v>16</v>
      </c>
      <c r="AP19" s="9">
        <v>48</v>
      </c>
      <c r="AQ19" s="85">
        <v>46111</v>
      </c>
      <c r="AR19" s="19">
        <v>19</v>
      </c>
      <c r="AS19" s="42"/>
      <c r="AT19" s="112">
        <v>89</v>
      </c>
      <c r="AU19" s="112">
        <v>72</v>
      </c>
      <c r="AV19" s="108" t="s">
        <v>0</v>
      </c>
      <c r="AW19" s="132">
        <v>46155</v>
      </c>
      <c r="AX19" s="111"/>
      <c r="AY19" s="112">
        <v>1</v>
      </c>
      <c r="AZ19" s="112">
        <v>67</v>
      </c>
      <c r="BA19" s="112">
        <v>37</v>
      </c>
      <c r="BB19" s="132">
        <v>46069</v>
      </c>
      <c r="BC19" s="111"/>
      <c r="BD19" s="108">
        <v>13</v>
      </c>
      <c r="BE19" s="108">
        <v>69</v>
      </c>
      <c r="BF19" s="108">
        <v>13</v>
      </c>
      <c r="BG19" s="132">
        <v>46125</v>
      </c>
      <c r="BH19" s="43">
        <v>46001</v>
      </c>
      <c r="BI19" s="53">
        <v>46155</v>
      </c>
      <c r="BJ19" s="64">
        <v>6</v>
      </c>
      <c r="BK19" s="66">
        <v>6</v>
      </c>
      <c r="BL19" s="64" t="s">
        <v>0</v>
      </c>
      <c r="BM19" s="64">
        <v>65</v>
      </c>
      <c r="BN19" s="64">
        <v>15</v>
      </c>
      <c r="BO19" s="68">
        <v>6</v>
      </c>
      <c r="BP19" s="68">
        <v>8</v>
      </c>
      <c r="BQ19" s="68">
        <v>1</v>
      </c>
      <c r="BR19" s="68">
        <v>5</v>
      </c>
      <c r="BS19" s="68">
        <v>2</v>
      </c>
      <c r="BT19" s="68">
        <v>3</v>
      </c>
      <c r="BU19" s="68">
        <v>5</v>
      </c>
      <c r="BV19" s="68"/>
      <c r="BW19" s="68">
        <v>2</v>
      </c>
      <c r="BX19" s="68">
        <v>2</v>
      </c>
      <c r="BY19" s="68">
        <v>3</v>
      </c>
      <c r="BZ19" s="68"/>
      <c r="CA19" s="68">
        <v>2</v>
      </c>
      <c r="CB19" s="68"/>
      <c r="CC19" s="68">
        <v>2</v>
      </c>
      <c r="CD19" s="68">
        <v>4</v>
      </c>
      <c r="CE19" s="68">
        <v>2</v>
      </c>
      <c r="CF19" s="68">
        <v>1</v>
      </c>
      <c r="CG19" s="68"/>
      <c r="CH19" s="68">
        <v>1</v>
      </c>
      <c r="CI19" s="68">
        <v>1</v>
      </c>
      <c r="CJ19" s="68"/>
      <c r="CK19" s="68"/>
      <c r="CL19" s="68"/>
      <c r="CM19" s="68"/>
      <c r="CN19" s="68">
        <v>1</v>
      </c>
      <c r="CO19" s="68"/>
      <c r="CP19" s="68"/>
      <c r="CQ19" s="68">
        <v>1</v>
      </c>
      <c r="CR19" s="68"/>
      <c r="CS19" s="68"/>
      <c r="CT19" s="68"/>
      <c r="CU19" s="68"/>
      <c r="CV19" s="68">
        <v>1</v>
      </c>
      <c r="CW19" s="68"/>
      <c r="CX19" s="68"/>
      <c r="CY19" s="68"/>
      <c r="CZ19" s="68"/>
      <c r="DA19" s="68">
        <v>1</v>
      </c>
      <c r="DB19" s="68"/>
      <c r="DC19" s="68"/>
      <c r="DD19" s="68">
        <v>1</v>
      </c>
      <c r="DE19" s="68"/>
      <c r="DF19" s="68"/>
      <c r="DG19" s="68"/>
      <c r="DH19" s="68"/>
      <c r="DI19" s="68"/>
      <c r="DJ19" s="68"/>
      <c r="DK19" s="68"/>
      <c r="DL19" s="68"/>
      <c r="DM19" s="68">
        <v>1</v>
      </c>
      <c r="DN19" s="68"/>
      <c r="DO19" s="68"/>
      <c r="DP19" s="68"/>
      <c r="DQ19" s="68"/>
      <c r="DR19" s="68"/>
      <c r="DS19" s="68"/>
      <c r="DT19" s="68"/>
      <c r="DU19" s="68"/>
      <c r="DV19" s="68">
        <v>1</v>
      </c>
      <c r="DW19" s="68"/>
      <c r="DX19" s="68">
        <v>2</v>
      </c>
      <c r="DY19" s="43"/>
      <c r="EA19" s="29"/>
      <c r="EB19" s="12"/>
      <c r="EC19" s="12"/>
      <c r="ED19" s="12"/>
      <c r="EE19" s="12"/>
      <c r="EF19" s="12"/>
      <c r="EG19" s="146"/>
      <c r="EH19" s="146"/>
      <c r="EI19" s="146"/>
      <c r="EJ19" s="146"/>
      <c r="EK19" s="146"/>
      <c r="EL19" s="146"/>
      <c r="EM19" s="146"/>
      <c r="EN19" s="146"/>
      <c r="EO19" s="146"/>
      <c r="EP19" s="146"/>
      <c r="EQ19" s="146"/>
      <c r="ER19" s="146"/>
      <c r="ES19" s="146"/>
      <c r="ET19" s="146"/>
      <c r="EU19" s="146"/>
      <c r="EV19" s="146"/>
      <c r="EW19" s="146"/>
      <c r="EX19" s="146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38"/>
      <c r="FQ19" s="20"/>
      <c r="FR19" s="20"/>
      <c r="FS19" s="20"/>
      <c r="FT19" s="20"/>
      <c r="FU19" s="20"/>
    </row>
    <row r="20" spans="1:177" s="13" customFormat="1" ht="12.6" customHeight="1" x14ac:dyDescent="0.25">
      <c r="A20" s="177">
        <v>110</v>
      </c>
      <c r="B20" s="180">
        <v>6</v>
      </c>
      <c r="C20" s="14">
        <f>A20-A38-1</f>
        <v>5</v>
      </c>
      <c r="D20" s="14">
        <f>A20-A47-1</f>
        <v>8</v>
      </c>
      <c r="E20" s="14">
        <f>A20-A50-1</f>
        <v>9</v>
      </c>
      <c r="F20" s="14">
        <f>A20-A23-1</f>
        <v>0</v>
      </c>
      <c r="G20" s="14">
        <f>A20-A107-1</f>
        <v>28</v>
      </c>
      <c r="H20" s="14">
        <f>A20-A50-1</f>
        <v>9</v>
      </c>
      <c r="I20" s="44"/>
      <c r="J20" s="156">
        <f>A20-A74-1</f>
        <v>17</v>
      </c>
      <c r="K20" s="44"/>
      <c r="M20" s="44"/>
      <c r="X20" s="44"/>
      <c r="Y20" s="119">
        <v>31</v>
      </c>
      <c r="Z20" s="119">
        <v>32</v>
      </c>
      <c r="AA20" s="119">
        <v>33</v>
      </c>
      <c r="AB20" s="119">
        <v>34</v>
      </c>
      <c r="AC20" s="119">
        <v>35</v>
      </c>
      <c r="AD20" s="164">
        <v>36</v>
      </c>
      <c r="AE20" s="119">
        <v>37</v>
      </c>
      <c r="AF20" s="164">
        <v>38</v>
      </c>
      <c r="AG20" s="165">
        <v>39</v>
      </c>
      <c r="AH20" s="154">
        <v>40</v>
      </c>
      <c r="AI20" s="149"/>
      <c r="AJ20" s="9">
        <v>89</v>
      </c>
      <c r="AK20" s="19">
        <v>72</v>
      </c>
      <c r="AL20" s="85">
        <v>46155</v>
      </c>
      <c r="AM20" s="19" t="s">
        <v>0</v>
      </c>
      <c r="AN20" s="42"/>
      <c r="AO20" s="54">
        <v>21</v>
      </c>
      <c r="AP20" s="19">
        <v>49</v>
      </c>
      <c r="AQ20" s="85">
        <v>46081</v>
      </c>
      <c r="AR20" s="19">
        <v>32</v>
      </c>
      <c r="AS20" s="42"/>
      <c r="AT20" s="112">
        <v>18</v>
      </c>
      <c r="AU20" s="112">
        <v>72</v>
      </c>
      <c r="AV20" s="108">
        <v>1</v>
      </c>
      <c r="AW20" s="132">
        <v>46153</v>
      </c>
      <c r="AX20" s="111"/>
      <c r="AY20" s="112">
        <v>8</v>
      </c>
      <c r="AZ20" s="112">
        <v>67</v>
      </c>
      <c r="BA20" s="112">
        <v>37</v>
      </c>
      <c r="BB20" s="132">
        <v>46069</v>
      </c>
      <c r="BC20" s="111"/>
      <c r="BD20" s="108">
        <v>17</v>
      </c>
      <c r="BE20" s="108">
        <v>36</v>
      </c>
      <c r="BF20" s="108">
        <v>2</v>
      </c>
      <c r="BG20" s="132">
        <v>46151</v>
      </c>
      <c r="BH20" s="43">
        <v>46015</v>
      </c>
      <c r="BI20" s="53">
        <v>46146</v>
      </c>
      <c r="BJ20" s="64">
        <v>7</v>
      </c>
      <c r="BK20" s="71">
        <v>7</v>
      </c>
      <c r="BL20" s="77">
        <v>4</v>
      </c>
      <c r="BM20" s="77">
        <v>64</v>
      </c>
      <c r="BN20" s="72">
        <v>12</v>
      </c>
      <c r="BO20" s="73">
        <v>4</v>
      </c>
      <c r="BP20" s="73">
        <v>3</v>
      </c>
      <c r="BQ20" s="73">
        <v>2</v>
      </c>
      <c r="BR20" s="73">
        <v>4</v>
      </c>
      <c r="BS20" s="73">
        <v>4</v>
      </c>
      <c r="BT20" s="73">
        <v>5</v>
      </c>
      <c r="BU20" s="73">
        <v>4</v>
      </c>
      <c r="BV20" s="73">
        <v>1</v>
      </c>
      <c r="BW20" s="73">
        <v>3</v>
      </c>
      <c r="BX20" s="73">
        <v>1</v>
      </c>
      <c r="BY20" s="73">
        <v>2</v>
      </c>
      <c r="BZ20" s="73">
        <v>5</v>
      </c>
      <c r="CA20" s="73">
        <v>2</v>
      </c>
      <c r="CB20" s="73">
        <v>2</v>
      </c>
      <c r="CC20" s="73"/>
      <c r="CD20" s="73">
        <v>1</v>
      </c>
      <c r="CE20" s="73"/>
      <c r="CF20" s="73">
        <v>2</v>
      </c>
      <c r="CG20" s="73">
        <v>1</v>
      </c>
      <c r="CH20" s="73">
        <v>1</v>
      </c>
      <c r="CI20" s="73">
        <v>1</v>
      </c>
      <c r="CJ20" s="73"/>
      <c r="CK20" s="73">
        <v>1</v>
      </c>
      <c r="CL20" s="73"/>
      <c r="CM20" s="73"/>
      <c r="CN20" s="73"/>
      <c r="CO20" s="73"/>
      <c r="CP20" s="73"/>
      <c r="CQ20" s="73"/>
      <c r="CR20" s="73">
        <v>1</v>
      </c>
      <c r="CS20" s="73">
        <v>2</v>
      </c>
      <c r="CT20" s="73">
        <v>1</v>
      </c>
      <c r="CU20" s="73">
        <v>1</v>
      </c>
      <c r="CV20" s="73"/>
      <c r="CW20" s="73"/>
      <c r="CX20" s="73"/>
      <c r="CY20" s="73"/>
      <c r="CZ20" s="73"/>
      <c r="DA20" s="73"/>
      <c r="DB20" s="73"/>
      <c r="DC20" s="73"/>
      <c r="DD20" s="73"/>
      <c r="DE20" s="73">
        <v>1</v>
      </c>
      <c r="DF20" s="73"/>
      <c r="DG20" s="73"/>
      <c r="DH20" s="73"/>
      <c r="DI20" s="73"/>
      <c r="DJ20" s="73"/>
      <c r="DK20" s="73"/>
      <c r="DL20" s="73">
        <v>1</v>
      </c>
      <c r="DM20" s="73">
        <v>1</v>
      </c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>
        <v>1</v>
      </c>
      <c r="DY20" s="43"/>
      <c r="EA20" s="29"/>
      <c r="EB20" s="12"/>
      <c r="EC20" s="12"/>
      <c r="ED20" s="12"/>
      <c r="EE20" s="12"/>
      <c r="EF20" s="12"/>
      <c r="EG20" s="146"/>
      <c r="EH20" s="146"/>
      <c r="EI20" s="146"/>
      <c r="EJ20" s="146"/>
      <c r="EK20" s="146"/>
      <c r="EL20" s="146"/>
      <c r="EM20" s="146"/>
      <c r="EN20" s="146"/>
      <c r="EO20" s="146"/>
      <c r="EP20" s="146"/>
      <c r="EQ20" s="146"/>
      <c r="ER20" s="146"/>
      <c r="ES20" s="146"/>
      <c r="ET20" s="146"/>
      <c r="EU20" s="146"/>
      <c r="EV20" s="146"/>
      <c r="EW20" s="146"/>
      <c r="EX20" s="146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38"/>
      <c r="FQ20" s="20"/>
      <c r="FR20" s="20"/>
      <c r="FS20" s="20"/>
      <c r="FT20" s="20"/>
      <c r="FU20" s="20"/>
    </row>
    <row r="21" spans="1:177" s="13" customFormat="1" ht="12.6" customHeight="1" x14ac:dyDescent="0.25">
      <c r="A21" s="178"/>
      <c r="B21" s="180"/>
      <c r="C21" s="114">
        <v>3</v>
      </c>
      <c r="D21" s="115">
        <v>37</v>
      </c>
      <c r="E21" s="115">
        <v>62</v>
      </c>
      <c r="F21" s="115">
        <v>64</v>
      </c>
      <c r="G21" s="115">
        <v>70</v>
      </c>
      <c r="H21" s="115">
        <v>87</v>
      </c>
      <c r="I21" s="44"/>
      <c r="J21" s="115">
        <v>47</v>
      </c>
      <c r="K21" s="44"/>
      <c r="L21" s="159">
        <v>46144</v>
      </c>
      <c r="M21" s="44"/>
      <c r="X21" s="44"/>
      <c r="Y21" s="165">
        <v>41</v>
      </c>
      <c r="Z21" s="119">
        <v>42</v>
      </c>
      <c r="AA21" s="119">
        <v>43</v>
      </c>
      <c r="AB21" s="119">
        <v>44</v>
      </c>
      <c r="AC21" s="119">
        <v>45</v>
      </c>
      <c r="AD21" s="83">
        <v>46</v>
      </c>
      <c r="AE21" s="83">
        <v>47</v>
      </c>
      <c r="AF21" s="164">
        <v>48</v>
      </c>
      <c r="AG21" s="83">
        <v>49</v>
      </c>
      <c r="AH21" s="84">
        <v>50</v>
      </c>
      <c r="AI21" s="149"/>
      <c r="AJ21" s="9">
        <v>38</v>
      </c>
      <c r="AK21" s="19">
        <v>71</v>
      </c>
      <c r="AL21" s="85">
        <v>46153</v>
      </c>
      <c r="AM21" s="19">
        <v>1</v>
      </c>
      <c r="AN21" s="42"/>
      <c r="AO21" s="54">
        <v>9</v>
      </c>
      <c r="AP21" s="19">
        <v>50</v>
      </c>
      <c r="AQ21" s="85">
        <v>46123</v>
      </c>
      <c r="AR21" s="19">
        <v>14</v>
      </c>
      <c r="AS21" s="42"/>
      <c r="AT21" s="112">
        <v>36</v>
      </c>
      <c r="AU21" s="112">
        <v>54</v>
      </c>
      <c r="AV21" s="108">
        <v>1</v>
      </c>
      <c r="AW21" s="132">
        <v>46153</v>
      </c>
      <c r="AX21" s="111"/>
      <c r="AY21" s="112">
        <v>49</v>
      </c>
      <c r="AZ21" s="112">
        <v>58</v>
      </c>
      <c r="BA21" s="112">
        <v>37</v>
      </c>
      <c r="BB21" s="132">
        <v>46069</v>
      </c>
      <c r="BC21" s="111"/>
      <c r="BD21" s="108">
        <v>19</v>
      </c>
      <c r="BE21" s="108">
        <v>54</v>
      </c>
      <c r="BF21" s="108">
        <v>7</v>
      </c>
      <c r="BG21" s="132">
        <v>46139</v>
      </c>
      <c r="BH21" s="43">
        <v>46020</v>
      </c>
      <c r="BI21" s="53">
        <v>46069</v>
      </c>
      <c r="BJ21" s="64">
        <v>8</v>
      </c>
      <c r="BK21" s="66">
        <v>8</v>
      </c>
      <c r="BL21" s="64">
        <v>37</v>
      </c>
      <c r="BM21" s="64">
        <v>67</v>
      </c>
      <c r="BN21" s="64">
        <v>8</v>
      </c>
      <c r="BO21" s="68">
        <v>4</v>
      </c>
      <c r="BP21" s="68">
        <v>6</v>
      </c>
      <c r="BQ21" s="68">
        <v>4</v>
      </c>
      <c r="BR21" s="68">
        <v>5</v>
      </c>
      <c r="BS21" s="68">
        <v>4</v>
      </c>
      <c r="BT21" s="68">
        <v>1</v>
      </c>
      <c r="BU21" s="68">
        <v>2</v>
      </c>
      <c r="BV21" s="68">
        <v>2</v>
      </c>
      <c r="BW21" s="68">
        <v>3</v>
      </c>
      <c r="BX21" s="68">
        <v>1</v>
      </c>
      <c r="BY21" s="68">
        <v>2</v>
      </c>
      <c r="BZ21" s="68">
        <v>2</v>
      </c>
      <c r="CA21" s="68">
        <v>3</v>
      </c>
      <c r="CB21" s="68">
        <v>2</v>
      </c>
      <c r="CC21" s="68"/>
      <c r="CD21" s="68">
        <v>2</v>
      </c>
      <c r="CE21" s="68">
        <v>1</v>
      </c>
      <c r="CF21" s="68"/>
      <c r="CG21" s="68">
        <v>2</v>
      </c>
      <c r="CH21" s="68">
        <v>1</v>
      </c>
      <c r="CI21" s="68"/>
      <c r="CJ21" s="68">
        <v>2</v>
      </c>
      <c r="CK21" s="68">
        <v>1</v>
      </c>
      <c r="CL21" s="68"/>
      <c r="CM21" s="68">
        <v>1</v>
      </c>
      <c r="CN21" s="68"/>
      <c r="CO21" s="68"/>
      <c r="CP21" s="68">
        <v>1</v>
      </c>
      <c r="CQ21" s="68"/>
      <c r="CR21" s="68">
        <v>1</v>
      </c>
      <c r="CS21" s="68">
        <v>2</v>
      </c>
      <c r="CT21" s="68"/>
      <c r="CU21" s="68"/>
      <c r="CV21" s="68">
        <v>1</v>
      </c>
      <c r="CW21" s="68">
        <v>1</v>
      </c>
      <c r="CX21" s="68"/>
      <c r="CY21" s="68"/>
      <c r="CZ21" s="68"/>
      <c r="DA21" s="68">
        <v>1</v>
      </c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>
        <v>1</v>
      </c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>
        <v>1</v>
      </c>
      <c r="DY21" s="43"/>
      <c r="EA21" s="29"/>
      <c r="EB21" s="12"/>
      <c r="EC21" s="12"/>
      <c r="ED21" s="12"/>
      <c r="EE21" s="12"/>
      <c r="EF21" s="12"/>
      <c r="EG21" s="146"/>
      <c r="EH21" s="146"/>
      <c r="EI21" s="146"/>
      <c r="EJ21" s="146"/>
      <c r="EK21" s="146"/>
      <c r="EL21" s="146"/>
      <c r="EM21" s="146"/>
      <c r="EN21" s="146"/>
      <c r="EO21" s="146"/>
      <c r="EP21" s="146"/>
      <c r="EQ21" s="146"/>
      <c r="ER21" s="146"/>
      <c r="ES21" s="146"/>
      <c r="ET21" s="146"/>
      <c r="EU21" s="146"/>
      <c r="EV21" s="146"/>
      <c r="EW21" s="146"/>
      <c r="EX21" s="146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38"/>
      <c r="FQ21" s="20"/>
      <c r="FR21" s="20"/>
      <c r="FS21" s="20"/>
      <c r="FT21" s="20"/>
      <c r="FU21" s="20"/>
    </row>
    <row r="22" spans="1:177" s="13" customFormat="1" ht="13.2" customHeight="1" x14ac:dyDescent="0.25">
      <c r="A22" s="179"/>
      <c r="B22" s="180"/>
      <c r="C22" s="10">
        <f>C40+1</f>
        <v>9</v>
      </c>
      <c r="D22" s="10">
        <f>J49+1</f>
        <v>8</v>
      </c>
      <c r="E22" s="10">
        <f>G52+1</f>
        <v>13</v>
      </c>
      <c r="F22" s="10">
        <f>D25+1</f>
        <v>9</v>
      </c>
      <c r="G22" s="10">
        <f>J109+1</f>
        <v>9</v>
      </c>
      <c r="H22" s="10">
        <f>J52+1</f>
        <v>10</v>
      </c>
      <c r="I22" s="44"/>
      <c r="J22" s="156">
        <f>F76+1</f>
        <v>8</v>
      </c>
      <c r="K22" s="44"/>
      <c r="L22" s="159"/>
      <c r="M22" s="44"/>
      <c r="X22" s="44"/>
      <c r="Y22" s="83">
        <v>51</v>
      </c>
      <c r="Z22" s="83">
        <v>52</v>
      </c>
      <c r="AA22" s="166">
        <v>53</v>
      </c>
      <c r="AB22" s="83">
        <v>54</v>
      </c>
      <c r="AC22" s="83">
        <v>55</v>
      </c>
      <c r="AD22" s="83">
        <v>56</v>
      </c>
      <c r="AE22" s="83">
        <v>57</v>
      </c>
      <c r="AF22" s="83">
        <v>58</v>
      </c>
      <c r="AG22" s="165">
        <v>59</v>
      </c>
      <c r="AH22" s="84">
        <v>60</v>
      </c>
      <c r="AI22" s="149"/>
      <c r="AJ22" s="9">
        <v>56</v>
      </c>
      <c r="AK22" s="19">
        <v>70</v>
      </c>
      <c r="AL22" s="85">
        <v>46127</v>
      </c>
      <c r="AM22" s="19">
        <v>12</v>
      </c>
      <c r="AN22" s="42"/>
      <c r="AO22" s="54">
        <v>65</v>
      </c>
      <c r="AP22" s="19">
        <v>50</v>
      </c>
      <c r="AQ22" s="85">
        <v>46083</v>
      </c>
      <c r="AR22" s="19">
        <v>31</v>
      </c>
      <c r="AS22" s="42"/>
      <c r="AT22" s="112">
        <v>38</v>
      </c>
      <c r="AU22" s="112">
        <v>71</v>
      </c>
      <c r="AV22" s="108">
        <v>1</v>
      </c>
      <c r="AW22" s="132">
        <v>46153</v>
      </c>
      <c r="AX22" s="111"/>
      <c r="AY22" s="112">
        <v>21</v>
      </c>
      <c r="AZ22" s="112">
        <v>49</v>
      </c>
      <c r="BA22" s="112">
        <v>32</v>
      </c>
      <c r="BB22" s="132">
        <v>46081</v>
      </c>
      <c r="BC22" s="111"/>
      <c r="BD22" s="108">
        <v>23</v>
      </c>
      <c r="BE22" s="108">
        <v>69</v>
      </c>
      <c r="BF22" s="108">
        <v>19</v>
      </c>
      <c r="BG22" s="132">
        <v>46111</v>
      </c>
      <c r="BH22" s="43">
        <v>46020</v>
      </c>
      <c r="BI22" s="53">
        <v>46123</v>
      </c>
      <c r="BJ22" s="64">
        <v>9</v>
      </c>
      <c r="BK22" s="71">
        <v>9</v>
      </c>
      <c r="BL22" s="77">
        <v>14</v>
      </c>
      <c r="BM22" s="77">
        <v>50</v>
      </c>
      <c r="BN22" s="72">
        <v>4</v>
      </c>
      <c r="BO22" s="73"/>
      <c r="BP22" s="73">
        <v>4</v>
      </c>
      <c r="BQ22" s="73">
        <v>2</v>
      </c>
      <c r="BR22" s="73">
        <v>4</v>
      </c>
      <c r="BS22" s="73">
        <v>3</v>
      </c>
      <c r="BT22" s="73"/>
      <c r="BU22" s="73">
        <v>2</v>
      </c>
      <c r="BV22" s="73">
        <v>3</v>
      </c>
      <c r="BW22" s="73">
        <v>1</v>
      </c>
      <c r="BX22" s="73">
        <v>6</v>
      </c>
      <c r="BY22" s="73">
        <v>2</v>
      </c>
      <c r="BZ22" s="73">
        <v>2</v>
      </c>
      <c r="CA22" s="73"/>
      <c r="CB22" s="73"/>
      <c r="CC22" s="73">
        <v>1</v>
      </c>
      <c r="CD22" s="73">
        <v>1</v>
      </c>
      <c r="CE22" s="73"/>
      <c r="CF22" s="73">
        <v>1</v>
      </c>
      <c r="CG22" s="73"/>
      <c r="CH22" s="73">
        <v>1</v>
      </c>
      <c r="CI22" s="73">
        <v>1</v>
      </c>
      <c r="CJ22" s="73"/>
      <c r="CK22" s="73">
        <v>2</v>
      </c>
      <c r="CL22" s="73">
        <v>1</v>
      </c>
      <c r="CM22" s="73"/>
      <c r="CN22" s="73"/>
      <c r="CO22" s="73"/>
      <c r="CP22" s="73">
        <v>1</v>
      </c>
      <c r="CQ22" s="73"/>
      <c r="CR22" s="73"/>
      <c r="CS22" s="73">
        <v>1</v>
      </c>
      <c r="CT22" s="73"/>
      <c r="CU22" s="73"/>
      <c r="CV22" s="73"/>
      <c r="CW22" s="73"/>
      <c r="CX22" s="73"/>
      <c r="CY22" s="73">
        <v>1</v>
      </c>
      <c r="CZ22" s="73"/>
      <c r="DA22" s="73"/>
      <c r="DB22" s="73"/>
      <c r="DC22" s="73"/>
      <c r="DD22" s="73">
        <v>1</v>
      </c>
      <c r="DE22" s="73"/>
      <c r="DF22" s="73">
        <v>1</v>
      </c>
      <c r="DG22" s="73"/>
      <c r="DH22" s="73">
        <v>1</v>
      </c>
      <c r="DI22" s="73"/>
      <c r="DJ22" s="73"/>
      <c r="DK22" s="73"/>
      <c r="DL22" s="73"/>
      <c r="DM22" s="73">
        <v>1</v>
      </c>
      <c r="DN22" s="73"/>
      <c r="DO22" s="73"/>
      <c r="DP22" s="73"/>
      <c r="DQ22" s="73"/>
      <c r="DR22" s="73"/>
      <c r="DS22" s="73"/>
      <c r="DT22" s="73"/>
      <c r="DU22" s="73"/>
      <c r="DV22" s="73"/>
      <c r="DW22" s="73"/>
      <c r="DX22" s="73">
        <v>2</v>
      </c>
      <c r="DY22" s="43"/>
      <c r="EA22" s="29"/>
      <c r="EB22" s="12"/>
      <c r="EC22" s="12"/>
      <c r="ED22" s="12"/>
      <c r="EE22" s="12"/>
      <c r="EF22" s="12"/>
      <c r="EG22" s="146"/>
      <c r="EH22" s="146"/>
      <c r="EI22" s="146"/>
      <c r="EJ22" s="146"/>
      <c r="EK22" s="146"/>
      <c r="EL22" s="146"/>
      <c r="EM22" s="146"/>
      <c r="EN22" s="146"/>
      <c r="EO22" s="146"/>
      <c r="EP22" s="146"/>
      <c r="EQ22" s="146"/>
      <c r="ER22" s="146"/>
      <c r="ES22" s="146"/>
      <c r="ET22" s="146"/>
      <c r="EU22" s="146"/>
      <c r="EV22" s="146"/>
      <c r="EW22" s="146"/>
      <c r="EX22" s="146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38"/>
      <c r="FQ22" s="20"/>
      <c r="FR22" s="20"/>
      <c r="FS22" s="20"/>
      <c r="FT22" s="20"/>
      <c r="FU22" s="20"/>
    </row>
    <row r="23" spans="1:177" s="13" customFormat="1" ht="12.6" customHeight="1" x14ac:dyDescent="0.25">
      <c r="A23" s="177">
        <v>109</v>
      </c>
      <c r="B23" s="180">
        <v>7</v>
      </c>
      <c r="C23" s="14">
        <f>A23-A32-1</f>
        <v>2</v>
      </c>
      <c r="D23" s="14">
        <f>A23-A29-1</f>
        <v>1</v>
      </c>
      <c r="E23" s="14">
        <f>A23-A32-1</f>
        <v>2</v>
      </c>
      <c r="F23" s="14">
        <f>A23-A35-1</f>
        <v>3</v>
      </c>
      <c r="G23" s="14">
        <f>A23-A32-1</f>
        <v>2</v>
      </c>
      <c r="H23" s="14">
        <f>A23-A35-1</f>
        <v>3</v>
      </c>
      <c r="I23" s="44"/>
      <c r="J23" s="156">
        <f>A23-A122-1</f>
        <v>32</v>
      </c>
      <c r="K23" s="44"/>
      <c r="M23" s="44"/>
      <c r="X23" s="44"/>
      <c r="Y23" s="83">
        <v>61</v>
      </c>
      <c r="Z23" s="83">
        <v>62</v>
      </c>
      <c r="AA23" s="83">
        <v>63</v>
      </c>
      <c r="AB23" s="83">
        <v>64</v>
      </c>
      <c r="AC23" s="83">
        <v>65</v>
      </c>
      <c r="AD23" s="83">
        <v>66</v>
      </c>
      <c r="AE23" s="83">
        <v>67</v>
      </c>
      <c r="AF23" s="83">
        <v>68</v>
      </c>
      <c r="AG23" s="83">
        <v>69</v>
      </c>
      <c r="AH23" s="167">
        <v>70</v>
      </c>
      <c r="AI23" s="149"/>
      <c r="AJ23" s="9">
        <v>88</v>
      </c>
      <c r="AK23" s="19">
        <v>70</v>
      </c>
      <c r="AL23" s="85">
        <v>46141</v>
      </c>
      <c r="AM23" s="19">
        <v>6</v>
      </c>
      <c r="AN23" s="42"/>
      <c r="AO23" s="54">
        <v>39</v>
      </c>
      <c r="AP23" s="19">
        <v>51</v>
      </c>
      <c r="AQ23" s="85">
        <v>46155</v>
      </c>
      <c r="AR23" s="19" t="s">
        <v>0</v>
      </c>
      <c r="AS23" s="42"/>
      <c r="AT23" s="112">
        <v>48</v>
      </c>
      <c r="AU23" s="112">
        <v>64</v>
      </c>
      <c r="AV23" s="108">
        <v>1</v>
      </c>
      <c r="AW23" s="132">
        <v>46153</v>
      </c>
      <c r="AX23" s="111"/>
      <c r="AY23" s="112">
        <v>22</v>
      </c>
      <c r="AZ23" s="112">
        <v>55</v>
      </c>
      <c r="BA23" s="112">
        <v>32</v>
      </c>
      <c r="BB23" s="132">
        <v>46081</v>
      </c>
      <c r="BC23" s="111"/>
      <c r="BD23" s="108">
        <v>29</v>
      </c>
      <c r="BE23" s="108">
        <v>59</v>
      </c>
      <c r="BF23" s="108">
        <v>17</v>
      </c>
      <c r="BG23" s="132">
        <v>46116</v>
      </c>
      <c r="BH23" s="43">
        <v>46022</v>
      </c>
      <c r="BI23" s="53">
        <v>46137</v>
      </c>
      <c r="BJ23" s="64">
        <v>10</v>
      </c>
      <c r="BK23" s="66">
        <v>10</v>
      </c>
      <c r="BL23" s="63">
        <v>8</v>
      </c>
      <c r="BM23" s="63">
        <v>48</v>
      </c>
      <c r="BN23" s="64">
        <v>8</v>
      </c>
      <c r="BO23" s="68">
        <v>3</v>
      </c>
      <c r="BP23" s="68">
        <v>1</v>
      </c>
      <c r="BQ23" s="68">
        <v>4</v>
      </c>
      <c r="BR23" s="68">
        <v>2</v>
      </c>
      <c r="BS23" s="68">
        <v>1</v>
      </c>
      <c r="BT23" s="68"/>
      <c r="BU23" s="68">
        <v>2</v>
      </c>
      <c r="BV23" s="68">
        <v>1</v>
      </c>
      <c r="BW23" s="68">
        <v>1</v>
      </c>
      <c r="BX23" s="68">
        <v>2</v>
      </c>
      <c r="BY23" s="68">
        <v>1</v>
      </c>
      <c r="BZ23" s="68">
        <v>3</v>
      </c>
      <c r="CA23" s="68">
        <v>1</v>
      </c>
      <c r="CB23" s="68"/>
      <c r="CC23" s="68"/>
      <c r="CD23" s="68">
        <v>2</v>
      </c>
      <c r="CE23" s="68">
        <v>1</v>
      </c>
      <c r="CF23" s="68"/>
      <c r="CG23" s="68">
        <v>1</v>
      </c>
      <c r="CH23" s="68">
        <v>1</v>
      </c>
      <c r="CI23" s="68">
        <v>2</v>
      </c>
      <c r="CJ23" s="68"/>
      <c r="CK23" s="68">
        <v>1</v>
      </c>
      <c r="CL23" s="68">
        <v>1</v>
      </c>
      <c r="CM23" s="68"/>
      <c r="CN23" s="68">
        <v>1</v>
      </c>
      <c r="CO23" s="68">
        <v>1</v>
      </c>
      <c r="CP23" s="68">
        <v>3</v>
      </c>
      <c r="CQ23" s="68">
        <v>1</v>
      </c>
      <c r="CR23" s="68">
        <v>1</v>
      </c>
      <c r="CS23" s="68">
        <v>1</v>
      </c>
      <c r="CT23" s="68">
        <v>1</v>
      </c>
      <c r="CU23" s="68">
        <v>1</v>
      </c>
      <c r="CV23" s="68">
        <v>1</v>
      </c>
      <c r="CW23" s="68">
        <v>1</v>
      </c>
      <c r="CX23" s="68"/>
      <c r="CY23" s="68">
        <v>1</v>
      </c>
      <c r="CZ23" s="68"/>
      <c r="DA23" s="68">
        <v>1</v>
      </c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>
        <v>1</v>
      </c>
      <c r="DY23" s="43"/>
      <c r="EG23" s="146"/>
      <c r="EH23" s="146"/>
      <c r="EI23" s="146"/>
      <c r="EJ23" s="174" t="s">
        <v>84</v>
      </c>
      <c r="EK23" s="175"/>
      <c r="EL23" s="175"/>
      <c r="EM23" s="175"/>
      <c r="EN23" s="175"/>
      <c r="EO23" s="175"/>
      <c r="EP23" s="175"/>
      <c r="EQ23" s="175"/>
      <c r="ER23" s="175"/>
      <c r="ES23" s="176"/>
      <c r="ET23" s="146"/>
      <c r="EU23" s="146"/>
      <c r="EV23" s="146"/>
      <c r="EW23" s="146"/>
      <c r="EX23" s="146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38"/>
      <c r="FQ23" s="20"/>
      <c r="FR23" s="20"/>
      <c r="FS23" s="20"/>
      <c r="FT23" s="20"/>
      <c r="FU23" s="20"/>
    </row>
    <row r="24" spans="1:177" s="13" customFormat="1" ht="12.6" customHeight="1" x14ac:dyDescent="0.25">
      <c r="A24" s="178"/>
      <c r="B24" s="180"/>
      <c r="C24" s="114">
        <v>38</v>
      </c>
      <c r="D24" s="115">
        <v>64</v>
      </c>
      <c r="E24" s="115">
        <v>68</v>
      </c>
      <c r="F24" s="115">
        <v>78</v>
      </c>
      <c r="G24" s="115">
        <v>84</v>
      </c>
      <c r="H24" s="115">
        <v>88</v>
      </c>
      <c r="I24" s="44"/>
      <c r="J24" s="115">
        <v>73</v>
      </c>
      <c r="K24" s="44"/>
      <c r="L24" s="159">
        <v>46141</v>
      </c>
      <c r="M24" s="44"/>
      <c r="X24" s="44"/>
      <c r="Y24" s="83">
        <v>71</v>
      </c>
      <c r="Z24" s="166">
        <v>72</v>
      </c>
      <c r="AA24" s="83">
        <v>73</v>
      </c>
      <c r="AB24" s="83">
        <v>74</v>
      </c>
      <c r="AC24" s="83">
        <v>75</v>
      </c>
      <c r="AD24" s="83">
        <v>76</v>
      </c>
      <c r="AE24" s="83">
        <v>77</v>
      </c>
      <c r="AF24" s="83">
        <v>78</v>
      </c>
      <c r="AG24" s="166">
        <v>79</v>
      </c>
      <c r="AH24" s="84">
        <v>80</v>
      </c>
      <c r="AI24" s="149"/>
      <c r="AJ24" s="9">
        <v>13</v>
      </c>
      <c r="AK24" s="19">
        <v>69</v>
      </c>
      <c r="AL24" s="85">
        <v>46125</v>
      </c>
      <c r="AM24" s="19">
        <v>13</v>
      </c>
      <c r="AN24" s="42"/>
      <c r="AO24" s="54">
        <v>79</v>
      </c>
      <c r="AP24" s="19">
        <v>51</v>
      </c>
      <c r="AQ24" s="85">
        <v>46151</v>
      </c>
      <c r="AR24" s="19">
        <v>2</v>
      </c>
      <c r="AS24" s="42"/>
      <c r="AT24" s="112">
        <v>53</v>
      </c>
      <c r="AU24" s="112">
        <v>59</v>
      </c>
      <c r="AV24" s="108">
        <v>1</v>
      </c>
      <c r="AW24" s="132">
        <v>46153</v>
      </c>
      <c r="AX24" s="111"/>
      <c r="AY24" s="112">
        <v>58</v>
      </c>
      <c r="AZ24" s="112">
        <v>56</v>
      </c>
      <c r="BA24" s="112">
        <v>31</v>
      </c>
      <c r="BB24" s="132">
        <v>46083</v>
      </c>
      <c r="BC24" s="111"/>
      <c r="BD24" s="108">
        <v>31</v>
      </c>
      <c r="BE24" s="108">
        <v>57</v>
      </c>
      <c r="BF24" s="108">
        <v>22</v>
      </c>
      <c r="BG24" s="132">
        <v>46104</v>
      </c>
      <c r="BH24" s="43">
        <v>46027</v>
      </c>
      <c r="BI24" s="53">
        <v>46139</v>
      </c>
      <c r="BJ24" s="64">
        <v>11</v>
      </c>
      <c r="BK24" s="71">
        <v>11</v>
      </c>
      <c r="BL24" s="77">
        <v>7</v>
      </c>
      <c r="BM24" s="77">
        <v>56</v>
      </c>
      <c r="BN24" s="72">
        <v>2</v>
      </c>
      <c r="BO24" s="73">
        <v>6</v>
      </c>
      <c r="BP24" s="73">
        <v>3</v>
      </c>
      <c r="BQ24" s="73">
        <v>4</v>
      </c>
      <c r="BR24" s="73">
        <v>1</v>
      </c>
      <c r="BS24" s="73">
        <v>7</v>
      </c>
      <c r="BT24" s="73">
        <v>3</v>
      </c>
      <c r="BU24" s="73">
        <v>1</v>
      </c>
      <c r="BV24" s="73">
        <v>1</v>
      </c>
      <c r="BW24" s="73">
        <v>2</v>
      </c>
      <c r="BX24" s="73"/>
      <c r="BY24" s="73">
        <v>1</v>
      </c>
      <c r="BZ24" s="73">
        <v>1</v>
      </c>
      <c r="CA24" s="73">
        <v>1</v>
      </c>
      <c r="CB24" s="73">
        <v>1</v>
      </c>
      <c r="CC24" s="73">
        <v>1</v>
      </c>
      <c r="CD24" s="73"/>
      <c r="CE24" s="73"/>
      <c r="CF24" s="73"/>
      <c r="CG24" s="73"/>
      <c r="CH24" s="73">
        <v>4</v>
      </c>
      <c r="CI24" s="73"/>
      <c r="CJ24" s="73">
        <v>1</v>
      </c>
      <c r="CK24" s="73">
        <v>1</v>
      </c>
      <c r="CL24" s="73">
        <v>1</v>
      </c>
      <c r="CM24" s="73"/>
      <c r="CN24" s="73"/>
      <c r="CO24" s="73">
        <v>1</v>
      </c>
      <c r="CP24" s="73">
        <v>1</v>
      </c>
      <c r="CQ24" s="73">
        <v>1</v>
      </c>
      <c r="CR24" s="73">
        <v>1</v>
      </c>
      <c r="CS24" s="73"/>
      <c r="CT24" s="73">
        <v>1</v>
      </c>
      <c r="CU24" s="73"/>
      <c r="CV24" s="73"/>
      <c r="CW24" s="73">
        <v>1</v>
      </c>
      <c r="CX24" s="73"/>
      <c r="CY24" s="73"/>
      <c r="CZ24" s="73">
        <v>1</v>
      </c>
      <c r="DA24" s="73"/>
      <c r="DB24" s="73"/>
      <c r="DC24" s="73">
        <v>1</v>
      </c>
      <c r="DD24" s="73"/>
      <c r="DE24" s="73"/>
      <c r="DF24" s="73"/>
      <c r="DG24" s="73"/>
      <c r="DH24" s="73"/>
      <c r="DI24" s="73"/>
      <c r="DJ24" s="73">
        <v>1</v>
      </c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>
        <v>2</v>
      </c>
      <c r="DY24" s="43"/>
      <c r="EG24" s="146"/>
      <c r="EH24" s="146"/>
      <c r="EI24" s="146"/>
      <c r="EJ24" s="141">
        <v>1</v>
      </c>
      <c r="EK24" s="141">
        <v>2</v>
      </c>
      <c r="EL24" s="141">
        <v>3</v>
      </c>
      <c r="EM24" s="141">
        <v>4</v>
      </c>
      <c r="EN24" s="141">
        <v>5</v>
      </c>
      <c r="EO24" s="4">
        <v>6</v>
      </c>
      <c r="EP24" s="141">
        <v>7</v>
      </c>
      <c r="EQ24" s="4">
        <v>8</v>
      </c>
      <c r="ER24" s="141">
        <v>9</v>
      </c>
      <c r="ES24" s="142">
        <v>10</v>
      </c>
      <c r="ET24" s="146"/>
      <c r="EU24" s="146"/>
      <c r="EV24" s="146"/>
      <c r="EW24" s="146"/>
      <c r="EX24" s="146"/>
      <c r="FC24" s="138"/>
      <c r="FD24" s="138"/>
      <c r="FE24" s="174" t="s">
        <v>84</v>
      </c>
      <c r="FF24" s="175"/>
      <c r="FG24" s="175"/>
      <c r="FH24" s="175"/>
      <c r="FI24" s="175"/>
      <c r="FJ24" s="175"/>
      <c r="FK24" s="175"/>
      <c r="FL24" s="175"/>
      <c r="FM24" s="175"/>
      <c r="FN24" s="176"/>
      <c r="FO24" s="138"/>
      <c r="FP24" s="138"/>
      <c r="FQ24" s="20"/>
      <c r="FR24" s="20"/>
      <c r="FS24" s="20"/>
      <c r="FT24" s="20"/>
      <c r="FU24" s="20"/>
    </row>
    <row r="25" spans="1:177" s="13" customFormat="1" ht="13.2" customHeight="1" x14ac:dyDescent="0.25">
      <c r="A25" s="179"/>
      <c r="B25" s="180"/>
      <c r="C25" s="10">
        <f>E34+1</f>
        <v>11</v>
      </c>
      <c r="D25" s="10">
        <f>F31+1</f>
        <v>8</v>
      </c>
      <c r="E25" s="10">
        <f>H34+1</f>
        <v>12</v>
      </c>
      <c r="F25" s="10">
        <f>F37+1</f>
        <v>7</v>
      </c>
      <c r="G25" s="10">
        <f>J34+1</f>
        <v>5</v>
      </c>
      <c r="H25" s="10">
        <f>H37+1</f>
        <v>8</v>
      </c>
      <c r="I25" s="44"/>
      <c r="J25" s="156">
        <f>F124+1</f>
        <v>8</v>
      </c>
      <c r="K25" s="44"/>
      <c r="L25" s="159"/>
      <c r="M25" s="44"/>
      <c r="X25" s="44"/>
      <c r="Y25" s="164">
        <v>81</v>
      </c>
      <c r="Z25" s="83">
        <v>82</v>
      </c>
      <c r="AA25" s="83">
        <v>83</v>
      </c>
      <c r="AB25" s="83">
        <v>84</v>
      </c>
      <c r="AC25" s="83">
        <v>85</v>
      </c>
      <c r="AD25" s="83">
        <v>86</v>
      </c>
      <c r="AE25" s="83">
        <v>87</v>
      </c>
      <c r="AF25" s="83">
        <v>88</v>
      </c>
      <c r="AG25" s="165">
        <v>89</v>
      </c>
      <c r="AH25" s="84">
        <v>90</v>
      </c>
      <c r="AI25" s="149"/>
      <c r="AJ25" s="9">
        <v>23</v>
      </c>
      <c r="AK25" s="19">
        <v>69</v>
      </c>
      <c r="AL25" s="85">
        <v>46111</v>
      </c>
      <c r="AM25" s="19">
        <v>19</v>
      </c>
      <c r="AN25" s="42"/>
      <c r="AO25" s="54">
        <v>26</v>
      </c>
      <c r="AP25" s="19">
        <v>52</v>
      </c>
      <c r="AQ25" s="85">
        <v>46120</v>
      </c>
      <c r="AR25" s="19">
        <v>15</v>
      </c>
      <c r="AS25" s="42"/>
      <c r="AT25" s="112">
        <v>81</v>
      </c>
      <c r="AU25" s="112">
        <v>53</v>
      </c>
      <c r="AV25" s="108">
        <v>1</v>
      </c>
      <c r="AW25" s="132">
        <v>46153</v>
      </c>
      <c r="AX25" s="111"/>
      <c r="AY25" s="112">
        <v>65</v>
      </c>
      <c r="AZ25" s="112">
        <v>50</v>
      </c>
      <c r="BA25" s="112">
        <v>31</v>
      </c>
      <c r="BB25" s="132">
        <v>46083</v>
      </c>
      <c r="BC25" s="111"/>
      <c r="BD25" s="108">
        <v>37</v>
      </c>
      <c r="BE25" s="108">
        <v>60</v>
      </c>
      <c r="BF25" s="108">
        <v>5</v>
      </c>
      <c r="BG25" s="132">
        <v>46144</v>
      </c>
      <c r="BH25" s="43">
        <v>46048</v>
      </c>
      <c r="BI25" s="53">
        <v>46146</v>
      </c>
      <c r="BJ25" s="64">
        <v>12</v>
      </c>
      <c r="BK25" s="66">
        <v>12</v>
      </c>
      <c r="BL25" s="63">
        <v>4</v>
      </c>
      <c r="BM25" s="63">
        <v>68</v>
      </c>
      <c r="BN25" s="64">
        <v>12</v>
      </c>
      <c r="BO25" s="68">
        <v>4</v>
      </c>
      <c r="BP25" s="68">
        <v>3</v>
      </c>
      <c r="BQ25" s="68">
        <v>8</v>
      </c>
      <c r="BR25" s="68">
        <v>3</v>
      </c>
      <c r="BS25" s="68">
        <v>5</v>
      </c>
      <c r="BT25" s="68">
        <v>3</v>
      </c>
      <c r="BU25" s="68">
        <v>2</v>
      </c>
      <c r="BV25" s="68">
        <v>4</v>
      </c>
      <c r="BW25" s="68">
        <v>3</v>
      </c>
      <c r="BX25" s="68"/>
      <c r="BY25" s="68">
        <v>2</v>
      </c>
      <c r="BZ25" s="68">
        <v>2</v>
      </c>
      <c r="CA25" s="68"/>
      <c r="CB25" s="68">
        <v>2</v>
      </c>
      <c r="CC25" s="68"/>
      <c r="CD25" s="68"/>
      <c r="CE25" s="68">
        <v>3</v>
      </c>
      <c r="CF25" s="68"/>
      <c r="CG25" s="68">
        <v>4</v>
      </c>
      <c r="CH25" s="68"/>
      <c r="CI25" s="68">
        <v>1</v>
      </c>
      <c r="CJ25" s="68"/>
      <c r="CK25" s="68">
        <v>1</v>
      </c>
      <c r="CL25" s="68"/>
      <c r="CM25" s="68">
        <v>1</v>
      </c>
      <c r="CN25" s="68">
        <v>3</v>
      </c>
      <c r="CO25" s="68"/>
      <c r="CP25" s="68"/>
      <c r="CQ25" s="68">
        <v>1</v>
      </c>
      <c r="CR25" s="68"/>
      <c r="CS25" s="68"/>
      <c r="CT25" s="68">
        <v>1</v>
      </c>
      <c r="CU25" s="68">
        <v>2</v>
      </c>
      <c r="CV25" s="68"/>
      <c r="CW25" s="68"/>
      <c r="CX25" s="68"/>
      <c r="CY25" s="68"/>
      <c r="CZ25" s="68"/>
      <c r="DA25" s="68"/>
      <c r="DB25" s="68">
        <v>1</v>
      </c>
      <c r="DC25" s="68">
        <v>1</v>
      </c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>
        <v>1</v>
      </c>
      <c r="DY25" s="43"/>
      <c r="EG25" s="146"/>
      <c r="EH25" s="146"/>
      <c r="EI25" s="146"/>
      <c r="EJ25" s="141">
        <v>11</v>
      </c>
      <c r="EK25" s="4">
        <v>12</v>
      </c>
      <c r="EL25" s="4">
        <v>13</v>
      </c>
      <c r="EM25" s="4">
        <v>14</v>
      </c>
      <c r="EN25" s="141">
        <v>15</v>
      </c>
      <c r="EO25" s="4">
        <v>16</v>
      </c>
      <c r="EP25" s="141">
        <v>17</v>
      </c>
      <c r="EQ25" s="4">
        <v>18</v>
      </c>
      <c r="ER25" s="141">
        <v>19</v>
      </c>
      <c r="ES25" s="141">
        <v>20</v>
      </c>
      <c r="ET25" s="146"/>
      <c r="EU25" s="146"/>
      <c r="EV25" s="146"/>
      <c r="EW25" s="146"/>
      <c r="EX25" s="146"/>
      <c r="FC25" s="138"/>
      <c r="FD25" s="138"/>
      <c r="FE25" s="141">
        <v>1</v>
      </c>
      <c r="FF25" s="141">
        <v>2</v>
      </c>
      <c r="FG25" s="141">
        <v>3</v>
      </c>
      <c r="FH25" s="141">
        <v>4</v>
      </c>
      <c r="FI25" s="141">
        <v>5</v>
      </c>
      <c r="FJ25" s="141">
        <v>6</v>
      </c>
      <c r="FK25" s="4">
        <v>7</v>
      </c>
      <c r="FL25" s="4">
        <v>8</v>
      </c>
      <c r="FM25" s="141">
        <v>9</v>
      </c>
      <c r="FN25" s="142">
        <v>10</v>
      </c>
      <c r="FO25" s="138"/>
      <c r="FP25" s="138"/>
      <c r="FQ25" s="20"/>
      <c r="FR25" s="20"/>
      <c r="FS25" s="20"/>
      <c r="FT25" s="20"/>
      <c r="FU25" s="20"/>
    </row>
    <row r="26" spans="1:177" s="13" customFormat="1" ht="12.6" customHeight="1" x14ac:dyDescent="0.25">
      <c r="A26" s="177">
        <v>108</v>
      </c>
      <c r="B26" s="180">
        <v>8</v>
      </c>
      <c r="C26" s="14">
        <f>A26-A107-1</f>
        <v>26</v>
      </c>
      <c r="D26" s="14">
        <f>A26-A56-1</f>
        <v>9</v>
      </c>
      <c r="E26" s="14">
        <f>A26-A29-1</f>
        <v>0</v>
      </c>
      <c r="F26" s="14">
        <f>A26-A122-1</f>
        <v>31</v>
      </c>
      <c r="G26" s="14">
        <f>A26-A41-1</f>
        <v>4</v>
      </c>
      <c r="H26" s="14">
        <f>A26-A44-1</f>
        <v>5</v>
      </c>
      <c r="I26" s="44"/>
      <c r="J26" s="156">
        <f>A26-A56-1</f>
        <v>9</v>
      </c>
      <c r="K26" s="44"/>
      <c r="M26" s="44"/>
      <c r="X26" s="44"/>
      <c r="AI26" s="149"/>
      <c r="AJ26" s="9">
        <v>69</v>
      </c>
      <c r="AK26" s="19">
        <v>69</v>
      </c>
      <c r="AL26" s="85">
        <v>46130</v>
      </c>
      <c r="AM26" s="19">
        <v>11</v>
      </c>
      <c r="AN26" s="42"/>
      <c r="AO26" s="54">
        <v>70</v>
      </c>
      <c r="AP26" s="19">
        <v>52</v>
      </c>
      <c r="AQ26" s="85">
        <v>46155</v>
      </c>
      <c r="AR26" s="19" t="s">
        <v>0</v>
      </c>
      <c r="AS26" s="42"/>
      <c r="AT26" s="112">
        <v>17</v>
      </c>
      <c r="AU26" s="112">
        <v>36</v>
      </c>
      <c r="AV26" s="108">
        <v>2</v>
      </c>
      <c r="AW26" s="132">
        <v>46151</v>
      </c>
      <c r="AX26" s="111"/>
      <c r="AY26" s="112">
        <v>44</v>
      </c>
      <c r="AZ26" s="112">
        <v>61</v>
      </c>
      <c r="BA26" s="112">
        <v>30</v>
      </c>
      <c r="BB26" s="132">
        <v>46085</v>
      </c>
      <c r="BC26" s="111"/>
      <c r="BD26" s="108">
        <v>41</v>
      </c>
      <c r="BE26" s="108">
        <v>66</v>
      </c>
      <c r="BF26" s="108" t="s">
        <v>0</v>
      </c>
      <c r="BG26" s="132">
        <v>46155</v>
      </c>
      <c r="BH26" s="43">
        <v>46053</v>
      </c>
      <c r="BI26" s="53">
        <v>46125</v>
      </c>
      <c r="BJ26" s="64">
        <v>13</v>
      </c>
      <c r="BK26" s="71">
        <v>13</v>
      </c>
      <c r="BL26" s="77">
        <v>13</v>
      </c>
      <c r="BM26" s="77">
        <v>69</v>
      </c>
      <c r="BN26" s="72">
        <v>10</v>
      </c>
      <c r="BO26" s="73">
        <v>8</v>
      </c>
      <c r="BP26" s="73">
        <v>3</v>
      </c>
      <c r="BQ26" s="73">
        <v>2</v>
      </c>
      <c r="BR26" s="73">
        <v>1</v>
      </c>
      <c r="BS26" s="73">
        <v>2</v>
      </c>
      <c r="BT26" s="73">
        <v>6</v>
      </c>
      <c r="BU26" s="73">
        <v>2</v>
      </c>
      <c r="BV26" s="73">
        <v>5</v>
      </c>
      <c r="BW26" s="73">
        <v>6</v>
      </c>
      <c r="BX26" s="73">
        <v>1</v>
      </c>
      <c r="BY26" s="73"/>
      <c r="BZ26" s="73">
        <v>1</v>
      </c>
      <c r="CA26" s="73">
        <v>2</v>
      </c>
      <c r="CB26" s="73">
        <v>2</v>
      </c>
      <c r="CC26" s="73">
        <v>1</v>
      </c>
      <c r="CD26" s="73">
        <v>2</v>
      </c>
      <c r="CE26" s="73">
        <v>3</v>
      </c>
      <c r="CF26" s="73">
        <v>3</v>
      </c>
      <c r="CG26" s="73">
        <v>1</v>
      </c>
      <c r="CH26" s="73">
        <v>2</v>
      </c>
      <c r="CI26" s="73"/>
      <c r="CJ26" s="73"/>
      <c r="CK26" s="73">
        <v>1</v>
      </c>
      <c r="CL26" s="73"/>
      <c r="CM26" s="73"/>
      <c r="CN26" s="73">
        <v>2</v>
      </c>
      <c r="CO26" s="73"/>
      <c r="CP26" s="73"/>
      <c r="CQ26" s="73">
        <v>1</v>
      </c>
      <c r="CR26" s="73"/>
      <c r="CS26" s="73"/>
      <c r="CT26" s="73"/>
      <c r="CU26" s="73">
        <v>1</v>
      </c>
      <c r="CV26" s="73"/>
      <c r="CW26" s="73"/>
      <c r="CX26" s="73">
        <v>1</v>
      </c>
      <c r="CY26" s="73"/>
      <c r="CZ26" s="73"/>
      <c r="DA26" s="73"/>
      <c r="DB26" s="73"/>
      <c r="DC26" s="73"/>
      <c r="DD26" s="73">
        <v>1</v>
      </c>
      <c r="DE26" s="73"/>
      <c r="DF26" s="73">
        <v>1</v>
      </c>
      <c r="DG26" s="73">
        <v>1</v>
      </c>
      <c r="DH26" s="73"/>
      <c r="DI26" s="73"/>
      <c r="DJ26" s="73"/>
      <c r="DK26" s="73"/>
      <c r="DL26" s="73">
        <v>1</v>
      </c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43"/>
      <c r="EG26" s="146"/>
      <c r="EH26" s="146"/>
      <c r="EI26" s="146"/>
      <c r="EJ26" s="141">
        <v>21</v>
      </c>
      <c r="EK26" s="141">
        <v>22</v>
      </c>
      <c r="EL26" s="4">
        <v>23</v>
      </c>
      <c r="EM26" s="4">
        <v>24</v>
      </c>
      <c r="EN26" s="141">
        <v>25</v>
      </c>
      <c r="EO26" s="4">
        <v>26</v>
      </c>
      <c r="EP26" s="4">
        <v>27</v>
      </c>
      <c r="EQ26" s="4">
        <v>28</v>
      </c>
      <c r="ER26" s="4">
        <v>29</v>
      </c>
      <c r="ES26" s="142">
        <v>30</v>
      </c>
      <c r="ET26" s="146"/>
      <c r="EU26" s="146"/>
      <c r="EV26" s="146"/>
      <c r="EW26" s="146"/>
      <c r="EX26" s="146"/>
      <c r="FC26" s="138"/>
      <c r="FD26" s="138"/>
      <c r="FE26" s="141">
        <v>11</v>
      </c>
      <c r="FF26" s="141">
        <v>12</v>
      </c>
      <c r="FG26" s="96">
        <v>13</v>
      </c>
      <c r="FH26" s="4">
        <v>14</v>
      </c>
      <c r="FI26" s="141">
        <v>15</v>
      </c>
      <c r="FJ26" s="141">
        <v>16</v>
      </c>
      <c r="FK26" s="141">
        <v>17</v>
      </c>
      <c r="FL26" s="141">
        <v>18</v>
      </c>
      <c r="FM26" s="4">
        <v>19</v>
      </c>
      <c r="FN26" s="147">
        <v>20</v>
      </c>
      <c r="FO26" s="138"/>
      <c r="FP26" s="138"/>
      <c r="FQ26" s="20"/>
      <c r="FR26" s="20"/>
      <c r="FS26" s="20"/>
      <c r="FT26" s="20"/>
      <c r="FU26" s="20"/>
    </row>
    <row r="27" spans="1:177" s="13" customFormat="1" ht="12.6" customHeight="1" x14ac:dyDescent="0.25">
      <c r="A27" s="178"/>
      <c r="B27" s="180"/>
      <c r="C27" s="114">
        <v>11</v>
      </c>
      <c r="D27" s="115">
        <v>19</v>
      </c>
      <c r="E27" s="115">
        <v>27</v>
      </c>
      <c r="F27" s="115">
        <v>34</v>
      </c>
      <c r="G27" s="115">
        <v>35</v>
      </c>
      <c r="H27" s="115">
        <v>81</v>
      </c>
      <c r="I27" s="44"/>
      <c r="J27" s="115">
        <v>29</v>
      </c>
      <c r="K27" s="44"/>
      <c r="L27" s="159">
        <v>46139</v>
      </c>
      <c r="M27" s="44"/>
      <c r="N27" s="174">
        <v>46155</v>
      </c>
      <c r="O27" s="175"/>
      <c r="P27" s="175"/>
      <c r="Q27" s="175"/>
      <c r="R27" s="175"/>
      <c r="S27" s="175"/>
      <c r="T27" s="175"/>
      <c r="U27" s="175"/>
      <c r="V27" s="175"/>
      <c r="W27" s="176"/>
      <c r="X27" s="44"/>
      <c r="Y27" s="174">
        <v>46153</v>
      </c>
      <c r="Z27" s="175"/>
      <c r="AA27" s="175"/>
      <c r="AB27" s="175"/>
      <c r="AC27" s="175"/>
      <c r="AD27" s="175"/>
      <c r="AE27" s="175"/>
      <c r="AF27" s="175"/>
      <c r="AG27" s="175"/>
      <c r="AH27" s="176"/>
      <c r="AI27" s="149"/>
      <c r="AJ27" s="9">
        <v>12</v>
      </c>
      <c r="AK27" s="19">
        <v>68</v>
      </c>
      <c r="AL27" s="85">
        <v>46146</v>
      </c>
      <c r="AM27" s="19">
        <v>4</v>
      </c>
      <c r="AN27" s="42"/>
      <c r="AO27" s="54">
        <v>76</v>
      </c>
      <c r="AP27" s="19">
        <v>52</v>
      </c>
      <c r="AQ27" s="85">
        <v>46127</v>
      </c>
      <c r="AR27" s="19">
        <v>12</v>
      </c>
      <c r="AS27" s="42"/>
      <c r="AT27" s="112">
        <v>25</v>
      </c>
      <c r="AU27" s="112">
        <v>63</v>
      </c>
      <c r="AV27" s="108">
        <v>2</v>
      </c>
      <c r="AW27" s="132">
        <v>46151</v>
      </c>
      <c r="AX27" s="111"/>
      <c r="AY27" s="112">
        <v>57</v>
      </c>
      <c r="AZ27" s="112">
        <v>62</v>
      </c>
      <c r="BA27" s="112">
        <v>27</v>
      </c>
      <c r="BB27" s="132">
        <v>46092</v>
      </c>
      <c r="BC27" s="111"/>
      <c r="BD27" s="108">
        <v>43</v>
      </c>
      <c r="BE27" s="108">
        <v>60</v>
      </c>
      <c r="BF27" s="108">
        <v>16</v>
      </c>
      <c r="BG27" s="132">
        <v>46118</v>
      </c>
      <c r="BH27" s="43">
        <v>46055</v>
      </c>
      <c r="BI27" s="53">
        <v>46106</v>
      </c>
      <c r="BJ27" s="64">
        <v>14</v>
      </c>
      <c r="BK27" s="65">
        <v>14</v>
      </c>
      <c r="BL27" s="63">
        <v>21</v>
      </c>
      <c r="BM27" s="63">
        <v>60</v>
      </c>
      <c r="BN27" s="64">
        <v>13</v>
      </c>
      <c r="BO27" s="68">
        <v>9</v>
      </c>
      <c r="BP27" s="68">
        <v>4</v>
      </c>
      <c r="BQ27" s="68"/>
      <c r="BR27" s="68">
        <v>2</v>
      </c>
      <c r="BS27" s="68">
        <v>2</v>
      </c>
      <c r="BT27" s="68">
        <v>1</v>
      </c>
      <c r="BU27" s="68"/>
      <c r="BV27" s="68">
        <v>2</v>
      </c>
      <c r="BW27" s="68">
        <v>3</v>
      </c>
      <c r="BX27" s="68">
        <v>1</v>
      </c>
      <c r="BY27" s="68">
        <v>3</v>
      </c>
      <c r="BZ27" s="68">
        <v>2</v>
      </c>
      <c r="CA27" s="68">
        <v>3</v>
      </c>
      <c r="CB27" s="68">
        <v>1</v>
      </c>
      <c r="CC27" s="68">
        <v>1</v>
      </c>
      <c r="CD27" s="68">
        <v>2</v>
      </c>
      <c r="CE27" s="68">
        <v>1</v>
      </c>
      <c r="CF27" s="68"/>
      <c r="CG27" s="68">
        <v>1</v>
      </c>
      <c r="CH27" s="68">
        <v>1</v>
      </c>
      <c r="CI27" s="68"/>
      <c r="CJ27" s="68">
        <v>1</v>
      </c>
      <c r="CK27" s="68"/>
      <c r="CL27" s="68">
        <v>1</v>
      </c>
      <c r="CM27" s="68">
        <v>3</v>
      </c>
      <c r="CN27" s="68"/>
      <c r="CO27" s="68">
        <v>2</v>
      </c>
      <c r="CP27" s="68"/>
      <c r="CQ27" s="68"/>
      <c r="CR27" s="68"/>
      <c r="CS27" s="68">
        <v>1</v>
      </c>
      <c r="CT27" s="68">
        <v>2</v>
      </c>
      <c r="CU27" s="68">
        <v>1</v>
      </c>
      <c r="CV27" s="68">
        <v>2</v>
      </c>
      <c r="CW27" s="68"/>
      <c r="CX27" s="68"/>
      <c r="CY27" s="68"/>
      <c r="CZ27" s="68"/>
      <c r="DA27" s="68">
        <v>1</v>
      </c>
      <c r="DB27" s="68"/>
      <c r="DC27" s="68"/>
      <c r="DD27" s="68"/>
      <c r="DE27" s="68"/>
      <c r="DF27" s="68">
        <v>1</v>
      </c>
      <c r="DG27" s="68"/>
      <c r="DH27" s="68"/>
      <c r="DI27" s="68"/>
      <c r="DJ27" s="68"/>
      <c r="DK27" s="68"/>
      <c r="DL27" s="68"/>
      <c r="DM27" s="68">
        <v>1</v>
      </c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43"/>
      <c r="EG27" s="146"/>
      <c r="EH27" s="146"/>
      <c r="EI27" s="146"/>
      <c r="EJ27" s="141">
        <v>31</v>
      </c>
      <c r="EK27" s="141">
        <v>32</v>
      </c>
      <c r="EL27" s="4">
        <v>33</v>
      </c>
      <c r="EM27" s="4">
        <v>34</v>
      </c>
      <c r="EN27" s="141">
        <v>35</v>
      </c>
      <c r="EO27" s="141">
        <v>36</v>
      </c>
      <c r="EP27" s="141">
        <v>37</v>
      </c>
      <c r="EQ27" s="4">
        <v>38</v>
      </c>
      <c r="ER27" s="141">
        <v>39</v>
      </c>
      <c r="ES27" s="41">
        <v>40</v>
      </c>
      <c r="ET27" s="146"/>
      <c r="EU27" s="146"/>
      <c r="EV27" s="146"/>
      <c r="EW27" s="146"/>
      <c r="EX27" s="146"/>
      <c r="FC27" s="138"/>
      <c r="FD27" s="138"/>
      <c r="FE27" s="141">
        <v>21</v>
      </c>
      <c r="FF27" s="141">
        <v>22</v>
      </c>
      <c r="FG27" s="141">
        <v>23</v>
      </c>
      <c r="FH27" s="4">
        <v>24</v>
      </c>
      <c r="FI27" s="141">
        <v>25</v>
      </c>
      <c r="FJ27" s="141">
        <v>26</v>
      </c>
      <c r="FK27" s="4">
        <v>27</v>
      </c>
      <c r="FL27" s="4">
        <v>28</v>
      </c>
      <c r="FM27" s="4">
        <v>29</v>
      </c>
      <c r="FN27" s="41">
        <v>30</v>
      </c>
      <c r="FO27" s="138"/>
      <c r="FP27" s="138"/>
      <c r="FQ27" s="20"/>
      <c r="FR27" s="20"/>
      <c r="FS27" s="20"/>
      <c r="FT27" s="20"/>
      <c r="FU27" s="20"/>
    </row>
    <row r="28" spans="1:177" s="13" customFormat="1" ht="13.2" customHeight="1" x14ac:dyDescent="0.25">
      <c r="A28" s="179"/>
      <c r="B28" s="180"/>
      <c r="C28" s="10">
        <f>F109+1</f>
        <v>3</v>
      </c>
      <c r="D28" s="10">
        <f>C58+1</f>
        <v>9</v>
      </c>
      <c r="E28" s="10">
        <f>D31+1</f>
        <v>8</v>
      </c>
      <c r="F28" s="10">
        <f>D112+1</f>
        <v>8</v>
      </c>
      <c r="G28" s="10">
        <f>D43+1</f>
        <v>10</v>
      </c>
      <c r="H28" s="10">
        <f>H46+1</f>
        <v>7</v>
      </c>
      <c r="I28" s="44"/>
      <c r="J28" s="156">
        <f>D58+1</f>
        <v>15</v>
      </c>
      <c r="K28" s="44"/>
      <c r="L28" s="159"/>
      <c r="M28" s="44"/>
      <c r="N28" s="119">
        <v>1</v>
      </c>
      <c r="O28" s="119">
        <v>2</v>
      </c>
      <c r="P28" s="119">
        <v>3</v>
      </c>
      <c r="Q28" s="119">
        <v>4</v>
      </c>
      <c r="R28" s="119">
        <v>5</v>
      </c>
      <c r="S28" s="162">
        <v>6</v>
      </c>
      <c r="T28" s="119">
        <v>7</v>
      </c>
      <c r="U28" s="119">
        <v>8</v>
      </c>
      <c r="V28" s="119">
        <v>9</v>
      </c>
      <c r="W28" s="154">
        <v>10</v>
      </c>
      <c r="X28" s="44"/>
      <c r="Y28" s="119">
        <v>1</v>
      </c>
      <c r="Z28" s="119">
        <v>2</v>
      </c>
      <c r="AA28" s="119">
        <v>3</v>
      </c>
      <c r="AB28" s="119">
        <v>4</v>
      </c>
      <c r="AC28" s="119">
        <v>5</v>
      </c>
      <c r="AD28" s="119">
        <v>6</v>
      </c>
      <c r="AE28" s="119">
        <v>7</v>
      </c>
      <c r="AF28" s="119">
        <v>8</v>
      </c>
      <c r="AG28" s="119">
        <v>9</v>
      </c>
      <c r="AH28" s="154">
        <v>10</v>
      </c>
      <c r="AI28" s="149"/>
      <c r="AJ28" s="9">
        <v>1</v>
      </c>
      <c r="AK28" s="19">
        <v>67</v>
      </c>
      <c r="AL28" s="85">
        <v>46069</v>
      </c>
      <c r="AM28" s="19">
        <v>37</v>
      </c>
      <c r="AN28" s="42"/>
      <c r="AO28" s="54">
        <v>2</v>
      </c>
      <c r="AP28" s="19">
        <v>53</v>
      </c>
      <c r="AQ28" s="85">
        <v>46123</v>
      </c>
      <c r="AR28" s="19">
        <v>14</v>
      </c>
      <c r="AS28" s="42"/>
      <c r="AT28" s="112">
        <v>28</v>
      </c>
      <c r="AU28" s="112">
        <v>59</v>
      </c>
      <c r="AV28" s="108">
        <v>2</v>
      </c>
      <c r="AW28" s="132">
        <v>46151</v>
      </c>
      <c r="AX28" s="111"/>
      <c r="AY28" s="112">
        <v>32</v>
      </c>
      <c r="AZ28" s="112">
        <v>63</v>
      </c>
      <c r="BA28" s="112">
        <v>26</v>
      </c>
      <c r="BB28" s="132">
        <v>46095</v>
      </c>
      <c r="BC28" s="111"/>
      <c r="BD28" s="108">
        <v>47</v>
      </c>
      <c r="BE28" s="108">
        <v>67</v>
      </c>
      <c r="BF28" s="108">
        <v>4</v>
      </c>
      <c r="BG28" s="132">
        <v>46146</v>
      </c>
      <c r="BH28" s="43">
        <v>46055</v>
      </c>
      <c r="BI28" s="53">
        <v>46067</v>
      </c>
      <c r="BJ28" s="64">
        <v>15</v>
      </c>
      <c r="BK28" s="71">
        <v>15</v>
      </c>
      <c r="BL28" s="77">
        <v>38</v>
      </c>
      <c r="BM28" s="77">
        <v>61</v>
      </c>
      <c r="BN28" s="72">
        <v>7</v>
      </c>
      <c r="BO28" s="73">
        <v>3</v>
      </c>
      <c r="BP28" s="73">
        <v>3</v>
      </c>
      <c r="BQ28" s="73">
        <v>5</v>
      </c>
      <c r="BR28" s="73"/>
      <c r="BS28" s="73">
        <v>5</v>
      </c>
      <c r="BT28" s="73">
        <v>4</v>
      </c>
      <c r="BU28" s="73">
        <v>2</v>
      </c>
      <c r="BV28" s="73">
        <v>4</v>
      </c>
      <c r="BW28" s="73">
        <v>1</v>
      </c>
      <c r="BX28" s="73">
        <v>1</v>
      </c>
      <c r="BY28" s="73">
        <v>4</v>
      </c>
      <c r="BZ28" s="73">
        <v>3</v>
      </c>
      <c r="CA28" s="73">
        <v>1</v>
      </c>
      <c r="CB28" s="73">
        <v>2</v>
      </c>
      <c r="CC28" s="73">
        <v>1</v>
      </c>
      <c r="CD28" s="73">
        <v>1</v>
      </c>
      <c r="CE28" s="73"/>
      <c r="CF28" s="73">
        <v>2</v>
      </c>
      <c r="CG28" s="73">
        <v>2</v>
      </c>
      <c r="CH28" s="73"/>
      <c r="CI28" s="73">
        <v>1</v>
      </c>
      <c r="CJ28" s="73">
        <v>1</v>
      </c>
      <c r="CK28" s="73"/>
      <c r="CL28" s="73">
        <v>2</v>
      </c>
      <c r="CM28" s="73"/>
      <c r="CN28" s="73">
        <v>2</v>
      </c>
      <c r="CO28" s="73"/>
      <c r="CP28" s="73">
        <v>1</v>
      </c>
      <c r="CQ28" s="73"/>
      <c r="CR28" s="73"/>
      <c r="CS28" s="73"/>
      <c r="CT28" s="73">
        <v>1</v>
      </c>
      <c r="CU28" s="73">
        <v>1</v>
      </c>
      <c r="CV28" s="73"/>
      <c r="CW28" s="73">
        <v>2</v>
      </c>
      <c r="CX28" s="73"/>
      <c r="CY28" s="73">
        <v>1</v>
      </c>
      <c r="CZ28" s="73"/>
      <c r="DA28" s="73">
        <v>1</v>
      </c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>
        <v>1</v>
      </c>
      <c r="DY28" s="43"/>
      <c r="EG28" s="146"/>
      <c r="EH28" s="146"/>
      <c r="EI28" s="146"/>
      <c r="EJ28" s="141">
        <v>41</v>
      </c>
      <c r="EK28" s="4">
        <v>42</v>
      </c>
      <c r="EL28" s="141">
        <v>43</v>
      </c>
      <c r="EM28" s="4">
        <v>44</v>
      </c>
      <c r="EN28" s="4">
        <v>45</v>
      </c>
      <c r="EO28" s="4">
        <v>46</v>
      </c>
      <c r="EP28" s="141">
        <v>47</v>
      </c>
      <c r="EQ28" s="141">
        <v>48</v>
      </c>
      <c r="ER28" s="141">
        <v>49</v>
      </c>
      <c r="ES28" s="41">
        <v>50</v>
      </c>
      <c r="ET28" s="146"/>
      <c r="EU28" s="146"/>
      <c r="EV28" s="146"/>
      <c r="EW28" s="146"/>
      <c r="EX28" s="146"/>
      <c r="FC28" s="138"/>
      <c r="FD28" s="138"/>
      <c r="FE28" s="141">
        <v>31</v>
      </c>
      <c r="FF28" s="141">
        <v>32</v>
      </c>
      <c r="FG28" s="4">
        <v>33</v>
      </c>
      <c r="FH28" s="141">
        <v>34</v>
      </c>
      <c r="FI28" s="141">
        <v>35</v>
      </c>
      <c r="FJ28" s="141">
        <v>36</v>
      </c>
      <c r="FK28" s="141">
        <v>37</v>
      </c>
      <c r="FL28" s="4">
        <v>38</v>
      </c>
      <c r="FM28" s="4">
        <v>39</v>
      </c>
      <c r="FN28" s="142">
        <v>40</v>
      </c>
      <c r="FO28" s="138"/>
      <c r="FP28" s="138"/>
      <c r="FQ28" s="20"/>
      <c r="FR28" s="20"/>
      <c r="FS28" s="20"/>
      <c r="FT28" s="20"/>
      <c r="FU28" s="20"/>
    </row>
    <row r="29" spans="1:177" s="13" customFormat="1" ht="12.6" customHeight="1" x14ac:dyDescent="0.25">
      <c r="A29" s="177">
        <v>107</v>
      </c>
      <c r="B29" s="180">
        <v>9</v>
      </c>
      <c r="C29" s="14">
        <f>A29-A74-1</f>
        <v>14</v>
      </c>
      <c r="D29" s="14">
        <f>A29-A56-1</f>
        <v>8</v>
      </c>
      <c r="E29" s="14">
        <f>A29-A35-1</f>
        <v>1</v>
      </c>
      <c r="F29" s="14">
        <f>A29-A32-1</f>
        <v>0</v>
      </c>
      <c r="G29" s="14">
        <f>A29-A38-1</f>
        <v>2</v>
      </c>
      <c r="H29" s="14">
        <f>A29-A68-1</f>
        <v>12</v>
      </c>
      <c r="I29" s="44"/>
      <c r="J29" s="156">
        <f>A29-A101-1</f>
        <v>23</v>
      </c>
      <c r="K29" s="44"/>
      <c r="M29" s="44"/>
      <c r="N29" s="119">
        <v>11</v>
      </c>
      <c r="O29" s="119">
        <v>12</v>
      </c>
      <c r="P29" s="119">
        <v>13</v>
      </c>
      <c r="Q29" s="119">
        <v>14</v>
      </c>
      <c r="R29" s="119">
        <v>15</v>
      </c>
      <c r="S29" s="119">
        <v>16</v>
      </c>
      <c r="T29" s="119">
        <v>17</v>
      </c>
      <c r="U29" s="119">
        <v>18</v>
      </c>
      <c r="V29" s="119">
        <v>19</v>
      </c>
      <c r="W29" s="119">
        <v>20</v>
      </c>
      <c r="X29" s="44"/>
      <c r="Y29" s="119">
        <v>11</v>
      </c>
      <c r="Z29" s="119">
        <v>12</v>
      </c>
      <c r="AA29" s="119">
        <v>13</v>
      </c>
      <c r="AB29" s="119">
        <v>14</v>
      </c>
      <c r="AC29" s="119">
        <v>15</v>
      </c>
      <c r="AD29" s="119">
        <v>16</v>
      </c>
      <c r="AE29" s="119">
        <v>17</v>
      </c>
      <c r="AF29" s="162">
        <v>18</v>
      </c>
      <c r="AG29" s="119">
        <v>19</v>
      </c>
      <c r="AH29" s="119">
        <v>20</v>
      </c>
      <c r="AI29" s="149"/>
      <c r="AJ29" s="9">
        <v>5</v>
      </c>
      <c r="AK29" s="19">
        <v>67</v>
      </c>
      <c r="AL29" s="85">
        <v>46120</v>
      </c>
      <c r="AM29" s="19">
        <v>15</v>
      </c>
      <c r="AN29" s="42"/>
      <c r="AO29" s="54">
        <v>81</v>
      </c>
      <c r="AP29" s="19">
        <v>53</v>
      </c>
      <c r="AQ29" s="85">
        <v>46153</v>
      </c>
      <c r="AR29" s="19">
        <v>1</v>
      </c>
      <c r="AS29" s="42"/>
      <c r="AT29" s="112">
        <v>72</v>
      </c>
      <c r="AU29" s="112">
        <v>60</v>
      </c>
      <c r="AV29" s="108">
        <v>2</v>
      </c>
      <c r="AW29" s="132">
        <v>46151</v>
      </c>
      <c r="AX29" s="111"/>
      <c r="AY29" s="112">
        <v>46</v>
      </c>
      <c r="AZ29" s="112">
        <v>67</v>
      </c>
      <c r="BA29" s="112">
        <v>26</v>
      </c>
      <c r="BB29" s="132">
        <v>46095</v>
      </c>
      <c r="BC29" s="111"/>
      <c r="BD29" s="108">
        <v>53</v>
      </c>
      <c r="BE29" s="108">
        <v>59</v>
      </c>
      <c r="BF29" s="108">
        <v>1</v>
      </c>
      <c r="BG29" s="132">
        <v>46153</v>
      </c>
      <c r="BH29" s="43">
        <v>46057</v>
      </c>
      <c r="BI29" s="53">
        <v>46111</v>
      </c>
      <c r="BJ29" s="64">
        <v>16</v>
      </c>
      <c r="BK29" s="66">
        <v>16</v>
      </c>
      <c r="BL29" s="64">
        <v>19</v>
      </c>
      <c r="BM29" s="64">
        <v>48</v>
      </c>
      <c r="BN29" s="64">
        <v>7</v>
      </c>
      <c r="BO29" s="68">
        <v>1</v>
      </c>
      <c r="BP29" s="68">
        <v>1</v>
      </c>
      <c r="BQ29" s="68">
        <v>2</v>
      </c>
      <c r="BR29" s="68">
        <v>5</v>
      </c>
      <c r="BS29" s="68">
        <v>1</v>
      </c>
      <c r="BT29" s="68">
        <v>4</v>
      </c>
      <c r="BU29" s="68">
        <v>2</v>
      </c>
      <c r="BV29" s="68">
        <v>3</v>
      </c>
      <c r="BW29" s="68">
        <v>2</v>
      </c>
      <c r="BX29" s="68"/>
      <c r="BY29" s="68">
        <v>1</v>
      </c>
      <c r="BZ29" s="68">
        <v>1</v>
      </c>
      <c r="CA29" s="68">
        <v>2</v>
      </c>
      <c r="CB29" s="68"/>
      <c r="CC29" s="68"/>
      <c r="CD29" s="68">
        <v>1</v>
      </c>
      <c r="CE29" s="68"/>
      <c r="CF29" s="68">
        <v>2</v>
      </c>
      <c r="CG29" s="68"/>
      <c r="CH29" s="68">
        <v>1</v>
      </c>
      <c r="CI29" s="68">
        <v>1</v>
      </c>
      <c r="CJ29" s="68"/>
      <c r="CK29" s="68">
        <v>1</v>
      </c>
      <c r="CL29" s="68"/>
      <c r="CM29" s="68">
        <v>2</v>
      </c>
      <c r="CN29" s="68"/>
      <c r="CO29" s="68"/>
      <c r="CP29" s="68">
        <v>2</v>
      </c>
      <c r="CQ29" s="68">
        <v>1</v>
      </c>
      <c r="CR29" s="68">
        <v>1</v>
      </c>
      <c r="CS29" s="68"/>
      <c r="CT29" s="68"/>
      <c r="CU29" s="68">
        <v>1</v>
      </c>
      <c r="CV29" s="68"/>
      <c r="CW29" s="68"/>
      <c r="CX29" s="68"/>
      <c r="CY29" s="68"/>
      <c r="CZ29" s="68">
        <v>1</v>
      </c>
      <c r="DA29" s="68"/>
      <c r="DB29" s="68"/>
      <c r="DC29" s="68"/>
      <c r="DD29" s="68">
        <v>1</v>
      </c>
      <c r="DE29" s="68"/>
      <c r="DF29" s="68"/>
      <c r="DG29" s="68"/>
      <c r="DH29" s="68"/>
      <c r="DI29" s="68">
        <v>1</v>
      </c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>
        <v>1</v>
      </c>
      <c r="DU29" s="68"/>
      <c r="DV29" s="68"/>
      <c r="DW29" s="68"/>
      <c r="DX29" s="68">
        <v>2</v>
      </c>
      <c r="DY29" s="43"/>
      <c r="EG29" s="146"/>
      <c r="EH29" s="146"/>
      <c r="EI29" s="146"/>
      <c r="EJ29" s="141">
        <v>51</v>
      </c>
      <c r="EK29" s="4">
        <v>52</v>
      </c>
      <c r="EL29" s="141">
        <v>53</v>
      </c>
      <c r="EM29" s="141">
        <v>54</v>
      </c>
      <c r="EN29" s="4">
        <v>55</v>
      </c>
      <c r="EO29" s="4">
        <v>56</v>
      </c>
      <c r="EP29" s="4">
        <v>57</v>
      </c>
      <c r="EQ29" s="141">
        <v>58</v>
      </c>
      <c r="ER29" s="141">
        <v>59</v>
      </c>
      <c r="ES29" s="41">
        <v>60</v>
      </c>
      <c r="ET29" s="146"/>
      <c r="EU29" s="146"/>
      <c r="EV29" s="146"/>
      <c r="EW29" s="146"/>
      <c r="EX29" s="146"/>
      <c r="FC29" s="138"/>
      <c r="FD29" s="138"/>
      <c r="FE29" s="141">
        <v>41</v>
      </c>
      <c r="FF29" s="141">
        <v>42</v>
      </c>
      <c r="FG29" s="4">
        <v>43</v>
      </c>
      <c r="FH29" s="141">
        <v>44</v>
      </c>
      <c r="FI29" s="4">
        <v>45</v>
      </c>
      <c r="FJ29" s="141">
        <v>46</v>
      </c>
      <c r="FK29" s="96">
        <v>47</v>
      </c>
      <c r="FL29" s="4">
        <v>48</v>
      </c>
      <c r="FM29" s="141">
        <v>49</v>
      </c>
      <c r="FN29" s="142">
        <v>50</v>
      </c>
      <c r="FO29" s="138"/>
      <c r="FP29" s="138"/>
      <c r="FQ29" s="20"/>
      <c r="FR29" s="20"/>
      <c r="FS29" s="20"/>
      <c r="FT29" s="20"/>
      <c r="FU29" s="20"/>
    </row>
    <row r="30" spans="1:177" s="13" customFormat="1" ht="12.6" customHeight="1" x14ac:dyDescent="0.25">
      <c r="A30" s="178"/>
      <c r="B30" s="180"/>
      <c r="C30" s="114">
        <v>10</v>
      </c>
      <c r="D30" s="115">
        <v>27</v>
      </c>
      <c r="E30" s="115">
        <v>63</v>
      </c>
      <c r="F30" s="115">
        <v>64</v>
      </c>
      <c r="G30" s="115">
        <v>70</v>
      </c>
      <c r="H30" s="115">
        <v>90</v>
      </c>
      <c r="I30" s="44"/>
      <c r="J30" s="115">
        <v>61</v>
      </c>
      <c r="K30" s="44"/>
      <c r="L30" s="159">
        <v>46137</v>
      </c>
      <c r="M30" s="44"/>
      <c r="N30" s="119">
        <v>21</v>
      </c>
      <c r="O30" s="119">
        <v>22</v>
      </c>
      <c r="P30" s="119">
        <v>23</v>
      </c>
      <c r="Q30" s="119">
        <v>24</v>
      </c>
      <c r="R30" s="119">
        <v>25</v>
      </c>
      <c r="S30" s="119">
        <v>26</v>
      </c>
      <c r="T30" s="119">
        <v>27</v>
      </c>
      <c r="U30" s="119">
        <v>28</v>
      </c>
      <c r="V30" s="119">
        <v>29</v>
      </c>
      <c r="W30" s="154">
        <v>30</v>
      </c>
      <c r="X30" s="44"/>
      <c r="Y30" s="119">
        <v>21</v>
      </c>
      <c r="Z30" s="119">
        <v>22</v>
      </c>
      <c r="AA30" s="119">
        <v>23</v>
      </c>
      <c r="AB30" s="119">
        <v>24</v>
      </c>
      <c r="AC30" s="119">
        <v>25</v>
      </c>
      <c r="AD30" s="119">
        <v>26</v>
      </c>
      <c r="AE30" s="119">
        <v>27</v>
      </c>
      <c r="AF30" s="119">
        <v>28</v>
      </c>
      <c r="AG30" s="119">
        <v>29</v>
      </c>
      <c r="AH30" s="154">
        <v>30</v>
      </c>
      <c r="AI30" s="149"/>
      <c r="AJ30" s="9">
        <v>8</v>
      </c>
      <c r="AK30" s="19">
        <v>67</v>
      </c>
      <c r="AL30" s="85">
        <v>46069</v>
      </c>
      <c r="AM30" s="19">
        <v>37</v>
      </c>
      <c r="AN30" s="42"/>
      <c r="AO30" s="54">
        <v>19</v>
      </c>
      <c r="AP30" s="19">
        <v>54</v>
      </c>
      <c r="AQ30" s="85">
        <v>46139</v>
      </c>
      <c r="AR30" s="19">
        <v>7</v>
      </c>
      <c r="AS30" s="42"/>
      <c r="AT30" s="112">
        <v>79</v>
      </c>
      <c r="AU30" s="112">
        <v>51</v>
      </c>
      <c r="AV30" s="108">
        <v>2</v>
      </c>
      <c r="AW30" s="132">
        <v>46151</v>
      </c>
      <c r="AX30" s="111"/>
      <c r="AY30" s="112">
        <v>77</v>
      </c>
      <c r="AZ30" s="112">
        <v>66</v>
      </c>
      <c r="BA30" s="112">
        <v>26</v>
      </c>
      <c r="BB30" s="132">
        <v>46095</v>
      </c>
      <c r="BC30" s="111"/>
      <c r="BD30" s="108">
        <v>59</v>
      </c>
      <c r="BE30" s="108">
        <v>57</v>
      </c>
      <c r="BF30" s="108" t="s">
        <v>0</v>
      </c>
      <c r="BG30" s="132">
        <v>46155</v>
      </c>
      <c r="BH30" s="43">
        <v>46060</v>
      </c>
      <c r="BI30" s="53">
        <v>46151</v>
      </c>
      <c r="BJ30" s="64">
        <v>17</v>
      </c>
      <c r="BK30" s="71">
        <v>17</v>
      </c>
      <c r="BL30" s="77">
        <v>2</v>
      </c>
      <c r="BM30" s="77">
        <v>36</v>
      </c>
      <c r="BN30" s="72">
        <v>7</v>
      </c>
      <c r="BO30" s="73">
        <v>1</v>
      </c>
      <c r="BP30" s="73">
        <v>1</v>
      </c>
      <c r="BQ30" s="73"/>
      <c r="BR30" s="73"/>
      <c r="BS30" s="73">
        <v>2</v>
      </c>
      <c r="BT30" s="73">
        <v>2</v>
      </c>
      <c r="BU30" s="73">
        <v>1</v>
      </c>
      <c r="BV30" s="73">
        <v>1</v>
      </c>
      <c r="BW30" s="73"/>
      <c r="BX30" s="73">
        <v>1</v>
      </c>
      <c r="BY30" s="73"/>
      <c r="BZ30" s="73">
        <v>2</v>
      </c>
      <c r="CA30" s="73">
        <v>1</v>
      </c>
      <c r="CB30" s="73"/>
      <c r="CC30" s="73">
        <v>1</v>
      </c>
      <c r="CD30" s="73">
        <v>1</v>
      </c>
      <c r="CE30" s="73"/>
      <c r="CF30" s="73">
        <v>3</v>
      </c>
      <c r="CG30" s="73">
        <v>1</v>
      </c>
      <c r="CH30" s="73"/>
      <c r="CI30" s="73"/>
      <c r="CJ30" s="73"/>
      <c r="CK30" s="73">
        <v>1</v>
      </c>
      <c r="CL30" s="73"/>
      <c r="CM30" s="73"/>
      <c r="CN30" s="73"/>
      <c r="CO30" s="73"/>
      <c r="CP30" s="73"/>
      <c r="CQ30" s="73"/>
      <c r="CR30" s="73"/>
      <c r="CS30" s="73"/>
      <c r="CT30" s="73"/>
      <c r="CU30" s="73"/>
      <c r="CV30" s="73">
        <v>1</v>
      </c>
      <c r="CW30" s="73"/>
      <c r="CX30" s="73"/>
      <c r="CY30" s="73">
        <v>1</v>
      </c>
      <c r="CZ30" s="73">
        <v>1</v>
      </c>
      <c r="DA30" s="73">
        <v>1</v>
      </c>
      <c r="DB30" s="73"/>
      <c r="DC30" s="73"/>
      <c r="DD30" s="73"/>
      <c r="DE30" s="73"/>
      <c r="DF30" s="73">
        <v>1</v>
      </c>
      <c r="DG30" s="73"/>
      <c r="DH30" s="73">
        <v>1</v>
      </c>
      <c r="DI30" s="73"/>
      <c r="DJ30" s="73"/>
      <c r="DK30" s="73"/>
      <c r="DL30" s="73">
        <v>1</v>
      </c>
      <c r="DM30" s="73"/>
      <c r="DN30" s="73"/>
      <c r="DO30" s="73"/>
      <c r="DP30" s="73">
        <v>1</v>
      </c>
      <c r="DQ30" s="73">
        <v>1</v>
      </c>
      <c r="DR30" s="73"/>
      <c r="DS30" s="73"/>
      <c r="DT30" s="73"/>
      <c r="DU30" s="73"/>
      <c r="DV30" s="73"/>
      <c r="DW30" s="73"/>
      <c r="DX30" s="73">
        <v>2</v>
      </c>
      <c r="DY30" s="43"/>
      <c r="EG30" s="146"/>
      <c r="EH30" s="146"/>
      <c r="EI30" s="146"/>
      <c r="EJ30" s="4">
        <v>61</v>
      </c>
      <c r="EK30" s="4">
        <v>62</v>
      </c>
      <c r="EL30" s="141">
        <v>63</v>
      </c>
      <c r="EM30" s="4">
        <v>64</v>
      </c>
      <c r="EN30" s="141">
        <v>65</v>
      </c>
      <c r="EO30" s="4">
        <v>66</v>
      </c>
      <c r="EP30" s="141">
        <v>67</v>
      </c>
      <c r="EQ30" s="4">
        <v>68</v>
      </c>
      <c r="ER30" s="4">
        <v>69</v>
      </c>
      <c r="ES30" s="142">
        <v>70</v>
      </c>
      <c r="ET30" s="146"/>
      <c r="EU30" s="146"/>
      <c r="EV30" s="146"/>
      <c r="EW30" s="146"/>
      <c r="EX30" s="146"/>
      <c r="FC30" s="138"/>
      <c r="FD30" s="138"/>
      <c r="FE30" s="141">
        <v>51</v>
      </c>
      <c r="FF30" s="4">
        <v>52</v>
      </c>
      <c r="FG30" s="4">
        <v>53</v>
      </c>
      <c r="FH30" s="141">
        <v>54</v>
      </c>
      <c r="FI30" s="4">
        <v>55</v>
      </c>
      <c r="FJ30" s="4">
        <v>56</v>
      </c>
      <c r="FK30" s="4">
        <v>57</v>
      </c>
      <c r="FL30" s="141">
        <v>58</v>
      </c>
      <c r="FM30" s="96">
        <v>59</v>
      </c>
      <c r="FN30" s="41">
        <v>60</v>
      </c>
      <c r="FO30" s="138"/>
      <c r="FP30" s="138"/>
      <c r="FQ30" s="20"/>
      <c r="FR30" s="20"/>
      <c r="FS30" s="20"/>
      <c r="FT30" s="20"/>
      <c r="FU30" s="20"/>
    </row>
    <row r="31" spans="1:177" s="13" customFormat="1" ht="13.2" customHeight="1" x14ac:dyDescent="0.25">
      <c r="A31" s="179"/>
      <c r="B31" s="180"/>
      <c r="C31" s="10">
        <f>J58+1</f>
        <v>12</v>
      </c>
      <c r="D31" s="10">
        <f>F64+1</f>
        <v>7</v>
      </c>
      <c r="E31" s="10">
        <f>E37+1</f>
        <v>11</v>
      </c>
      <c r="F31" s="10">
        <f>F37+1</f>
        <v>7</v>
      </c>
      <c r="G31" s="10">
        <f>G40+1</f>
        <v>7</v>
      </c>
      <c r="H31" s="10">
        <f>H70+1</f>
        <v>6</v>
      </c>
      <c r="I31" s="44"/>
      <c r="J31" s="156">
        <f>F82+1</f>
        <v>8</v>
      </c>
      <c r="K31" s="44"/>
      <c r="L31" s="159"/>
      <c r="M31" s="44"/>
      <c r="N31" s="119">
        <v>31</v>
      </c>
      <c r="O31" s="119">
        <v>32</v>
      </c>
      <c r="P31" s="119">
        <v>33</v>
      </c>
      <c r="Q31" s="119">
        <v>34</v>
      </c>
      <c r="R31" s="119">
        <v>35</v>
      </c>
      <c r="S31" s="119">
        <v>36</v>
      </c>
      <c r="T31" s="119">
        <v>37</v>
      </c>
      <c r="U31" s="119">
        <v>38</v>
      </c>
      <c r="V31" s="162">
        <v>39</v>
      </c>
      <c r="W31" s="154">
        <v>40</v>
      </c>
      <c r="X31" s="44"/>
      <c r="Y31" s="119">
        <v>31</v>
      </c>
      <c r="Z31" s="119">
        <v>32</v>
      </c>
      <c r="AA31" s="119">
        <v>33</v>
      </c>
      <c r="AB31" s="119">
        <v>34</v>
      </c>
      <c r="AC31" s="119">
        <v>35</v>
      </c>
      <c r="AD31" s="162">
        <v>36</v>
      </c>
      <c r="AE31" s="119">
        <v>37</v>
      </c>
      <c r="AF31" s="162">
        <v>38</v>
      </c>
      <c r="AG31" s="119">
        <v>39</v>
      </c>
      <c r="AH31" s="154">
        <v>40</v>
      </c>
      <c r="AI31" s="149"/>
      <c r="AJ31" s="9">
        <v>46</v>
      </c>
      <c r="AK31" s="19">
        <v>67</v>
      </c>
      <c r="AL31" s="85">
        <v>46095</v>
      </c>
      <c r="AM31" s="19">
        <v>26</v>
      </c>
      <c r="AN31" s="42"/>
      <c r="AO31" s="54">
        <v>36</v>
      </c>
      <c r="AP31" s="19">
        <v>54</v>
      </c>
      <c r="AQ31" s="85">
        <v>46153</v>
      </c>
      <c r="AR31" s="19">
        <v>1</v>
      </c>
      <c r="AS31" s="42"/>
      <c r="AT31" s="112">
        <v>30</v>
      </c>
      <c r="AU31" s="112">
        <v>60</v>
      </c>
      <c r="AV31" s="108">
        <v>3</v>
      </c>
      <c r="AW31" s="132">
        <v>46148</v>
      </c>
      <c r="AX31" s="111"/>
      <c r="AY31" s="112">
        <v>61</v>
      </c>
      <c r="AZ31" s="112">
        <v>62</v>
      </c>
      <c r="BA31" s="112">
        <v>25</v>
      </c>
      <c r="BB31" s="132">
        <v>46097</v>
      </c>
      <c r="BC31" s="111"/>
      <c r="BD31" s="108">
        <v>61</v>
      </c>
      <c r="BE31" s="108">
        <v>62</v>
      </c>
      <c r="BF31" s="108">
        <v>25</v>
      </c>
      <c r="BG31" s="132">
        <v>46097</v>
      </c>
      <c r="BH31" s="43">
        <v>46062</v>
      </c>
      <c r="BI31" s="53">
        <v>46153</v>
      </c>
      <c r="BJ31" s="64">
        <v>18</v>
      </c>
      <c r="BK31" s="66">
        <v>18</v>
      </c>
      <c r="BL31" s="64">
        <v>1</v>
      </c>
      <c r="BM31" s="64">
        <v>72</v>
      </c>
      <c r="BN31" s="64">
        <v>7</v>
      </c>
      <c r="BO31" s="68">
        <v>5</v>
      </c>
      <c r="BP31" s="68"/>
      <c r="BQ31" s="68">
        <v>4</v>
      </c>
      <c r="BR31" s="68">
        <v>7</v>
      </c>
      <c r="BS31" s="68">
        <v>3</v>
      </c>
      <c r="BT31" s="68">
        <v>4</v>
      </c>
      <c r="BU31" s="68">
        <v>5</v>
      </c>
      <c r="BV31" s="68">
        <v>3</v>
      </c>
      <c r="BW31" s="68"/>
      <c r="BX31" s="68">
        <v>1</v>
      </c>
      <c r="BY31" s="68">
        <v>2</v>
      </c>
      <c r="BZ31" s="68">
        <v>3</v>
      </c>
      <c r="CA31" s="68">
        <v>3</v>
      </c>
      <c r="CB31" s="68">
        <v>1</v>
      </c>
      <c r="CC31" s="68"/>
      <c r="CD31" s="68">
        <v>2</v>
      </c>
      <c r="CE31" s="68"/>
      <c r="CF31" s="68">
        <v>2</v>
      </c>
      <c r="CG31" s="68">
        <v>3</v>
      </c>
      <c r="CH31" s="68">
        <v>3</v>
      </c>
      <c r="CI31" s="68">
        <v>1</v>
      </c>
      <c r="CJ31" s="68"/>
      <c r="CK31" s="68"/>
      <c r="CL31" s="68"/>
      <c r="CM31" s="68">
        <v>1</v>
      </c>
      <c r="CN31" s="68">
        <v>1</v>
      </c>
      <c r="CO31" s="68">
        <v>1</v>
      </c>
      <c r="CP31" s="68">
        <v>1</v>
      </c>
      <c r="CQ31" s="68"/>
      <c r="CR31" s="68"/>
      <c r="CS31" s="68"/>
      <c r="CT31" s="68">
        <v>1</v>
      </c>
      <c r="CU31" s="68">
        <v>1</v>
      </c>
      <c r="CV31" s="68"/>
      <c r="CW31" s="68">
        <v>1</v>
      </c>
      <c r="CX31" s="68"/>
      <c r="CY31" s="68"/>
      <c r="CZ31" s="68"/>
      <c r="DA31" s="68"/>
      <c r="DB31" s="68"/>
      <c r="DC31" s="68"/>
      <c r="DD31" s="68">
        <v>1</v>
      </c>
      <c r="DE31" s="68">
        <v>1</v>
      </c>
      <c r="DF31" s="68"/>
      <c r="DG31" s="68"/>
      <c r="DH31" s="68">
        <v>1</v>
      </c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43"/>
      <c r="EJ31" s="4">
        <v>71</v>
      </c>
      <c r="EK31" s="141">
        <v>72</v>
      </c>
      <c r="EL31" s="4">
        <v>73</v>
      </c>
      <c r="EM31" s="141">
        <v>74</v>
      </c>
      <c r="EN31" s="141">
        <v>75</v>
      </c>
      <c r="EO31" s="4">
        <v>76</v>
      </c>
      <c r="EP31" s="141">
        <v>77</v>
      </c>
      <c r="EQ31" s="4">
        <v>78</v>
      </c>
      <c r="ER31" s="141">
        <v>79</v>
      </c>
      <c r="ES31" s="142">
        <v>80</v>
      </c>
      <c r="EX31" s="145"/>
      <c r="FC31" s="138"/>
      <c r="FD31" s="138"/>
      <c r="FE31" s="4">
        <v>61</v>
      </c>
      <c r="FF31" s="4">
        <v>62</v>
      </c>
      <c r="FG31" s="96">
        <v>63</v>
      </c>
      <c r="FH31" s="4">
        <v>64</v>
      </c>
      <c r="FI31" s="4">
        <v>65</v>
      </c>
      <c r="FJ31" s="141">
        <v>66</v>
      </c>
      <c r="FK31" s="4">
        <v>67</v>
      </c>
      <c r="FL31" s="141">
        <v>68</v>
      </c>
      <c r="FM31" s="141">
        <v>69</v>
      </c>
      <c r="FN31" s="142">
        <v>70</v>
      </c>
      <c r="FO31" s="138"/>
      <c r="FP31" s="138"/>
      <c r="FQ31" s="20"/>
      <c r="FR31" s="20"/>
      <c r="FS31" s="20"/>
      <c r="FT31" s="20"/>
      <c r="FU31" s="20"/>
    </row>
    <row r="32" spans="1:177" s="13" customFormat="1" ht="12.6" customHeight="1" x14ac:dyDescent="0.25">
      <c r="A32" s="177">
        <v>106</v>
      </c>
      <c r="B32" s="180">
        <v>10</v>
      </c>
      <c r="C32" s="14">
        <f>A32-A59-1</f>
        <v>8</v>
      </c>
      <c r="D32" s="14">
        <f>A32-A65-1</f>
        <v>10</v>
      </c>
      <c r="E32" s="14">
        <f>A32-A38-1</f>
        <v>1</v>
      </c>
      <c r="F32" s="14">
        <f>A32-A38-1</f>
        <v>1</v>
      </c>
      <c r="G32" s="14">
        <f>A32-A41-1</f>
        <v>2</v>
      </c>
      <c r="H32" s="14">
        <f>A32-A71-1</f>
        <v>12</v>
      </c>
      <c r="I32" s="44"/>
      <c r="J32" s="156">
        <f>A32-A104-1</f>
        <v>23</v>
      </c>
      <c r="K32" s="44"/>
      <c r="M32" s="44"/>
      <c r="N32" s="162">
        <v>41</v>
      </c>
      <c r="O32" s="119">
        <v>42</v>
      </c>
      <c r="P32" s="119">
        <v>43</v>
      </c>
      <c r="Q32" s="119">
        <v>44</v>
      </c>
      <c r="R32" s="119">
        <v>45</v>
      </c>
      <c r="S32" s="83">
        <v>46</v>
      </c>
      <c r="T32" s="83">
        <v>47</v>
      </c>
      <c r="U32" s="83">
        <v>48</v>
      </c>
      <c r="V32" s="83">
        <v>49</v>
      </c>
      <c r="W32" s="84">
        <v>50</v>
      </c>
      <c r="X32" s="44"/>
      <c r="Y32" s="119">
        <v>41</v>
      </c>
      <c r="Z32" s="119">
        <v>42</v>
      </c>
      <c r="AA32" s="119">
        <v>43</v>
      </c>
      <c r="AB32" s="119">
        <v>44</v>
      </c>
      <c r="AC32" s="119">
        <v>45</v>
      </c>
      <c r="AD32" s="83">
        <v>46</v>
      </c>
      <c r="AE32" s="83">
        <v>47</v>
      </c>
      <c r="AF32" s="162">
        <v>48</v>
      </c>
      <c r="AG32" s="83">
        <v>49</v>
      </c>
      <c r="AH32" s="84">
        <v>50</v>
      </c>
      <c r="AI32" s="149"/>
      <c r="AJ32" s="9">
        <v>47</v>
      </c>
      <c r="AK32" s="19">
        <v>67</v>
      </c>
      <c r="AL32" s="85">
        <v>46146</v>
      </c>
      <c r="AM32" s="19">
        <v>4</v>
      </c>
      <c r="AN32" s="42"/>
      <c r="AO32" s="54">
        <v>22</v>
      </c>
      <c r="AP32" s="19">
        <v>55</v>
      </c>
      <c r="AQ32" s="85">
        <v>46081</v>
      </c>
      <c r="AR32" s="19">
        <v>32</v>
      </c>
      <c r="AS32" s="42"/>
      <c r="AT32" s="112">
        <v>50</v>
      </c>
      <c r="AU32" s="112">
        <v>63</v>
      </c>
      <c r="AV32" s="108">
        <v>3</v>
      </c>
      <c r="AW32" s="132">
        <v>46148</v>
      </c>
      <c r="AX32" s="111"/>
      <c r="AY32" s="112">
        <v>86</v>
      </c>
      <c r="AZ32" s="112">
        <v>59</v>
      </c>
      <c r="BA32" s="112">
        <v>24</v>
      </c>
      <c r="BB32" s="132">
        <v>46099</v>
      </c>
      <c r="BC32" s="111"/>
      <c r="BD32" s="108">
        <v>67</v>
      </c>
      <c r="BE32" s="108">
        <v>62</v>
      </c>
      <c r="BF32" s="108">
        <v>22</v>
      </c>
      <c r="BG32" s="132">
        <v>46104</v>
      </c>
      <c r="BH32" s="43">
        <v>46064</v>
      </c>
      <c r="BI32" s="53">
        <v>46139</v>
      </c>
      <c r="BJ32" s="64">
        <v>19</v>
      </c>
      <c r="BK32" s="71">
        <v>19</v>
      </c>
      <c r="BL32" s="77">
        <v>7</v>
      </c>
      <c r="BM32" s="77">
        <v>54</v>
      </c>
      <c r="BN32" s="72">
        <v>8</v>
      </c>
      <c r="BO32" s="73">
        <v>4</v>
      </c>
      <c r="BP32" s="73"/>
      <c r="BQ32" s="73">
        <v>4</v>
      </c>
      <c r="BR32" s="73">
        <v>5</v>
      </c>
      <c r="BS32" s="73">
        <v>1</v>
      </c>
      <c r="BT32" s="73">
        <v>1</v>
      </c>
      <c r="BU32" s="73">
        <v>3</v>
      </c>
      <c r="BV32" s="73">
        <v>2</v>
      </c>
      <c r="BW32" s="73">
        <v>3</v>
      </c>
      <c r="BX32" s="73">
        <v>1</v>
      </c>
      <c r="BY32" s="73">
        <v>1</v>
      </c>
      <c r="BZ32" s="73">
        <v>2</v>
      </c>
      <c r="CA32" s="73">
        <v>2</v>
      </c>
      <c r="CB32" s="73"/>
      <c r="CC32" s="73">
        <v>2</v>
      </c>
      <c r="CD32" s="73">
        <v>1</v>
      </c>
      <c r="CE32" s="73"/>
      <c r="CF32" s="73"/>
      <c r="CG32" s="73">
        <v>1</v>
      </c>
      <c r="CH32" s="73">
        <v>1</v>
      </c>
      <c r="CI32" s="73">
        <v>1</v>
      </c>
      <c r="CJ32" s="73">
        <v>1</v>
      </c>
      <c r="CK32" s="73">
        <v>1</v>
      </c>
      <c r="CL32" s="73"/>
      <c r="CM32" s="73"/>
      <c r="CN32" s="73">
        <v>1</v>
      </c>
      <c r="CO32" s="73">
        <v>1</v>
      </c>
      <c r="CP32" s="73"/>
      <c r="CQ32" s="73">
        <v>1</v>
      </c>
      <c r="CR32" s="73"/>
      <c r="CS32" s="73"/>
      <c r="CT32" s="73"/>
      <c r="CU32" s="73"/>
      <c r="CV32" s="73"/>
      <c r="CW32" s="73"/>
      <c r="CX32" s="73"/>
      <c r="CY32" s="73"/>
      <c r="CZ32" s="73"/>
      <c r="DA32" s="73"/>
      <c r="DB32" s="73">
        <v>1</v>
      </c>
      <c r="DC32" s="73">
        <v>1</v>
      </c>
      <c r="DD32" s="73">
        <v>1</v>
      </c>
      <c r="DE32" s="73"/>
      <c r="DF32" s="73">
        <v>1</v>
      </c>
      <c r="DG32" s="73"/>
      <c r="DH32" s="73">
        <v>1</v>
      </c>
      <c r="DI32" s="73"/>
      <c r="DJ32" s="73"/>
      <c r="DK32" s="73">
        <v>2</v>
      </c>
      <c r="DL32" s="73"/>
      <c r="DM32" s="73"/>
      <c r="DN32" s="73"/>
      <c r="DO32" s="73"/>
      <c r="DP32" s="73"/>
      <c r="DQ32" s="73"/>
      <c r="DR32" s="73"/>
      <c r="DS32" s="73"/>
      <c r="DT32" s="73"/>
      <c r="DU32" s="73"/>
      <c r="DV32" s="73"/>
      <c r="DW32" s="73"/>
      <c r="DX32" s="73">
        <v>1</v>
      </c>
      <c r="DY32" s="43"/>
      <c r="EJ32" s="141">
        <v>81</v>
      </c>
      <c r="EK32" s="4">
        <v>82</v>
      </c>
      <c r="EL32" s="141">
        <v>83</v>
      </c>
      <c r="EM32" s="141">
        <v>84</v>
      </c>
      <c r="EN32" s="141">
        <v>85</v>
      </c>
      <c r="EO32" s="141">
        <v>86</v>
      </c>
      <c r="EP32" s="141">
        <v>87</v>
      </c>
      <c r="EQ32" s="141">
        <v>88</v>
      </c>
      <c r="ER32" s="141">
        <v>89</v>
      </c>
      <c r="ES32" s="142">
        <v>90</v>
      </c>
      <c r="EX32" s="145"/>
      <c r="FC32" s="138"/>
      <c r="FD32" s="138"/>
      <c r="FE32" s="4">
        <v>71</v>
      </c>
      <c r="FF32" s="4">
        <v>72</v>
      </c>
      <c r="FG32" s="4">
        <v>73</v>
      </c>
      <c r="FH32" s="141">
        <v>74</v>
      </c>
      <c r="FI32" s="141">
        <v>75</v>
      </c>
      <c r="FJ32" s="141">
        <v>76</v>
      </c>
      <c r="FK32" s="4">
        <v>77</v>
      </c>
      <c r="FL32" s="141">
        <v>78</v>
      </c>
      <c r="FM32" s="141">
        <v>79</v>
      </c>
      <c r="FN32" s="142">
        <v>80</v>
      </c>
      <c r="FO32" s="138"/>
      <c r="FP32" s="138"/>
      <c r="FQ32" s="20"/>
      <c r="FR32" s="20"/>
      <c r="FS32" s="20"/>
      <c r="FT32" s="20"/>
      <c r="FU32" s="20"/>
    </row>
    <row r="33" spans="1:177" s="13" customFormat="1" ht="12.6" customHeight="1" x14ac:dyDescent="0.25">
      <c r="A33" s="178"/>
      <c r="B33" s="180"/>
      <c r="C33" s="114">
        <v>12</v>
      </c>
      <c r="D33" s="115">
        <v>17</v>
      </c>
      <c r="E33" s="115">
        <v>38</v>
      </c>
      <c r="F33" s="115">
        <v>48</v>
      </c>
      <c r="G33" s="115">
        <v>64</v>
      </c>
      <c r="H33" s="115">
        <v>68</v>
      </c>
      <c r="I33" s="44"/>
      <c r="J33" s="115">
        <v>84</v>
      </c>
      <c r="K33" s="44"/>
      <c r="L33" s="159">
        <v>46134</v>
      </c>
      <c r="M33" s="44"/>
      <c r="N33" s="83">
        <v>51</v>
      </c>
      <c r="O33" s="83">
        <v>52</v>
      </c>
      <c r="P33" s="83">
        <v>53</v>
      </c>
      <c r="Q33" s="83">
        <v>54</v>
      </c>
      <c r="R33" s="83">
        <v>55</v>
      </c>
      <c r="S33" s="83">
        <v>56</v>
      </c>
      <c r="T33" s="83">
        <v>57</v>
      </c>
      <c r="U33" s="83">
        <v>58</v>
      </c>
      <c r="V33" s="162">
        <v>59</v>
      </c>
      <c r="W33" s="84">
        <v>60</v>
      </c>
      <c r="X33" s="44"/>
      <c r="Y33" s="83">
        <v>51</v>
      </c>
      <c r="Z33" s="83">
        <v>52</v>
      </c>
      <c r="AA33" s="162">
        <v>53</v>
      </c>
      <c r="AB33" s="83">
        <v>54</v>
      </c>
      <c r="AC33" s="83">
        <v>55</v>
      </c>
      <c r="AD33" s="83">
        <v>56</v>
      </c>
      <c r="AE33" s="83">
        <v>57</v>
      </c>
      <c r="AF33" s="83">
        <v>58</v>
      </c>
      <c r="AG33" s="83">
        <v>59</v>
      </c>
      <c r="AH33" s="84">
        <v>60</v>
      </c>
      <c r="AI33" s="149"/>
      <c r="AJ33" s="9">
        <v>63</v>
      </c>
      <c r="AK33" s="19">
        <v>67</v>
      </c>
      <c r="AL33" s="85">
        <v>46137</v>
      </c>
      <c r="AM33" s="19">
        <v>8</v>
      </c>
      <c r="AN33" s="42"/>
      <c r="AO33" s="56">
        <v>34</v>
      </c>
      <c r="AP33" s="19">
        <v>55</v>
      </c>
      <c r="AQ33" s="85">
        <v>46139</v>
      </c>
      <c r="AR33" s="19">
        <v>7</v>
      </c>
      <c r="AS33" s="42"/>
      <c r="AT33" s="112">
        <v>55</v>
      </c>
      <c r="AU33" s="112">
        <v>57</v>
      </c>
      <c r="AV33" s="108">
        <v>3</v>
      </c>
      <c r="AW33" s="132">
        <v>46148</v>
      </c>
      <c r="AX33" s="111"/>
      <c r="AY33" s="112">
        <v>71</v>
      </c>
      <c r="AZ33" s="112">
        <v>79</v>
      </c>
      <c r="BA33" s="112">
        <v>23</v>
      </c>
      <c r="BB33" s="132">
        <v>46102</v>
      </c>
      <c r="BC33" s="111"/>
      <c r="BD33" s="108">
        <v>71</v>
      </c>
      <c r="BE33" s="108">
        <v>79</v>
      </c>
      <c r="BF33" s="108">
        <v>23</v>
      </c>
      <c r="BG33" s="132">
        <v>46102</v>
      </c>
      <c r="BH33" s="43">
        <v>46064</v>
      </c>
      <c r="BI33" s="53">
        <v>46104</v>
      </c>
      <c r="BJ33" s="64">
        <v>20</v>
      </c>
      <c r="BK33" s="66">
        <v>20</v>
      </c>
      <c r="BL33" s="64">
        <v>22</v>
      </c>
      <c r="BM33" s="64">
        <v>57</v>
      </c>
      <c r="BN33" s="64">
        <v>5</v>
      </c>
      <c r="BO33" s="68">
        <v>3</v>
      </c>
      <c r="BP33" s="68">
        <v>4</v>
      </c>
      <c r="BQ33" s="68">
        <v>2</v>
      </c>
      <c r="BR33" s="68">
        <v>4</v>
      </c>
      <c r="BS33" s="68">
        <v>5</v>
      </c>
      <c r="BT33" s="68">
        <v>2</v>
      </c>
      <c r="BU33" s="68">
        <v>4</v>
      </c>
      <c r="BV33" s="68">
        <v>1</v>
      </c>
      <c r="BW33" s="68">
        <v>3</v>
      </c>
      <c r="BX33" s="68">
        <v>3</v>
      </c>
      <c r="BY33" s="68">
        <v>2</v>
      </c>
      <c r="BZ33" s="68"/>
      <c r="CA33" s="68"/>
      <c r="CB33" s="68"/>
      <c r="CC33" s="68"/>
      <c r="CD33" s="68">
        <v>1</v>
      </c>
      <c r="CE33" s="68"/>
      <c r="CF33" s="68"/>
      <c r="CG33" s="68">
        <v>1</v>
      </c>
      <c r="CH33" s="68">
        <v>3</v>
      </c>
      <c r="CI33" s="68">
        <v>2</v>
      </c>
      <c r="CJ33" s="68"/>
      <c r="CK33" s="68"/>
      <c r="CL33" s="68"/>
      <c r="CM33" s="68"/>
      <c r="CN33" s="68">
        <v>2</v>
      </c>
      <c r="CO33" s="68"/>
      <c r="CP33" s="68"/>
      <c r="CQ33" s="68">
        <v>1</v>
      </c>
      <c r="CR33" s="68">
        <v>2</v>
      </c>
      <c r="CS33" s="68">
        <v>1</v>
      </c>
      <c r="CT33" s="68">
        <v>1</v>
      </c>
      <c r="CU33" s="68"/>
      <c r="CV33" s="68">
        <v>1</v>
      </c>
      <c r="CW33" s="68">
        <v>1</v>
      </c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>
        <v>1</v>
      </c>
      <c r="DK33" s="68">
        <v>1</v>
      </c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>
        <v>2</v>
      </c>
      <c r="DY33" s="43"/>
      <c r="EA33" s="29"/>
      <c r="EB33" s="12"/>
      <c r="EM33" s="145"/>
      <c r="EX33" s="145"/>
      <c r="FC33" s="138"/>
      <c r="FD33" s="138"/>
      <c r="FE33" s="96">
        <v>81</v>
      </c>
      <c r="FF33" s="141">
        <v>82</v>
      </c>
      <c r="FG33" s="141">
        <v>83</v>
      </c>
      <c r="FH33" s="141">
        <v>84</v>
      </c>
      <c r="FI33" s="141">
        <v>85</v>
      </c>
      <c r="FJ33" s="141">
        <v>86</v>
      </c>
      <c r="FK33" s="141">
        <v>87</v>
      </c>
      <c r="FL33" s="141">
        <v>88</v>
      </c>
      <c r="FM33" s="141">
        <v>89</v>
      </c>
      <c r="FN33" s="142">
        <v>90</v>
      </c>
      <c r="FO33" s="138"/>
      <c r="FP33" s="138"/>
      <c r="FQ33" s="20"/>
      <c r="FR33" s="20"/>
      <c r="FS33" s="20"/>
      <c r="FT33" s="20"/>
      <c r="FU33" s="20"/>
    </row>
    <row r="34" spans="1:177" s="13" customFormat="1" ht="13.2" customHeight="1" x14ac:dyDescent="0.25">
      <c r="A34" s="179"/>
      <c r="B34" s="180"/>
      <c r="C34" s="10">
        <f>J61+1</f>
        <v>11</v>
      </c>
      <c r="D34" s="10">
        <f>F67+1</f>
        <v>6</v>
      </c>
      <c r="E34" s="10">
        <f>E40+1</f>
        <v>10</v>
      </c>
      <c r="F34" s="10">
        <f>F40+1</f>
        <v>10</v>
      </c>
      <c r="G34" s="10">
        <f>G43+1</f>
        <v>10</v>
      </c>
      <c r="H34" s="10">
        <f>H73+1</f>
        <v>11</v>
      </c>
      <c r="I34" s="44"/>
      <c r="J34" s="156">
        <f>H106+1</f>
        <v>4</v>
      </c>
      <c r="K34" s="44"/>
      <c r="L34" s="159"/>
      <c r="M34" s="44"/>
      <c r="N34" s="83">
        <v>61</v>
      </c>
      <c r="O34" s="83">
        <v>62</v>
      </c>
      <c r="P34" s="83">
        <v>63</v>
      </c>
      <c r="Q34" s="83">
        <v>64</v>
      </c>
      <c r="R34" s="83">
        <v>65</v>
      </c>
      <c r="S34" s="83">
        <v>66</v>
      </c>
      <c r="T34" s="83">
        <v>67</v>
      </c>
      <c r="U34" s="83">
        <v>68</v>
      </c>
      <c r="V34" s="83">
        <v>69</v>
      </c>
      <c r="W34" s="163">
        <v>70</v>
      </c>
      <c r="X34" s="44"/>
      <c r="Y34" s="83">
        <v>61</v>
      </c>
      <c r="Z34" s="83">
        <v>62</v>
      </c>
      <c r="AA34" s="83">
        <v>63</v>
      </c>
      <c r="AB34" s="83">
        <v>64</v>
      </c>
      <c r="AC34" s="83">
        <v>65</v>
      </c>
      <c r="AD34" s="83">
        <v>66</v>
      </c>
      <c r="AE34" s="83">
        <v>67</v>
      </c>
      <c r="AF34" s="83">
        <v>68</v>
      </c>
      <c r="AG34" s="83">
        <v>69</v>
      </c>
      <c r="AH34" s="84">
        <v>70</v>
      </c>
      <c r="AI34" s="149"/>
      <c r="AJ34" s="9">
        <v>64</v>
      </c>
      <c r="AK34" s="19">
        <v>67</v>
      </c>
      <c r="AL34" s="85">
        <v>46144</v>
      </c>
      <c r="AM34" s="19">
        <v>5</v>
      </c>
      <c r="AN34" s="42"/>
      <c r="AO34" s="54">
        <v>75</v>
      </c>
      <c r="AP34" s="19">
        <v>55</v>
      </c>
      <c r="AQ34" s="85">
        <v>46118</v>
      </c>
      <c r="AR34" s="19">
        <v>16</v>
      </c>
      <c r="AS34" s="42"/>
      <c r="AT34" s="112">
        <v>82</v>
      </c>
      <c r="AU34" s="112">
        <v>61</v>
      </c>
      <c r="AV34" s="108">
        <v>3</v>
      </c>
      <c r="AW34" s="132">
        <v>46148</v>
      </c>
      <c r="AX34" s="111"/>
      <c r="AY34" s="112">
        <v>20</v>
      </c>
      <c r="AZ34" s="112">
        <v>57</v>
      </c>
      <c r="BA34" s="112">
        <v>22</v>
      </c>
      <c r="BB34" s="132">
        <v>46104</v>
      </c>
      <c r="BC34" s="111"/>
      <c r="BD34" s="108">
        <v>73</v>
      </c>
      <c r="BE34" s="108">
        <v>57</v>
      </c>
      <c r="BF34" s="108">
        <v>39</v>
      </c>
      <c r="BG34" s="132">
        <v>46064</v>
      </c>
      <c r="BH34" s="43">
        <v>46064</v>
      </c>
      <c r="BI34" s="53">
        <v>46081</v>
      </c>
      <c r="BJ34" s="64">
        <v>21</v>
      </c>
      <c r="BK34" s="71">
        <v>21</v>
      </c>
      <c r="BL34" s="77">
        <v>32</v>
      </c>
      <c r="BM34" s="77">
        <v>49</v>
      </c>
      <c r="BN34" s="72">
        <v>6</v>
      </c>
      <c r="BO34" s="73">
        <v>3</v>
      </c>
      <c r="BP34" s="73">
        <v>1</v>
      </c>
      <c r="BQ34" s="73">
        <v>1</v>
      </c>
      <c r="BR34" s="73">
        <v>4</v>
      </c>
      <c r="BS34" s="73">
        <v>3</v>
      </c>
      <c r="BT34" s="73">
        <v>4</v>
      </c>
      <c r="BU34" s="73"/>
      <c r="BV34" s="73">
        <v>1</v>
      </c>
      <c r="BW34" s="73">
        <v>1</v>
      </c>
      <c r="BX34" s="73">
        <v>1</v>
      </c>
      <c r="BY34" s="73">
        <v>2</v>
      </c>
      <c r="BZ34" s="73">
        <v>1</v>
      </c>
      <c r="CA34" s="73">
        <v>2</v>
      </c>
      <c r="CB34" s="73">
        <v>1</v>
      </c>
      <c r="CC34" s="73">
        <v>1</v>
      </c>
      <c r="CD34" s="73"/>
      <c r="CE34" s="73"/>
      <c r="CF34" s="73">
        <v>1</v>
      </c>
      <c r="CG34" s="73">
        <v>2</v>
      </c>
      <c r="CH34" s="73"/>
      <c r="CI34" s="73"/>
      <c r="CJ34" s="73">
        <v>1</v>
      </c>
      <c r="CK34" s="73">
        <v>1</v>
      </c>
      <c r="CL34" s="73"/>
      <c r="CM34" s="73"/>
      <c r="CN34" s="73">
        <v>1</v>
      </c>
      <c r="CO34" s="73"/>
      <c r="CP34" s="73"/>
      <c r="CQ34" s="73">
        <v>2</v>
      </c>
      <c r="CR34" s="73"/>
      <c r="CS34" s="73">
        <v>3</v>
      </c>
      <c r="CT34" s="73">
        <v>2</v>
      </c>
      <c r="CU34" s="73">
        <v>1</v>
      </c>
      <c r="CV34" s="73"/>
      <c r="CW34" s="73">
        <v>1</v>
      </c>
      <c r="CX34" s="73"/>
      <c r="CY34" s="73"/>
      <c r="CZ34" s="73"/>
      <c r="DA34" s="73"/>
      <c r="DB34" s="73"/>
      <c r="DC34" s="73"/>
      <c r="DD34" s="73"/>
      <c r="DE34" s="73"/>
      <c r="DF34" s="73">
        <v>1</v>
      </c>
      <c r="DG34" s="73"/>
      <c r="DH34" s="73"/>
      <c r="DI34" s="73"/>
      <c r="DJ34" s="73"/>
      <c r="DK34" s="73"/>
      <c r="DL34" s="73"/>
      <c r="DM34" s="73"/>
      <c r="DN34" s="73"/>
      <c r="DO34" s="73"/>
      <c r="DP34" s="73"/>
      <c r="DQ34" s="73"/>
      <c r="DR34" s="73"/>
      <c r="DS34" s="73"/>
      <c r="DT34" s="73"/>
      <c r="DU34" s="73"/>
      <c r="DV34" s="73"/>
      <c r="DW34" s="73"/>
      <c r="DX34" s="73">
        <v>2</v>
      </c>
      <c r="DY34" s="43"/>
      <c r="EA34" s="29"/>
      <c r="EB34" s="12"/>
      <c r="EM34" s="145"/>
      <c r="EN34" s="145"/>
      <c r="EO34" s="145"/>
      <c r="EP34" s="145"/>
      <c r="EQ34" s="145"/>
      <c r="ER34" s="145"/>
      <c r="ES34" s="145"/>
      <c r="ET34" s="145"/>
      <c r="EU34" s="145"/>
      <c r="EV34" s="145"/>
      <c r="EW34" s="145"/>
      <c r="EX34" s="145"/>
      <c r="FC34" s="138"/>
      <c r="FD34" s="138"/>
      <c r="FE34" s="138"/>
      <c r="FF34" s="138"/>
      <c r="FG34" s="138"/>
      <c r="FH34" s="138"/>
      <c r="FI34" s="138"/>
      <c r="FJ34" s="138"/>
      <c r="FK34" s="138"/>
      <c r="FL34" s="138"/>
      <c r="FM34" s="138"/>
      <c r="FN34" s="138"/>
      <c r="FO34" s="138"/>
      <c r="FP34" s="138"/>
      <c r="FQ34" s="20"/>
      <c r="FR34" s="20"/>
      <c r="FS34" s="20"/>
      <c r="FT34" s="20"/>
      <c r="FU34" s="20"/>
    </row>
    <row r="35" spans="1:177" s="13" customFormat="1" ht="12.6" customHeight="1" x14ac:dyDescent="0.25">
      <c r="A35" s="177">
        <v>105</v>
      </c>
      <c r="B35" s="180">
        <v>11</v>
      </c>
      <c r="C35" s="14">
        <f>A35-A71-1</f>
        <v>11</v>
      </c>
      <c r="D35" s="14">
        <f>A35-A59-1</f>
        <v>7</v>
      </c>
      <c r="E35" s="14">
        <f>A35-A77-1</f>
        <v>13</v>
      </c>
      <c r="F35" s="14">
        <f>A35-A68-1</f>
        <v>10</v>
      </c>
      <c r="G35" s="14">
        <f>A35-A80-1</f>
        <v>14</v>
      </c>
      <c r="H35" s="14">
        <f>A35-A95-1</f>
        <v>19</v>
      </c>
      <c r="I35" s="44"/>
      <c r="J35" s="156">
        <f>A35-A95-1</f>
        <v>19</v>
      </c>
      <c r="K35" s="44"/>
      <c r="M35" s="44"/>
      <c r="N35" s="83">
        <v>71</v>
      </c>
      <c r="O35" s="83">
        <v>72</v>
      </c>
      <c r="P35" s="83">
        <v>73</v>
      </c>
      <c r="Q35" s="83">
        <v>74</v>
      </c>
      <c r="R35" s="83">
        <v>75</v>
      </c>
      <c r="S35" s="83">
        <v>76</v>
      </c>
      <c r="T35" s="83">
        <v>77</v>
      </c>
      <c r="U35" s="83">
        <v>78</v>
      </c>
      <c r="V35" s="83">
        <v>79</v>
      </c>
      <c r="W35" s="84">
        <v>80</v>
      </c>
      <c r="X35" s="44"/>
      <c r="Y35" s="83">
        <v>71</v>
      </c>
      <c r="Z35" s="83">
        <v>72</v>
      </c>
      <c r="AA35" s="83">
        <v>73</v>
      </c>
      <c r="AB35" s="83">
        <v>74</v>
      </c>
      <c r="AC35" s="83">
        <v>75</v>
      </c>
      <c r="AD35" s="83">
        <v>76</v>
      </c>
      <c r="AE35" s="83">
        <v>77</v>
      </c>
      <c r="AF35" s="83">
        <v>78</v>
      </c>
      <c r="AG35" s="83">
        <v>79</v>
      </c>
      <c r="AH35" s="84">
        <v>80</v>
      </c>
      <c r="AI35" s="149"/>
      <c r="AJ35" s="9">
        <v>41</v>
      </c>
      <c r="AK35" s="19">
        <v>66</v>
      </c>
      <c r="AL35" s="85">
        <v>46155</v>
      </c>
      <c r="AM35" s="19" t="s">
        <v>0</v>
      </c>
      <c r="AN35" s="42"/>
      <c r="AO35" s="54">
        <v>83</v>
      </c>
      <c r="AP35" s="19">
        <v>55</v>
      </c>
      <c r="AQ35" s="85">
        <v>46132</v>
      </c>
      <c r="AR35" s="19">
        <v>10</v>
      </c>
      <c r="AS35" s="42"/>
      <c r="AT35" s="112">
        <v>7</v>
      </c>
      <c r="AU35" s="112">
        <v>64</v>
      </c>
      <c r="AV35" s="108">
        <v>4</v>
      </c>
      <c r="AW35" s="132">
        <v>46146</v>
      </c>
      <c r="AX35" s="111"/>
      <c r="AY35" s="112">
        <v>31</v>
      </c>
      <c r="AZ35" s="112">
        <v>57</v>
      </c>
      <c r="BA35" s="112">
        <v>22</v>
      </c>
      <c r="BB35" s="132">
        <v>46104</v>
      </c>
      <c r="BC35" s="111"/>
      <c r="BD35" s="108">
        <v>79</v>
      </c>
      <c r="BE35" s="108">
        <v>51</v>
      </c>
      <c r="BF35" s="108">
        <v>2</v>
      </c>
      <c r="BG35" s="132">
        <v>46151</v>
      </c>
      <c r="BH35" s="43">
        <v>46067</v>
      </c>
      <c r="BI35" s="53">
        <v>46081</v>
      </c>
      <c r="BJ35" s="64">
        <v>22</v>
      </c>
      <c r="BK35" s="66">
        <v>22</v>
      </c>
      <c r="BL35" s="63">
        <v>32</v>
      </c>
      <c r="BM35" s="63">
        <v>55</v>
      </c>
      <c r="BN35" s="64">
        <v>4</v>
      </c>
      <c r="BO35" s="68">
        <v>4</v>
      </c>
      <c r="BP35" s="68">
        <v>3</v>
      </c>
      <c r="BQ35" s="68">
        <v>2</v>
      </c>
      <c r="BR35" s="68"/>
      <c r="BS35" s="68">
        <v>6</v>
      </c>
      <c r="BT35" s="68">
        <v>4</v>
      </c>
      <c r="BU35" s="68">
        <v>3</v>
      </c>
      <c r="BV35" s="68">
        <v>2</v>
      </c>
      <c r="BW35" s="68">
        <v>2</v>
      </c>
      <c r="BX35" s="68">
        <v>1</v>
      </c>
      <c r="BY35" s="68">
        <v>1</v>
      </c>
      <c r="BZ35" s="68">
        <v>1</v>
      </c>
      <c r="CA35" s="68">
        <v>3</v>
      </c>
      <c r="CB35" s="68">
        <v>3</v>
      </c>
      <c r="CC35" s="68"/>
      <c r="CD35" s="68"/>
      <c r="CE35" s="68">
        <v>1</v>
      </c>
      <c r="CF35" s="68"/>
      <c r="CG35" s="68">
        <v>1</v>
      </c>
      <c r="CH35" s="68"/>
      <c r="CI35" s="68"/>
      <c r="CJ35" s="68"/>
      <c r="CK35" s="68"/>
      <c r="CL35" s="68"/>
      <c r="CM35" s="68">
        <v>2</v>
      </c>
      <c r="CN35" s="68">
        <v>1</v>
      </c>
      <c r="CO35" s="68"/>
      <c r="CP35" s="68">
        <v>1</v>
      </c>
      <c r="CQ35" s="68"/>
      <c r="CR35" s="68"/>
      <c r="CS35" s="68"/>
      <c r="CT35" s="68"/>
      <c r="CU35" s="68"/>
      <c r="CV35" s="68"/>
      <c r="CW35" s="68"/>
      <c r="CX35" s="68"/>
      <c r="CY35" s="68">
        <v>1</v>
      </c>
      <c r="CZ35" s="68"/>
      <c r="DA35" s="68"/>
      <c r="DB35" s="68">
        <v>1</v>
      </c>
      <c r="DC35" s="68"/>
      <c r="DD35" s="68"/>
      <c r="DE35" s="68"/>
      <c r="DF35" s="68">
        <v>1</v>
      </c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>
        <v>1</v>
      </c>
      <c r="DR35" s="68"/>
      <c r="DS35" s="68"/>
      <c r="DT35" s="68"/>
      <c r="DU35" s="68"/>
      <c r="DV35" s="68"/>
      <c r="DW35" s="68"/>
      <c r="DX35" s="68">
        <v>3</v>
      </c>
      <c r="DY35" s="43"/>
      <c r="EA35" s="29"/>
      <c r="EB35" s="12"/>
      <c r="EM35" s="145"/>
      <c r="EN35" s="145"/>
      <c r="EO35" s="145"/>
      <c r="EP35" s="145"/>
      <c r="EQ35" s="145"/>
      <c r="ER35" s="145"/>
      <c r="ES35" s="145"/>
      <c r="ET35" s="145"/>
      <c r="EU35" s="145"/>
      <c r="EV35" s="145"/>
      <c r="EW35" s="145"/>
      <c r="EX35" s="145"/>
      <c r="FC35" s="138"/>
      <c r="FD35" s="138"/>
      <c r="FE35" s="138"/>
      <c r="FF35" s="22"/>
      <c r="FG35" s="22"/>
      <c r="FH35" s="22"/>
      <c r="FI35" s="22"/>
      <c r="FJ35" s="22"/>
      <c r="FK35" s="22"/>
      <c r="FL35" s="22"/>
      <c r="FM35" s="22"/>
      <c r="FN35" s="22"/>
      <c r="FO35" s="138"/>
      <c r="FP35" s="138"/>
      <c r="FQ35" s="20"/>
      <c r="FR35" s="20"/>
      <c r="FS35" s="20"/>
      <c r="FT35" s="20"/>
      <c r="FU35" s="20"/>
    </row>
    <row r="36" spans="1:177" s="13" customFormat="1" ht="12.6" customHeight="1" x14ac:dyDescent="0.25">
      <c r="A36" s="178"/>
      <c r="B36" s="180"/>
      <c r="C36" s="114">
        <v>28</v>
      </c>
      <c r="D36" s="115">
        <v>33</v>
      </c>
      <c r="E36" s="115">
        <v>53</v>
      </c>
      <c r="F36" s="115">
        <v>78</v>
      </c>
      <c r="G36" s="115">
        <v>83</v>
      </c>
      <c r="H36" s="115">
        <v>88</v>
      </c>
      <c r="I36" s="44"/>
      <c r="J36" s="143">
        <v>21</v>
      </c>
      <c r="K36" s="44"/>
      <c r="L36" s="159">
        <v>46132</v>
      </c>
      <c r="M36" s="44"/>
      <c r="N36" s="83">
        <v>81</v>
      </c>
      <c r="O36" s="83">
        <v>82</v>
      </c>
      <c r="P36" s="83">
        <v>83</v>
      </c>
      <c r="Q36" s="83">
        <v>84</v>
      </c>
      <c r="R36" s="83">
        <v>85</v>
      </c>
      <c r="S36" s="83">
        <v>86</v>
      </c>
      <c r="T36" s="83">
        <v>87</v>
      </c>
      <c r="U36" s="83">
        <v>88</v>
      </c>
      <c r="V36" s="162">
        <v>89</v>
      </c>
      <c r="W36" s="84">
        <v>90</v>
      </c>
      <c r="X36" s="44"/>
      <c r="Y36" s="162">
        <v>81</v>
      </c>
      <c r="Z36" s="83">
        <v>82</v>
      </c>
      <c r="AA36" s="83">
        <v>83</v>
      </c>
      <c r="AB36" s="83">
        <v>84</v>
      </c>
      <c r="AC36" s="83">
        <v>85</v>
      </c>
      <c r="AD36" s="83">
        <v>86</v>
      </c>
      <c r="AE36" s="83">
        <v>87</v>
      </c>
      <c r="AF36" s="83">
        <v>88</v>
      </c>
      <c r="AG36" s="83">
        <v>89</v>
      </c>
      <c r="AH36" s="84">
        <v>90</v>
      </c>
      <c r="AI36" s="149"/>
      <c r="AJ36" s="9">
        <v>77</v>
      </c>
      <c r="AK36" s="19">
        <v>66</v>
      </c>
      <c r="AL36" s="85">
        <v>46095</v>
      </c>
      <c r="AM36" s="19">
        <v>26</v>
      </c>
      <c r="AN36" s="42"/>
      <c r="AO36" s="54">
        <v>4</v>
      </c>
      <c r="AP36" s="19">
        <v>56</v>
      </c>
      <c r="AQ36" s="85">
        <v>46127</v>
      </c>
      <c r="AR36" s="19">
        <v>12</v>
      </c>
      <c r="AS36" s="42"/>
      <c r="AT36" s="112">
        <v>12</v>
      </c>
      <c r="AU36" s="112">
        <v>68</v>
      </c>
      <c r="AV36" s="108">
        <v>4</v>
      </c>
      <c r="AW36" s="132">
        <v>46146</v>
      </c>
      <c r="AX36" s="111"/>
      <c r="AY36" s="112">
        <v>67</v>
      </c>
      <c r="AZ36" s="112">
        <v>62</v>
      </c>
      <c r="BA36" s="112">
        <v>22</v>
      </c>
      <c r="BB36" s="132">
        <v>46104</v>
      </c>
      <c r="BC36" s="111"/>
      <c r="BD36" s="108">
        <v>83</v>
      </c>
      <c r="BE36" s="108">
        <v>55</v>
      </c>
      <c r="BF36" s="108">
        <v>10</v>
      </c>
      <c r="BG36" s="132">
        <v>46132</v>
      </c>
      <c r="BH36" s="43">
        <v>46069</v>
      </c>
      <c r="BI36" s="53">
        <v>46111</v>
      </c>
      <c r="BJ36" s="64">
        <v>23</v>
      </c>
      <c r="BK36" s="71">
        <v>23</v>
      </c>
      <c r="BL36" s="77">
        <v>19</v>
      </c>
      <c r="BM36" s="77">
        <v>69</v>
      </c>
      <c r="BN36" s="72">
        <v>14</v>
      </c>
      <c r="BO36" s="73">
        <v>2</v>
      </c>
      <c r="BP36" s="73">
        <v>4</v>
      </c>
      <c r="BQ36" s="73">
        <v>2</v>
      </c>
      <c r="BR36" s="73">
        <v>1</v>
      </c>
      <c r="BS36" s="73">
        <v>4</v>
      </c>
      <c r="BT36" s="73">
        <v>6</v>
      </c>
      <c r="BU36" s="73">
        <v>5</v>
      </c>
      <c r="BV36" s="73">
        <v>7</v>
      </c>
      <c r="BW36" s="73">
        <v>4</v>
      </c>
      <c r="BX36" s="73">
        <v>3</v>
      </c>
      <c r="BY36" s="73"/>
      <c r="BZ36" s="73">
        <v>4</v>
      </c>
      <c r="CA36" s="73"/>
      <c r="CB36" s="73"/>
      <c r="CC36" s="73">
        <v>3</v>
      </c>
      <c r="CD36" s="73">
        <v>1</v>
      </c>
      <c r="CE36" s="73">
        <v>2</v>
      </c>
      <c r="CF36" s="73">
        <v>1</v>
      </c>
      <c r="CG36" s="73">
        <v>1</v>
      </c>
      <c r="CH36" s="73">
        <v>1</v>
      </c>
      <c r="CI36" s="73"/>
      <c r="CJ36" s="73">
        <v>1</v>
      </c>
      <c r="CK36" s="73">
        <v>1</v>
      </c>
      <c r="CL36" s="73">
        <v>3</v>
      </c>
      <c r="CM36" s="73">
        <v>1</v>
      </c>
      <c r="CN36" s="73">
        <v>2</v>
      </c>
      <c r="CO36" s="73"/>
      <c r="CP36" s="73">
        <v>1</v>
      </c>
      <c r="CQ36" s="73"/>
      <c r="CR36" s="73"/>
      <c r="CS36" s="73"/>
      <c r="CT36" s="73"/>
      <c r="CU36" s="73">
        <v>1</v>
      </c>
      <c r="CV36" s="73">
        <v>1</v>
      </c>
      <c r="CW36" s="73"/>
      <c r="CX36" s="73"/>
      <c r="CY36" s="73"/>
      <c r="CZ36" s="73"/>
      <c r="DA36" s="73">
        <v>1</v>
      </c>
      <c r="DB36" s="73"/>
      <c r="DC36" s="73"/>
      <c r="DD36" s="73"/>
      <c r="DE36" s="73"/>
      <c r="DF36" s="73"/>
      <c r="DG36" s="73"/>
      <c r="DH36" s="73"/>
      <c r="DI36" s="73"/>
      <c r="DJ36" s="73"/>
      <c r="DK36" s="73"/>
      <c r="DL36" s="73"/>
      <c r="DM36" s="73"/>
      <c r="DN36" s="73">
        <v>1</v>
      </c>
      <c r="DO36" s="73"/>
      <c r="DP36" s="73"/>
      <c r="DQ36" s="73"/>
      <c r="DR36" s="73"/>
      <c r="DS36" s="73"/>
      <c r="DT36" s="73"/>
      <c r="DU36" s="73"/>
      <c r="DV36" s="73"/>
      <c r="DW36" s="73"/>
      <c r="DX36" s="73"/>
      <c r="DY36" s="43"/>
      <c r="EA36" s="29"/>
      <c r="EB36" s="12"/>
      <c r="EM36" s="12"/>
      <c r="EN36" s="12"/>
      <c r="EO36" s="12"/>
      <c r="EP36" s="12"/>
      <c r="EQ36" s="12"/>
      <c r="ER36" s="12"/>
      <c r="FQ36" s="20"/>
      <c r="FR36" s="20"/>
      <c r="FS36" s="20"/>
      <c r="FT36" s="20"/>
      <c r="FU36" s="20"/>
    </row>
    <row r="37" spans="1:177" s="13" customFormat="1" ht="13.2" customHeight="1" x14ac:dyDescent="0.25">
      <c r="A37" s="179"/>
      <c r="B37" s="180"/>
      <c r="C37" s="10">
        <f>D73+1</f>
        <v>6</v>
      </c>
      <c r="D37" s="10">
        <f>E61+1</f>
        <v>12</v>
      </c>
      <c r="E37" s="10">
        <f>F79+1</f>
        <v>10</v>
      </c>
      <c r="F37" s="10">
        <f>H70+1</f>
        <v>6</v>
      </c>
      <c r="G37" s="10">
        <f>H82+1</f>
        <v>8</v>
      </c>
      <c r="H37" s="10">
        <f>H97+1</f>
        <v>7</v>
      </c>
      <c r="I37" s="44"/>
      <c r="J37" s="156">
        <f>J100+1</f>
        <v>5</v>
      </c>
      <c r="K37" s="44"/>
      <c r="L37" s="159"/>
      <c r="M37" s="44"/>
      <c r="X37" s="44"/>
      <c r="AI37" s="149"/>
      <c r="AJ37" s="9">
        <v>80</v>
      </c>
      <c r="AK37" s="19">
        <v>66</v>
      </c>
      <c r="AL37" s="85">
        <v>46120</v>
      </c>
      <c r="AM37" s="19">
        <v>15</v>
      </c>
      <c r="AN37" s="42"/>
      <c r="AO37" s="54">
        <v>11</v>
      </c>
      <c r="AP37" s="19">
        <v>56</v>
      </c>
      <c r="AQ37" s="85">
        <v>46139</v>
      </c>
      <c r="AR37" s="19">
        <v>7</v>
      </c>
      <c r="AS37" s="42"/>
      <c r="AT37" s="112">
        <v>35</v>
      </c>
      <c r="AU37" s="112">
        <v>56</v>
      </c>
      <c r="AV37" s="108">
        <v>4</v>
      </c>
      <c r="AW37" s="132">
        <v>46146</v>
      </c>
      <c r="AX37" s="111"/>
      <c r="AY37" s="112">
        <v>14</v>
      </c>
      <c r="AZ37" s="112">
        <v>60</v>
      </c>
      <c r="BA37" s="112">
        <v>21</v>
      </c>
      <c r="BB37" s="132">
        <v>46106</v>
      </c>
      <c r="BC37" s="111"/>
      <c r="BD37" s="108">
        <v>89</v>
      </c>
      <c r="BE37" s="108">
        <v>72</v>
      </c>
      <c r="BF37" s="108" t="s">
        <v>0</v>
      </c>
      <c r="BG37" s="132">
        <v>46155</v>
      </c>
      <c r="BH37" s="43">
        <v>46069</v>
      </c>
      <c r="BI37" s="53">
        <v>46125</v>
      </c>
      <c r="BJ37" s="64">
        <v>24</v>
      </c>
      <c r="BK37" s="66">
        <v>24</v>
      </c>
      <c r="BL37" s="63">
        <v>13</v>
      </c>
      <c r="BM37" s="63">
        <v>58</v>
      </c>
      <c r="BN37" s="64">
        <v>13</v>
      </c>
      <c r="BO37" s="68">
        <v>6</v>
      </c>
      <c r="BP37" s="68">
        <v>4</v>
      </c>
      <c r="BQ37" s="68">
        <v>2</v>
      </c>
      <c r="BR37" s="68">
        <v>1</v>
      </c>
      <c r="BS37" s="68">
        <v>2</v>
      </c>
      <c r="BT37" s="68">
        <v>3</v>
      </c>
      <c r="BU37" s="68">
        <v>5</v>
      </c>
      <c r="BV37" s="68">
        <v>5</v>
      </c>
      <c r="BW37" s="68"/>
      <c r="BX37" s="68">
        <v>1</v>
      </c>
      <c r="BY37" s="68">
        <v>2</v>
      </c>
      <c r="BZ37" s="68">
        <v>1</v>
      </c>
      <c r="CA37" s="68">
        <v>3</v>
      </c>
      <c r="CB37" s="68">
        <v>1</v>
      </c>
      <c r="CC37" s="68">
        <v>1</v>
      </c>
      <c r="CD37" s="68"/>
      <c r="CE37" s="68"/>
      <c r="CF37" s="68">
        <v>3</v>
      </c>
      <c r="CG37" s="68">
        <v>1</v>
      </c>
      <c r="CH37" s="68">
        <v>2</v>
      </c>
      <c r="CI37" s="68"/>
      <c r="CJ37" s="68"/>
      <c r="CK37" s="68">
        <v>2</v>
      </c>
      <c r="CL37" s="68">
        <v>1</v>
      </c>
      <c r="CM37" s="68">
        <v>1</v>
      </c>
      <c r="CN37" s="68"/>
      <c r="CO37" s="68">
        <v>2</v>
      </c>
      <c r="CP37" s="68"/>
      <c r="CQ37" s="68">
        <v>1</v>
      </c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>
        <v>1</v>
      </c>
      <c r="DC37" s="68">
        <v>1</v>
      </c>
      <c r="DD37" s="68"/>
      <c r="DE37" s="68"/>
      <c r="DF37" s="68"/>
      <c r="DG37" s="68">
        <v>1</v>
      </c>
      <c r="DH37" s="68"/>
      <c r="DI37" s="68"/>
      <c r="DJ37" s="68"/>
      <c r="DK37" s="68"/>
      <c r="DL37" s="68">
        <v>1</v>
      </c>
      <c r="DM37" s="68"/>
      <c r="DN37" s="68">
        <v>1</v>
      </c>
      <c r="DO37" s="68">
        <v>1</v>
      </c>
      <c r="DP37" s="68"/>
      <c r="DQ37" s="68"/>
      <c r="DR37" s="68"/>
      <c r="DS37" s="68"/>
      <c r="DT37" s="68"/>
      <c r="DU37" s="68"/>
      <c r="DV37" s="68"/>
      <c r="DW37" s="68"/>
      <c r="DX37" s="68"/>
      <c r="DY37" s="43"/>
      <c r="EA37" s="29"/>
      <c r="EB37" s="12"/>
      <c r="EM37" s="12"/>
      <c r="EN37" s="12"/>
      <c r="EO37" s="12"/>
      <c r="EP37" s="12"/>
      <c r="EQ37" s="12"/>
      <c r="ER37" s="12"/>
      <c r="FQ37" s="20"/>
      <c r="FR37" s="20"/>
      <c r="FS37" s="20"/>
      <c r="FT37" s="20"/>
      <c r="FU37" s="20"/>
    </row>
    <row r="38" spans="1:177" s="13" customFormat="1" ht="12.6" customHeight="1" x14ac:dyDescent="0.25">
      <c r="A38" s="177">
        <v>104</v>
      </c>
      <c r="B38" s="180">
        <v>12</v>
      </c>
      <c r="C38" s="14">
        <f>A38-A44-1</f>
        <v>1</v>
      </c>
      <c r="D38" s="14">
        <f>A38-A74-1</f>
        <v>11</v>
      </c>
      <c r="E38" s="14">
        <f>A38-A80-1</f>
        <v>13</v>
      </c>
      <c r="F38" s="14">
        <f>A38-A41-1</f>
        <v>0</v>
      </c>
      <c r="G38" s="14">
        <f>A38-A62-1</f>
        <v>7</v>
      </c>
      <c r="H38" s="14">
        <f>A38-A53-1</f>
        <v>4</v>
      </c>
      <c r="I38" s="44"/>
      <c r="J38" s="156">
        <f>A38-A74-1</f>
        <v>11</v>
      </c>
      <c r="K38" s="44"/>
      <c r="L38" s="44"/>
      <c r="M38" s="44"/>
      <c r="N38" s="174">
        <v>46151</v>
      </c>
      <c r="O38" s="175"/>
      <c r="P38" s="175"/>
      <c r="Q38" s="175"/>
      <c r="R38" s="175"/>
      <c r="S38" s="175"/>
      <c r="T38" s="175"/>
      <c r="U38" s="175"/>
      <c r="V38" s="175"/>
      <c r="W38" s="176"/>
      <c r="X38" s="44"/>
      <c r="Y38" s="174">
        <v>46148</v>
      </c>
      <c r="Z38" s="175"/>
      <c r="AA38" s="175"/>
      <c r="AB38" s="175"/>
      <c r="AC38" s="175"/>
      <c r="AD38" s="175"/>
      <c r="AE38" s="175"/>
      <c r="AF38" s="175"/>
      <c r="AG38" s="175"/>
      <c r="AH38" s="176"/>
      <c r="AI38" s="149"/>
      <c r="AJ38" s="9">
        <v>6</v>
      </c>
      <c r="AK38" s="19">
        <v>65</v>
      </c>
      <c r="AL38" s="85">
        <v>46155</v>
      </c>
      <c r="AM38" s="19" t="s">
        <v>0</v>
      </c>
      <c r="AN38" s="42"/>
      <c r="AO38" s="54">
        <v>35</v>
      </c>
      <c r="AP38" s="19">
        <v>56</v>
      </c>
      <c r="AQ38" s="85">
        <v>46146</v>
      </c>
      <c r="AR38" s="19">
        <v>4</v>
      </c>
      <c r="AS38" s="42"/>
      <c r="AT38" s="112">
        <v>47</v>
      </c>
      <c r="AU38" s="112">
        <v>67</v>
      </c>
      <c r="AV38" s="108">
        <v>4</v>
      </c>
      <c r="AW38" s="132">
        <v>46146</v>
      </c>
      <c r="AX38" s="111"/>
      <c r="AY38" s="112">
        <v>16</v>
      </c>
      <c r="AZ38" s="112">
        <v>48</v>
      </c>
      <c r="BA38" s="112">
        <v>19</v>
      </c>
      <c r="BB38" s="132">
        <v>46111</v>
      </c>
      <c r="BC38" s="111"/>
      <c r="BD38" s="108"/>
      <c r="BE38" s="108"/>
      <c r="BF38" s="108"/>
      <c r="BG38" s="132"/>
      <c r="BH38" s="43">
        <v>46069</v>
      </c>
      <c r="BI38" s="53">
        <v>46151</v>
      </c>
      <c r="BJ38" s="64">
        <v>25</v>
      </c>
      <c r="BK38" s="71">
        <v>25</v>
      </c>
      <c r="BL38" s="77">
        <v>2</v>
      </c>
      <c r="BM38" s="77">
        <v>63</v>
      </c>
      <c r="BN38" s="72">
        <v>5</v>
      </c>
      <c r="BO38" s="73">
        <v>3</v>
      </c>
      <c r="BP38" s="73">
        <v>5</v>
      </c>
      <c r="BQ38" s="73">
        <v>5</v>
      </c>
      <c r="BR38" s="73">
        <v>4</v>
      </c>
      <c r="BS38" s="73">
        <v>4</v>
      </c>
      <c r="BT38" s="73">
        <v>2</v>
      </c>
      <c r="BU38" s="73">
        <v>3</v>
      </c>
      <c r="BV38" s="73">
        <v>1</v>
      </c>
      <c r="BW38" s="73">
        <v>4</v>
      </c>
      <c r="BX38" s="73">
        <v>3</v>
      </c>
      <c r="BY38" s="73">
        <v>1</v>
      </c>
      <c r="BZ38" s="73">
        <v>1</v>
      </c>
      <c r="CA38" s="73">
        <v>1</v>
      </c>
      <c r="CB38" s="73">
        <v>1</v>
      </c>
      <c r="CC38" s="73">
        <v>1</v>
      </c>
      <c r="CD38" s="73"/>
      <c r="CE38" s="73">
        <v>2</v>
      </c>
      <c r="CF38" s="73">
        <v>1</v>
      </c>
      <c r="CG38" s="73">
        <v>1</v>
      </c>
      <c r="CH38" s="73"/>
      <c r="CI38" s="73">
        <v>1</v>
      </c>
      <c r="CJ38" s="73"/>
      <c r="CK38" s="73">
        <v>1</v>
      </c>
      <c r="CL38" s="73">
        <v>1</v>
      </c>
      <c r="CM38" s="73">
        <v>2</v>
      </c>
      <c r="CN38" s="73">
        <v>2</v>
      </c>
      <c r="CO38" s="73"/>
      <c r="CP38" s="73"/>
      <c r="CQ38" s="73">
        <v>2</v>
      </c>
      <c r="CR38" s="73"/>
      <c r="CS38" s="73">
        <v>1</v>
      </c>
      <c r="CT38" s="73"/>
      <c r="CU38" s="73"/>
      <c r="CV38" s="73"/>
      <c r="CW38" s="73"/>
      <c r="CX38" s="73"/>
      <c r="CY38" s="73">
        <v>1</v>
      </c>
      <c r="CZ38" s="73">
        <v>1</v>
      </c>
      <c r="DA38" s="73"/>
      <c r="DB38" s="73"/>
      <c r="DC38" s="73"/>
      <c r="DD38" s="73">
        <v>1</v>
      </c>
      <c r="DE38" s="73"/>
      <c r="DF38" s="73">
        <v>1</v>
      </c>
      <c r="DG38" s="73"/>
      <c r="DH38" s="73"/>
      <c r="DI38" s="73"/>
      <c r="DJ38" s="73"/>
      <c r="DK38" s="73"/>
      <c r="DL38" s="73"/>
      <c r="DM38" s="73"/>
      <c r="DN38" s="73"/>
      <c r="DO38" s="73"/>
      <c r="DP38" s="73">
        <v>1</v>
      </c>
      <c r="DQ38" s="73"/>
      <c r="DR38" s="73"/>
      <c r="DS38" s="73"/>
      <c r="DT38" s="73"/>
      <c r="DU38" s="73"/>
      <c r="DV38" s="73"/>
      <c r="DW38" s="73"/>
      <c r="DX38" s="73"/>
      <c r="DY38" s="43"/>
      <c r="EA38" s="29"/>
      <c r="EB38" s="12"/>
      <c r="EN38" s="12"/>
      <c r="EO38" s="12"/>
      <c r="EP38" s="12"/>
      <c r="EQ38" s="20"/>
      <c r="ER38" s="174" t="s">
        <v>84</v>
      </c>
      <c r="ES38" s="183"/>
      <c r="ET38" s="183"/>
      <c r="EU38" s="183"/>
      <c r="EV38" s="183"/>
      <c r="EW38" s="183"/>
      <c r="EX38" s="183"/>
      <c r="EY38" s="183"/>
      <c r="EZ38" s="183"/>
      <c r="FA38" s="184"/>
      <c r="FE38" s="185" t="s">
        <v>82</v>
      </c>
      <c r="FF38" s="183"/>
      <c r="FG38" s="183"/>
      <c r="FH38" s="183"/>
      <c r="FI38" s="183"/>
      <c r="FJ38" s="183"/>
      <c r="FK38" s="183"/>
      <c r="FL38" s="183"/>
      <c r="FM38" s="183"/>
      <c r="FN38" s="184"/>
      <c r="FQ38" s="20"/>
      <c r="FR38" s="20"/>
      <c r="FS38" s="20"/>
      <c r="FT38" s="20"/>
      <c r="FU38" s="20"/>
    </row>
    <row r="39" spans="1:177" s="13" customFormat="1" ht="12.6" customHeight="1" x14ac:dyDescent="0.25">
      <c r="A39" s="178"/>
      <c r="B39" s="180"/>
      <c r="C39" s="114">
        <v>3</v>
      </c>
      <c r="D39" s="115">
        <v>6</v>
      </c>
      <c r="E39" s="115">
        <v>38</v>
      </c>
      <c r="F39" s="115">
        <v>48</v>
      </c>
      <c r="G39" s="115">
        <v>66</v>
      </c>
      <c r="H39" s="115">
        <v>69</v>
      </c>
      <c r="I39" s="44"/>
      <c r="J39" s="125">
        <v>89</v>
      </c>
      <c r="K39" s="44"/>
      <c r="L39" s="159">
        <v>46130</v>
      </c>
      <c r="M39" s="44"/>
      <c r="N39" s="119">
        <v>1</v>
      </c>
      <c r="O39" s="119">
        <v>2</v>
      </c>
      <c r="P39" s="119">
        <v>3</v>
      </c>
      <c r="Q39" s="119">
        <v>4</v>
      </c>
      <c r="R39" s="119">
        <v>5</v>
      </c>
      <c r="S39" s="119">
        <v>6</v>
      </c>
      <c r="T39" s="119">
        <v>7</v>
      </c>
      <c r="U39" s="119">
        <v>8</v>
      </c>
      <c r="V39" s="119">
        <v>9</v>
      </c>
      <c r="W39" s="154">
        <v>10</v>
      </c>
      <c r="X39" s="44"/>
      <c r="Y39" s="119">
        <v>1</v>
      </c>
      <c r="Z39" s="119">
        <v>2</v>
      </c>
      <c r="AA39" s="119">
        <v>3</v>
      </c>
      <c r="AB39" s="119">
        <v>4</v>
      </c>
      <c r="AC39" s="119">
        <v>5</v>
      </c>
      <c r="AD39" s="119">
        <v>6</v>
      </c>
      <c r="AE39" s="119">
        <v>7</v>
      </c>
      <c r="AF39" s="119">
        <v>8</v>
      </c>
      <c r="AG39" s="119">
        <v>9</v>
      </c>
      <c r="AH39" s="154">
        <v>10</v>
      </c>
      <c r="AI39" s="149"/>
      <c r="AJ39" s="9">
        <v>7</v>
      </c>
      <c r="AK39" s="19">
        <v>64</v>
      </c>
      <c r="AL39" s="85">
        <v>46146</v>
      </c>
      <c r="AM39" s="19">
        <v>4</v>
      </c>
      <c r="AN39" s="42"/>
      <c r="AO39" s="54">
        <v>52</v>
      </c>
      <c r="AP39" s="19">
        <v>56</v>
      </c>
      <c r="AQ39" s="85">
        <v>46123</v>
      </c>
      <c r="AR39" s="19">
        <v>14</v>
      </c>
      <c r="AS39" s="42"/>
      <c r="AT39" s="112">
        <v>60</v>
      </c>
      <c r="AU39" s="112">
        <v>73</v>
      </c>
      <c r="AV39" s="108">
        <v>4</v>
      </c>
      <c r="AW39" s="132">
        <v>46146</v>
      </c>
      <c r="AX39" s="111"/>
      <c r="AY39" s="112">
        <v>23</v>
      </c>
      <c r="AZ39" s="112">
        <v>69</v>
      </c>
      <c r="BA39" s="112">
        <v>19</v>
      </c>
      <c r="BB39" s="132">
        <v>46111</v>
      </c>
      <c r="BC39" s="111"/>
      <c r="BD39" s="108"/>
      <c r="BE39" s="108"/>
      <c r="BF39" s="108"/>
      <c r="BG39" s="132"/>
      <c r="BH39" s="43">
        <v>46069</v>
      </c>
      <c r="BI39" s="53">
        <v>46120</v>
      </c>
      <c r="BJ39" s="64">
        <v>26</v>
      </c>
      <c r="BK39" s="65">
        <v>26</v>
      </c>
      <c r="BL39" s="63">
        <v>15</v>
      </c>
      <c r="BM39" s="63">
        <v>52</v>
      </c>
      <c r="BN39" s="64">
        <v>8</v>
      </c>
      <c r="BO39" s="68"/>
      <c r="BP39" s="68">
        <v>5</v>
      </c>
      <c r="BQ39" s="68">
        <v>4</v>
      </c>
      <c r="BR39" s="68">
        <v>1</v>
      </c>
      <c r="BS39" s="68">
        <v>4</v>
      </c>
      <c r="BT39" s="68">
        <v>2</v>
      </c>
      <c r="BU39" s="68">
        <v>2</v>
      </c>
      <c r="BV39" s="68">
        <v>3</v>
      </c>
      <c r="BW39" s="68"/>
      <c r="BX39" s="68">
        <v>2</v>
      </c>
      <c r="BY39" s="68">
        <v>1</v>
      </c>
      <c r="BZ39" s="68">
        <v>1</v>
      </c>
      <c r="CA39" s="68"/>
      <c r="CB39" s="68">
        <v>1</v>
      </c>
      <c r="CC39" s="68"/>
      <c r="CD39" s="68">
        <v>3</v>
      </c>
      <c r="CE39" s="68"/>
      <c r="CF39" s="68"/>
      <c r="CG39" s="68">
        <v>1</v>
      </c>
      <c r="CH39" s="68">
        <v>3</v>
      </c>
      <c r="CI39" s="68">
        <v>2</v>
      </c>
      <c r="CJ39" s="68">
        <v>2</v>
      </c>
      <c r="CK39" s="68">
        <v>1</v>
      </c>
      <c r="CL39" s="68"/>
      <c r="CM39" s="68">
        <v>2</v>
      </c>
      <c r="CN39" s="68"/>
      <c r="CO39" s="68">
        <v>1</v>
      </c>
      <c r="CP39" s="68"/>
      <c r="CQ39" s="68"/>
      <c r="CR39" s="68">
        <v>1</v>
      </c>
      <c r="CS39" s="68">
        <v>1</v>
      </c>
      <c r="CT39" s="68"/>
      <c r="CU39" s="68"/>
      <c r="CV39" s="68"/>
      <c r="CW39" s="68"/>
      <c r="CX39" s="68"/>
      <c r="CY39" s="68"/>
      <c r="CZ39" s="68"/>
      <c r="DA39" s="68"/>
      <c r="DB39" s="68"/>
      <c r="DC39" s="68">
        <v>1</v>
      </c>
      <c r="DD39" s="68"/>
      <c r="DE39" s="68"/>
      <c r="DF39" s="68">
        <v>1</v>
      </c>
      <c r="DG39" s="68">
        <v>1</v>
      </c>
      <c r="DH39" s="68">
        <v>1</v>
      </c>
      <c r="DI39" s="68"/>
      <c r="DJ39" s="68"/>
      <c r="DK39" s="68"/>
      <c r="DL39" s="68"/>
      <c r="DM39" s="68"/>
      <c r="DN39" s="68"/>
      <c r="DO39" s="68">
        <v>1</v>
      </c>
      <c r="DP39" s="68"/>
      <c r="DQ39" s="68"/>
      <c r="DR39" s="68"/>
      <c r="DS39" s="68"/>
      <c r="DT39" s="68"/>
      <c r="DU39" s="68">
        <v>1</v>
      </c>
      <c r="DV39" s="68"/>
      <c r="DW39" s="68"/>
      <c r="DX39" s="68"/>
      <c r="DY39" s="43"/>
      <c r="EA39" s="29"/>
      <c r="EB39" s="12"/>
      <c r="EN39" s="12"/>
      <c r="EO39" s="12"/>
      <c r="ER39" s="4">
        <v>1</v>
      </c>
      <c r="ES39" s="6">
        <v>2</v>
      </c>
      <c r="ET39" s="6">
        <v>3</v>
      </c>
      <c r="EU39" s="6">
        <v>4</v>
      </c>
      <c r="EV39" s="6">
        <v>5</v>
      </c>
      <c r="EW39" s="6">
        <v>6</v>
      </c>
      <c r="EX39" s="4">
        <v>7</v>
      </c>
      <c r="EY39" s="6">
        <v>8</v>
      </c>
      <c r="EZ39" s="6">
        <v>9</v>
      </c>
      <c r="FA39" s="41">
        <v>10</v>
      </c>
      <c r="FE39" s="79">
        <v>1</v>
      </c>
      <c r="FF39" s="6">
        <v>2</v>
      </c>
      <c r="FG39" s="6">
        <v>3</v>
      </c>
      <c r="FH39" s="6">
        <v>4</v>
      </c>
      <c r="FI39" s="6">
        <v>5</v>
      </c>
      <c r="FJ39" s="6">
        <v>6</v>
      </c>
      <c r="FK39" s="6">
        <v>7</v>
      </c>
      <c r="FL39" s="79">
        <v>8</v>
      </c>
      <c r="FM39" s="6">
        <v>9</v>
      </c>
      <c r="FN39" s="80">
        <v>10</v>
      </c>
      <c r="FQ39" s="20"/>
      <c r="FR39" s="20"/>
      <c r="FS39" s="20"/>
      <c r="FT39" s="20"/>
      <c r="FU39" s="20"/>
    </row>
    <row r="40" spans="1:177" s="13" customFormat="1" ht="13.2" customHeight="1" x14ac:dyDescent="0.25">
      <c r="A40" s="179"/>
      <c r="B40" s="180"/>
      <c r="C40" s="10">
        <f>C46+1</f>
        <v>8</v>
      </c>
      <c r="D40" s="10">
        <f>C76</f>
        <v>14</v>
      </c>
      <c r="E40" s="10">
        <f>F43+1</f>
        <v>9</v>
      </c>
      <c r="F40" s="10">
        <f>E43+1</f>
        <v>9</v>
      </c>
      <c r="G40" s="10">
        <f>G64+1</f>
        <v>6</v>
      </c>
      <c r="H40" s="10">
        <f>G55+1</f>
        <v>6</v>
      </c>
      <c r="I40" s="44"/>
      <c r="J40" s="156">
        <f>J76+1</f>
        <v>9</v>
      </c>
      <c r="K40" s="44"/>
      <c r="L40" s="159"/>
      <c r="M40" s="44"/>
      <c r="N40" s="119">
        <v>11</v>
      </c>
      <c r="O40" s="119">
        <v>12</v>
      </c>
      <c r="P40" s="119">
        <v>13</v>
      </c>
      <c r="Q40" s="119">
        <v>14</v>
      </c>
      <c r="R40" s="119">
        <v>15</v>
      </c>
      <c r="S40" s="119">
        <v>16</v>
      </c>
      <c r="T40" s="162">
        <v>17</v>
      </c>
      <c r="U40" s="119">
        <v>18</v>
      </c>
      <c r="V40" s="119">
        <v>19</v>
      </c>
      <c r="W40" s="119">
        <v>20</v>
      </c>
      <c r="X40" s="44"/>
      <c r="Y40" s="119">
        <v>11</v>
      </c>
      <c r="Z40" s="119">
        <v>12</v>
      </c>
      <c r="AA40" s="119">
        <v>13</v>
      </c>
      <c r="AB40" s="119">
        <v>14</v>
      </c>
      <c r="AC40" s="119">
        <v>15</v>
      </c>
      <c r="AD40" s="119">
        <v>16</v>
      </c>
      <c r="AE40" s="119">
        <v>17</v>
      </c>
      <c r="AF40" s="162">
        <v>18</v>
      </c>
      <c r="AG40" s="119">
        <v>19</v>
      </c>
      <c r="AH40" s="119">
        <v>20</v>
      </c>
      <c r="AI40" s="149"/>
      <c r="AJ40" s="9">
        <v>33</v>
      </c>
      <c r="AK40" s="19">
        <v>64</v>
      </c>
      <c r="AL40" s="85">
        <v>46132</v>
      </c>
      <c r="AM40" s="19">
        <v>10</v>
      </c>
      <c r="AN40" s="42"/>
      <c r="AO40" s="54">
        <v>58</v>
      </c>
      <c r="AP40" s="19">
        <v>56</v>
      </c>
      <c r="AQ40" s="85">
        <v>46083</v>
      </c>
      <c r="AR40" s="19">
        <v>31</v>
      </c>
      <c r="AS40" s="42"/>
      <c r="AT40" s="112">
        <v>3</v>
      </c>
      <c r="AU40" s="112">
        <v>62</v>
      </c>
      <c r="AV40" s="108">
        <v>5</v>
      </c>
      <c r="AW40" s="132">
        <v>46144</v>
      </c>
      <c r="AX40" s="111"/>
      <c r="AY40" s="112">
        <v>74</v>
      </c>
      <c r="AZ40" s="112">
        <v>60</v>
      </c>
      <c r="BA40" s="112">
        <v>18</v>
      </c>
      <c r="BB40" s="132">
        <v>46113</v>
      </c>
      <c r="BC40" s="111"/>
      <c r="BD40" s="108"/>
      <c r="BE40" s="108"/>
      <c r="BF40" s="108"/>
      <c r="BG40" s="132"/>
      <c r="BH40" s="43">
        <v>46071</v>
      </c>
      <c r="BI40" s="53">
        <v>46139</v>
      </c>
      <c r="BJ40" s="64">
        <v>27</v>
      </c>
      <c r="BK40" s="71">
        <v>27</v>
      </c>
      <c r="BL40" s="77">
        <v>7</v>
      </c>
      <c r="BM40" s="77">
        <v>61</v>
      </c>
      <c r="BN40" s="72">
        <v>11</v>
      </c>
      <c r="BO40" s="73">
        <v>5</v>
      </c>
      <c r="BP40" s="73">
        <v>1</v>
      </c>
      <c r="BQ40" s="73">
        <v>2</v>
      </c>
      <c r="BR40" s="73">
        <v>3</v>
      </c>
      <c r="BS40" s="73">
        <v>2</v>
      </c>
      <c r="BT40" s="73">
        <v>1</v>
      </c>
      <c r="BU40" s="73">
        <v>1</v>
      </c>
      <c r="BV40" s="73">
        <v>3</v>
      </c>
      <c r="BW40" s="73">
        <v>3</v>
      </c>
      <c r="BX40" s="73">
        <v>3</v>
      </c>
      <c r="BY40" s="73">
        <v>1</v>
      </c>
      <c r="BZ40" s="73"/>
      <c r="CA40" s="73">
        <v>3</v>
      </c>
      <c r="CB40" s="73">
        <v>1</v>
      </c>
      <c r="CC40" s="73">
        <v>2</v>
      </c>
      <c r="CD40" s="73">
        <v>1</v>
      </c>
      <c r="CE40" s="73">
        <v>3</v>
      </c>
      <c r="CF40" s="73"/>
      <c r="CG40" s="73">
        <v>1</v>
      </c>
      <c r="CH40" s="73"/>
      <c r="CI40" s="73"/>
      <c r="CJ40" s="73">
        <v>1</v>
      </c>
      <c r="CK40" s="73">
        <v>2</v>
      </c>
      <c r="CL40" s="73"/>
      <c r="CM40" s="73">
        <v>1</v>
      </c>
      <c r="CN40" s="73"/>
      <c r="CO40" s="73"/>
      <c r="CP40" s="73"/>
      <c r="CQ40" s="73">
        <v>1</v>
      </c>
      <c r="CR40" s="73">
        <v>1</v>
      </c>
      <c r="CS40" s="73">
        <v>2</v>
      </c>
      <c r="CT40" s="73"/>
      <c r="CU40" s="73"/>
      <c r="CV40" s="73"/>
      <c r="CW40" s="73">
        <v>1</v>
      </c>
      <c r="CX40" s="73"/>
      <c r="CY40" s="73"/>
      <c r="CZ40" s="73">
        <v>1</v>
      </c>
      <c r="DA40" s="73"/>
      <c r="DB40" s="73"/>
      <c r="DC40" s="73"/>
      <c r="DD40" s="73"/>
      <c r="DE40" s="73"/>
      <c r="DF40" s="73"/>
      <c r="DG40" s="73"/>
      <c r="DH40" s="73"/>
      <c r="DI40" s="73"/>
      <c r="DJ40" s="73"/>
      <c r="DK40" s="73"/>
      <c r="DL40" s="73"/>
      <c r="DM40" s="73"/>
      <c r="DN40" s="73"/>
      <c r="DO40" s="73"/>
      <c r="DP40" s="73"/>
      <c r="DQ40" s="73"/>
      <c r="DR40" s="73"/>
      <c r="DS40" s="73"/>
      <c r="DT40" s="73"/>
      <c r="DU40" s="73">
        <v>1</v>
      </c>
      <c r="DV40" s="73"/>
      <c r="DW40" s="73"/>
      <c r="DX40" s="73">
        <v>2</v>
      </c>
      <c r="DY40" s="43"/>
      <c r="EA40" s="29"/>
      <c r="EB40" s="12"/>
      <c r="EN40" s="12"/>
      <c r="EO40" s="12"/>
      <c r="ER40" s="6">
        <v>11</v>
      </c>
      <c r="ES40" s="6">
        <v>12</v>
      </c>
      <c r="ET40" s="6">
        <v>13</v>
      </c>
      <c r="EU40" s="4">
        <v>14</v>
      </c>
      <c r="EV40" s="6">
        <v>15</v>
      </c>
      <c r="EW40" s="4">
        <v>16</v>
      </c>
      <c r="EX40" s="6">
        <v>17</v>
      </c>
      <c r="EY40" s="4">
        <v>18</v>
      </c>
      <c r="EZ40" s="6">
        <v>19</v>
      </c>
      <c r="FA40" s="4">
        <v>20</v>
      </c>
      <c r="FE40" s="79">
        <v>11</v>
      </c>
      <c r="FF40" s="6">
        <v>12</v>
      </c>
      <c r="FG40" s="6">
        <v>13</v>
      </c>
      <c r="FH40" s="4">
        <v>14</v>
      </c>
      <c r="FI40" s="79">
        <v>15</v>
      </c>
      <c r="FJ40" s="6">
        <v>16</v>
      </c>
      <c r="FK40" s="6">
        <v>17</v>
      </c>
      <c r="FL40" s="79">
        <v>18</v>
      </c>
      <c r="FM40" s="6">
        <v>19</v>
      </c>
      <c r="FN40" s="4">
        <v>20</v>
      </c>
      <c r="FQ40" s="20"/>
      <c r="FR40" s="20"/>
      <c r="FS40" s="20"/>
      <c r="FT40" s="20"/>
      <c r="FU40" s="20"/>
    </row>
    <row r="41" spans="1:177" s="13" customFormat="1" ht="12.6" customHeight="1" x14ac:dyDescent="0.25">
      <c r="A41" s="177">
        <v>103</v>
      </c>
      <c r="B41" s="180">
        <v>13</v>
      </c>
      <c r="C41" s="14">
        <f>A41-A62-1</f>
        <v>6</v>
      </c>
      <c r="D41" s="14">
        <f>A41-A77-1</f>
        <v>11</v>
      </c>
      <c r="E41" s="14">
        <f>A41-A44-1</f>
        <v>0</v>
      </c>
      <c r="F41" s="14">
        <f>A41-A59-1</f>
        <v>5</v>
      </c>
      <c r="G41" s="14">
        <f>A41-A59-1</f>
        <v>5</v>
      </c>
      <c r="H41" s="14">
        <f>A41-A44-1</f>
        <v>0</v>
      </c>
      <c r="I41" s="44"/>
      <c r="J41" s="156">
        <f>A41-A68-1</f>
        <v>8</v>
      </c>
      <c r="K41" s="44"/>
      <c r="M41" s="44"/>
      <c r="N41" s="119">
        <v>21</v>
      </c>
      <c r="O41" s="119">
        <v>22</v>
      </c>
      <c r="P41" s="119">
        <v>23</v>
      </c>
      <c r="Q41" s="119">
        <v>24</v>
      </c>
      <c r="R41" s="162">
        <v>25</v>
      </c>
      <c r="S41" s="119">
        <v>26</v>
      </c>
      <c r="T41" s="119">
        <v>27</v>
      </c>
      <c r="U41" s="162">
        <v>28</v>
      </c>
      <c r="V41" s="119">
        <v>29</v>
      </c>
      <c r="W41" s="154">
        <v>30</v>
      </c>
      <c r="X41" s="44"/>
      <c r="Y41" s="119">
        <v>21</v>
      </c>
      <c r="Z41" s="119">
        <v>22</v>
      </c>
      <c r="AA41" s="119">
        <v>23</v>
      </c>
      <c r="AB41" s="119">
        <v>24</v>
      </c>
      <c r="AC41" s="119">
        <v>25</v>
      </c>
      <c r="AD41" s="119">
        <v>26</v>
      </c>
      <c r="AE41" s="119">
        <v>27</v>
      </c>
      <c r="AF41" s="119">
        <v>28</v>
      </c>
      <c r="AG41" s="119">
        <v>29</v>
      </c>
      <c r="AH41" s="163">
        <v>30</v>
      </c>
      <c r="AI41" s="149"/>
      <c r="AJ41" s="9">
        <v>48</v>
      </c>
      <c r="AK41" s="19">
        <v>64</v>
      </c>
      <c r="AL41" s="85">
        <v>46153</v>
      </c>
      <c r="AM41" s="19">
        <v>1</v>
      </c>
      <c r="AN41" s="42"/>
      <c r="AO41" s="54">
        <v>20</v>
      </c>
      <c r="AP41" s="19">
        <v>57</v>
      </c>
      <c r="AQ41" s="85">
        <v>46104</v>
      </c>
      <c r="AR41" s="19">
        <v>22</v>
      </c>
      <c r="AS41" s="42"/>
      <c r="AT41" s="112">
        <v>37</v>
      </c>
      <c r="AU41" s="112">
        <v>60</v>
      </c>
      <c r="AV41" s="108">
        <v>5</v>
      </c>
      <c r="AW41" s="132">
        <v>46144</v>
      </c>
      <c r="AX41" s="111"/>
      <c r="AY41" s="112">
        <v>29</v>
      </c>
      <c r="AZ41" s="112">
        <v>59</v>
      </c>
      <c r="BA41" s="112">
        <v>17</v>
      </c>
      <c r="BB41" s="132">
        <v>46116</v>
      </c>
      <c r="BC41" s="111"/>
      <c r="BD41" s="108"/>
      <c r="BE41" s="108"/>
      <c r="BF41" s="108"/>
      <c r="BG41" s="132"/>
      <c r="BH41" s="43">
        <v>46071</v>
      </c>
      <c r="BI41" s="53">
        <v>46151</v>
      </c>
      <c r="BJ41" s="64">
        <v>28</v>
      </c>
      <c r="BK41" s="66">
        <v>28</v>
      </c>
      <c r="BL41" s="64">
        <v>2</v>
      </c>
      <c r="BM41" s="64">
        <v>59</v>
      </c>
      <c r="BN41" s="64">
        <v>7</v>
      </c>
      <c r="BO41" s="68">
        <v>5</v>
      </c>
      <c r="BP41" s="68">
        <v>3</v>
      </c>
      <c r="BQ41" s="68">
        <v>7</v>
      </c>
      <c r="BR41" s="68">
        <v>4</v>
      </c>
      <c r="BS41" s="68">
        <v>1</v>
      </c>
      <c r="BT41" s="68">
        <v>4</v>
      </c>
      <c r="BU41" s="68">
        <v>4</v>
      </c>
      <c r="BV41" s="68">
        <v>1</v>
      </c>
      <c r="BW41" s="68"/>
      <c r="BX41" s="68"/>
      <c r="BY41" s="68">
        <v>3</v>
      </c>
      <c r="BZ41" s="68">
        <v>1</v>
      </c>
      <c r="CA41" s="68">
        <v>2</v>
      </c>
      <c r="CB41" s="68">
        <v>2</v>
      </c>
      <c r="CC41" s="68"/>
      <c r="CD41" s="68">
        <v>1</v>
      </c>
      <c r="CE41" s="68"/>
      <c r="CF41" s="68"/>
      <c r="CG41" s="68"/>
      <c r="CH41" s="68">
        <v>2</v>
      </c>
      <c r="CI41" s="68">
        <v>1</v>
      </c>
      <c r="CJ41" s="68">
        <v>1</v>
      </c>
      <c r="CK41" s="68"/>
      <c r="CL41" s="68"/>
      <c r="CM41" s="68"/>
      <c r="CN41" s="68"/>
      <c r="CO41" s="68">
        <v>3</v>
      </c>
      <c r="CP41" s="68">
        <v>1</v>
      </c>
      <c r="CQ41" s="68"/>
      <c r="CR41" s="68"/>
      <c r="CS41" s="68">
        <v>1</v>
      </c>
      <c r="CT41" s="68"/>
      <c r="CU41" s="68">
        <v>1</v>
      </c>
      <c r="CV41" s="68"/>
      <c r="CW41" s="68"/>
      <c r="CX41" s="68"/>
      <c r="CY41" s="68"/>
      <c r="CZ41" s="68">
        <v>3</v>
      </c>
      <c r="DA41" s="68"/>
      <c r="DB41" s="68"/>
      <c r="DC41" s="68">
        <v>2</v>
      </c>
      <c r="DD41" s="68"/>
      <c r="DE41" s="68"/>
      <c r="DF41" s="68"/>
      <c r="DG41" s="68">
        <v>1</v>
      </c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>
        <v>1</v>
      </c>
      <c r="DY41" s="43"/>
      <c r="EA41" s="29"/>
      <c r="EB41" s="12"/>
      <c r="EC41" s="12"/>
      <c r="EN41" s="12"/>
      <c r="EO41" s="12"/>
      <c r="ER41" s="6">
        <v>21</v>
      </c>
      <c r="ES41" s="6">
        <v>22</v>
      </c>
      <c r="ET41" s="4">
        <v>23</v>
      </c>
      <c r="EU41" s="6">
        <v>24</v>
      </c>
      <c r="EV41" s="4">
        <v>25</v>
      </c>
      <c r="EW41" s="6">
        <v>26</v>
      </c>
      <c r="EX41" s="4">
        <v>27</v>
      </c>
      <c r="EY41" s="6">
        <v>28</v>
      </c>
      <c r="EZ41" s="6">
        <v>29</v>
      </c>
      <c r="FA41" s="70">
        <v>30</v>
      </c>
      <c r="FE41" s="79">
        <v>21</v>
      </c>
      <c r="FF41" s="79">
        <v>22</v>
      </c>
      <c r="FG41" s="6">
        <v>23</v>
      </c>
      <c r="FH41" s="6">
        <v>24</v>
      </c>
      <c r="FI41" s="79">
        <v>25</v>
      </c>
      <c r="FJ41" s="6">
        <v>26</v>
      </c>
      <c r="FK41" s="6">
        <v>27</v>
      </c>
      <c r="FL41" s="4">
        <v>28</v>
      </c>
      <c r="FM41" s="6">
        <v>29</v>
      </c>
      <c r="FN41" s="70">
        <v>30</v>
      </c>
      <c r="FQ41" s="20"/>
      <c r="FR41" s="20"/>
      <c r="FS41" s="20"/>
      <c r="FT41" s="20"/>
      <c r="FU41" s="20"/>
    </row>
    <row r="42" spans="1:177" s="13" customFormat="1" ht="12.6" customHeight="1" x14ac:dyDescent="0.25">
      <c r="A42" s="178"/>
      <c r="B42" s="180"/>
      <c r="C42" s="114">
        <v>4</v>
      </c>
      <c r="D42" s="115">
        <v>35</v>
      </c>
      <c r="E42" s="115">
        <v>48</v>
      </c>
      <c r="F42" s="115">
        <v>56</v>
      </c>
      <c r="G42" s="115">
        <v>64</v>
      </c>
      <c r="H42" s="115">
        <v>76</v>
      </c>
      <c r="I42" s="44"/>
      <c r="J42" s="115">
        <v>46</v>
      </c>
      <c r="K42" s="44"/>
      <c r="L42" s="159">
        <v>46127</v>
      </c>
      <c r="M42" s="44"/>
      <c r="N42" s="119">
        <v>31</v>
      </c>
      <c r="O42" s="119">
        <v>32</v>
      </c>
      <c r="P42" s="119">
        <v>33</v>
      </c>
      <c r="Q42" s="119">
        <v>34</v>
      </c>
      <c r="R42" s="119">
        <v>35</v>
      </c>
      <c r="S42" s="119">
        <v>36</v>
      </c>
      <c r="T42" s="119">
        <v>37</v>
      </c>
      <c r="U42" s="119">
        <v>38</v>
      </c>
      <c r="V42" s="119">
        <v>39</v>
      </c>
      <c r="W42" s="154">
        <v>40</v>
      </c>
      <c r="X42" s="44"/>
      <c r="Y42" s="119">
        <v>31</v>
      </c>
      <c r="Z42" s="119">
        <v>32</v>
      </c>
      <c r="AA42" s="119">
        <v>33</v>
      </c>
      <c r="AB42" s="119">
        <v>34</v>
      </c>
      <c r="AC42" s="119">
        <v>35</v>
      </c>
      <c r="AD42" s="119">
        <v>36</v>
      </c>
      <c r="AE42" s="119">
        <v>37</v>
      </c>
      <c r="AF42" s="119">
        <v>38</v>
      </c>
      <c r="AG42" s="119">
        <v>39</v>
      </c>
      <c r="AH42" s="154">
        <v>40</v>
      </c>
      <c r="AI42" s="149"/>
      <c r="AJ42" s="9">
        <v>66</v>
      </c>
      <c r="AK42" s="19">
        <v>64</v>
      </c>
      <c r="AL42" s="85">
        <v>46130</v>
      </c>
      <c r="AM42" s="19">
        <v>11</v>
      </c>
      <c r="AN42" s="42"/>
      <c r="AO42" s="56">
        <v>31</v>
      </c>
      <c r="AP42" s="19">
        <v>57</v>
      </c>
      <c r="AQ42" s="85">
        <v>46104</v>
      </c>
      <c r="AR42" s="19">
        <v>22</v>
      </c>
      <c r="AS42" s="42"/>
      <c r="AT42" s="112">
        <v>62</v>
      </c>
      <c r="AU42" s="112">
        <v>73</v>
      </c>
      <c r="AV42" s="108">
        <v>5</v>
      </c>
      <c r="AW42" s="132">
        <v>46144</v>
      </c>
      <c r="AX42" s="111"/>
      <c r="AY42" s="112">
        <v>40</v>
      </c>
      <c r="AZ42" s="112">
        <v>63</v>
      </c>
      <c r="BA42" s="112">
        <v>16</v>
      </c>
      <c r="BB42" s="132">
        <v>46118</v>
      </c>
      <c r="BC42" s="111"/>
      <c r="BD42" s="108"/>
      <c r="BE42" s="108"/>
      <c r="BF42" s="108"/>
      <c r="BG42" s="132"/>
      <c r="BH42" s="43">
        <v>46076</v>
      </c>
      <c r="BI42" s="53">
        <v>46116</v>
      </c>
      <c r="BJ42" s="64">
        <v>29</v>
      </c>
      <c r="BK42" s="71">
        <v>29</v>
      </c>
      <c r="BL42" s="77">
        <v>17</v>
      </c>
      <c r="BM42" s="77">
        <v>59</v>
      </c>
      <c r="BN42" s="72">
        <v>14</v>
      </c>
      <c r="BO42" s="73">
        <v>3</v>
      </c>
      <c r="BP42" s="73">
        <v>4</v>
      </c>
      <c r="BQ42" s="73">
        <v>5</v>
      </c>
      <c r="BR42" s="73">
        <v>1</v>
      </c>
      <c r="BS42" s="73">
        <v>3</v>
      </c>
      <c r="BT42" s="73"/>
      <c r="BU42" s="73">
        <v>1</v>
      </c>
      <c r="BV42" s="73">
        <v>4</v>
      </c>
      <c r="BW42" s="73">
        <v>4</v>
      </c>
      <c r="BX42" s="73">
        <v>2</v>
      </c>
      <c r="BY42" s="73">
        <v>3</v>
      </c>
      <c r="BZ42" s="73">
        <v>2</v>
      </c>
      <c r="CA42" s="73"/>
      <c r="CB42" s="73"/>
      <c r="CC42" s="73">
        <v>1</v>
      </c>
      <c r="CD42" s="73"/>
      <c r="CE42" s="73">
        <v>2</v>
      </c>
      <c r="CF42" s="73">
        <v>3</v>
      </c>
      <c r="CG42" s="73">
        <v>4</v>
      </c>
      <c r="CH42" s="73"/>
      <c r="CI42" s="73">
        <v>2</v>
      </c>
      <c r="CJ42" s="73">
        <v>2</v>
      </c>
      <c r="CK42" s="73"/>
      <c r="CL42" s="73">
        <v>1</v>
      </c>
      <c r="CM42" s="73"/>
      <c r="CN42" s="73">
        <v>1</v>
      </c>
      <c r="CO42" s="73"/>
      <c r="CP42" s="73">
        <v>1</v>
      </c>
      <c r="CQ42" s="73"/>
      <c r="CR42" s="73">
        <v>1</v>
      </c>
      <c r="CS42" s="73"/>
      <c r="CT42" s="73"/>
      <c r="CU42" s="73"/>
      <c r="CV42" s="73"/>
      <c r="CW42" s="73"/>
      <c r="CX42" s="73">
        <v>1</v>
      </c>
      <c r="CY42" s="73"/>
      <c r="CZ42" s="73"/>
      <c r="DA42" s="73"/>
      <c r="DB42" s="73">
        <v>1</v>
      </c>
      <c r="DC42" s="73"/>
      <c r="DD42" s="73"/>
      <c r="DE42" s="73"/>
      <c r="DF42" s="73">
        <v>1</v>
      </c>
      <c r="DG42" s="73"/>
      <c r="DH42" s="73"/>
      <c r="DI42" s="73"/>
      <c r="DJ42" s="73"/>
      <c r="DK42" s="73"/>
      <c r="DL42" s="73"/>
      <c r="DM42" s="73"/>
      <c r="DN42" s="73"/>
      <c r="DO42" s="73"/>
      <c r="DP42" s="73"/>
      <c r="DQ42" s="73"/>
      <c r="DR42" s="73"/>
      <c r="DS42" s="73"/>
      <c r="DT42" s="73"/>
      <c r="DU42" s="73"/>
      <c r="DV42" s="73">
        <v>1</v>
      </c>
      <c r="DW42" s="73"/>
      <c r="DX42" s="73">
        <v>1</v>
      </c>
      <c r="DY42" s="43"/>
      <c r="EA42" s="29"/>
      <c r="EB42" s="12"/>
      <c r="EC42" s="12"/>
      <c r="EN42" s="12"/>
      <c r="EO42" s="12"/>
      <c r="ER42" s="6">
        <v>31</v>
      </c>
      <c r="ES42" s="4">
        <v>32</v>
      </c>
      <c r="ET42" s="6">
        <v>33</v>
      </c>
      <c r="EU42" s="4">
        <v>34</v>
      </c>
      <c r="EV42" s="6">
        <v>35</v>
      </c>
      <c r="EW42" s="6">
        <v>36</v>
      </c>
      <c r="EX42" s="6">
        <v>37</v>
      </c>
      <c r="EY42" s="6">
        <v>38</v>
      </c>
      <c r="EZ42" s="4">
        <v>39</v>
      </c>
      <c r="FA42" s="70">
        <v>40</v>
      </c>
      <c r="FE42" s="4">
        <v>31</v>
      </c>
      <c r="FF42" s="4">
        <v>32</v>
      </c>
      <c r="FG42" s="4">
        <v>33</v>
      </c>
      <c r="FH42" s="79">
        <v>34</v>
      </c>
      <c r="FI42" s="6">
        <v>35</v>
      </c>
      <c r="FJ42" s="79">
        <v>36</v>
      </c>
      <c r="FK42" s="79">
        <v>37</v>
      </c>
      <c r="FL42" s="6">
        <v>38</v>
      </c>
      <c r="FM42" s="79">
        <v>39</v>
      </c>
      <c r="FN42" s="70">
        <v>40</v>
      </c>
      <c r="FQ42" s="20"/>
      <c r="FR42" s="20"/>
      <c r="FS42" s="20"/>
      <c r="FT42" s="20"/>
      <c r="FU42" s="20"/>
    </row>
    <row r="43" spans="1:177" s="13" customFormat="1" ht="13.2" customHeight="1" x14ac:dyDescent="0.25">
      <c r="A43" s="179"/>
      <c r="B43" s="180"/>
      <c r="C43" s="10">
        <f>C64+1</f>
        <v>12</v>
      </c>
      <c r="D43" s="10">
        <f>E79+1</f>
        <v>9</v>
      </c>
      <c r="E43" s="10">
        <f>F46+1</f>
        <v>8</v>
      </c>
      <c r="F43" s="10">
        <f>F61+1</f>
        <v>8</v>
      </c>
      <c r="G43" s="10">
        <f>G61+1</f>
        <v>9</v>
      </c>
      <c r="H43" s="10">
        <f>G46+1</f>
        <v>10</v>
      </c>
      <c r="I43" s="44"/>
      <c r="J43" s="156">
        <f>J70+1</f>
        <v>7</v>
      </c>
      <c r="K43" s="44"/>
      <c r="L43" s="159"/>
      <c r="M43" s="44"/>
      <c r="N43" s="119">
        <v>41</v>
      </c>
      <c r="O43" s="119">
        <v>42</v>
      </c>
      <c r="P43" s="119">
        <v>43</v>
      </c>
      <c r="Q43" s="119">
        <v>44</v>
      </c>
      <c r="R43" s="119">
        <v>45</v>
      </c>
      <c r="S43" s="83">
        <v>46</v>
      </c>
      <c r="T43" s="83">
        <v>47</v>
      </c>
      <c r="U43" s="83">
        <v>48</v>
      </c>
      <c r="V43" s="83">
        <v>49</v>
      </c>
      <c r="W43" s="84">
        <v>50</v>
      </c>
      <c r="X43" s="44"/>
      <c r="Y43" s="119">
        <v>41</v>
      </c>
      <c r="Z43" s="119">
        <v>42</v>
      </c>
      <c r="AA43" s="119">
        <v>43</v>
      </c>
      <c r="AB43" s="119">
        <v>44</v>
      </c>
      <c r="AC43" s="119">
        <v>45</v>
      </c>
      <c r="AD43" s="83">
        <v>46</v>
      </c>
      <c r="AE43" s="83">
        <v>47</v>
      </c>
      <c r="AF43" s="83">
        <v>48</v>
      </c>
      <c r="AG43" s="83">
        <v>49</v>
      </c>
      <c r="AH43" s="163">
        <v>50</v>
      </c>
      <c r="AI43" s="149"/>
      <c r="AJ43" s="9">
        <v>25</v>
      </c>
      <c r="AK43" s="19">
        <v>63</v>
      </c>
      <c r="AL43" s="85">
        <v>46151</v>
      </c>
      <c r="AM43" s="19">
        <v>2</v>
      </c>
      <c r="AN43" s="42"/>
      <c r="AO43" s="54">
        <v>42</v>
      </c>
      <c r="AP43" s="19">
        <v>57</v>
      </c>
      <c r="AQ43" s="85">
        <v>46120</v>
      </c>
      <c r="AR43" s="19">
        <v>15</v>
      </c>
      <c r="AS43" s="42"/>
      <c r="AT43" s="112">
        <v>64</v>
      </c>
      <c r="AU43" s="112">
        <v>67</v>
      </c>
      <c r="AV43" s="108">
        <v>5</v>
      </c>
      <c r="AW43" s="132">
        <v>46144</v>
      </c>
      <c r="AX43" s="111"/>
      <c r="AY43" s="112">
        <v>43</v>
      </c>
      <c r="AZ43" s="112">
        <v>60</v>
      </c>
      <c r="BA43" s="112">
        <v>16</v>
      </c>
      <c r="BB43" s="132">
        <v>46118</v>
      </c>
      <c r="BC43" s="111"/>
      <c r="BD43" s="108"/>
      <c r="BE43" s="108"/>
      <c r="BF43" s="108"/>
      <c r="BG43" s="132"/>
      <c r="BH43" s="43">
        <v>46076</v>
      </c>
      <c r="BI43" s="53">
        <v>46148</v>
      </c>
      <c r="BJ43" s="64">
        <v>30</v>
      </c>
      <c r="BK43" s="66">
        <v>30</v>
      </c>
      <c r="BL43" s="64">
        <v>3</v>
      </c>
      <c r="BM43" s="64">
        <v>60</v>
      </c>
      <c r="BN43" s="64">
        <v>7</v>
      </c>
      <c r="BO43" s="68">
        <v>2</v>
      </c>
      <c r="BP43" s="68">
        <v>6</v>
      </c>
      <c r="BQ43" s="68"/>
      <c r="BR43" s="68">
        <v>4</v>
      </c>
      <c r="BS43" s="68">
        <v>1</v>
      </c>
      <c r="BT43" s="68">
        <v>3</v>
      </c>
      <c r="BU43" s="68">
        <v>2</v>
      </c>
      <c r="BV43" s="68"/>
      <c r="BW43" s="68">
        <v>2</v>
      </c>
      <c r="BX43" s="68">
        <v>4</v>
      </c>
      <c r="BY43" s="68">
        <v>1</v>
      </c>
      <c r="BZ43" s="68">
        <v>1</v>
      </c>
      <c r="CA43" s="68">
        <v>3</v>
      </c>
      <c r="CB43" s="68">
        <v>1</v>
      </c>
      <c r="CC43" s="68"/>
      <c r="CD43" s="68">
        <v>1</v>
      </c>
      <c r="CE43" s="68">
        <v>1</v>
      </c>
      <c r="CF43" s="68"/>
      <c r="CG43" s="68">
        <v>1</v>
      </c>
      <c r="CH43" s="68"/>
      <c r="CI43" s="68"/>
      <c r="CJ43" s="68"/>
      <c r="CK43" s="68">
        <v>3</v>
      </c>
      <c r="CL43" s="68"/>
      <c r="CM43" s="68">
        <v>1</v>
      </c>
      <c r="CN43" s="68"/>
      <c r="CO43" s="68"/>
      <c r="CP43" s="68"/>
      <c r="CQ43" s="68"/>
      <c r="CR43" s="68"/>
      <c r="CS43" s="68">
        <v>1</v>
      </c>
      <c r="CT43" s="68"/>
      <c r="CU43" s="68">
        <v>2</v>
      </c>
      <c r="CV43" s="68"/>
      <c r="CW43" s="68"/>
      <c r="CX43" s="68"/>
      <c r="CY43" s="68">
        <v>1</v>
      </c>
      <c r="CZ43" s="68"/>
      <c r="DA43" s="68"/>
      <c r="DB43" s="68"/>
      <c r="DC43" s="68">
        <v>1</v>
      </c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>
        <v>1</v>
      </c>
      <c r="DY43" s="43"/>
      <c r="EA43" s="29"/>
      <c r="EB43" s="12"/>
      <c r="EC43" s="12"/>
      <c r="EN43" s="12"/>
      <c r="EO43" s="12"/>
      <c r="ER43" s="6">
        <v>41</v>
      </c>
      <c r="ES43" s="6">
        <v>42</v>
      </c>
      <c r="ET43" s="6">
        <v>43</v>
      </c>
      <c r="EU43" s="6">
        <v>44</v>
      </c>
      <c r="EV43" s="6">
        <v>45</v>
      </c>
      <c r="EW43" s="6">
        <v>46</v>
      </c>
      <c r="EX43" s="4">
        <v>47</v>
      </c>
      <c r="EY43" s="6">
        <v>48</v>
      </c>
      <c r="EZ43" s="6">
        <v>49</v>
      </c>
      <c r="FA43" s="70">
        <v>50</v>
      </c>
      <c r="FE43" s="4">
        <v>41</v>
      </c>
      <c r="FF43" s="6">
        <v>42</v>
      </c>
      <c r="FG43" s="6">
        <v>43</v>
      </c>
      <c r="FH43" s="4">
        <v>44</v>
      </c>
      <c r="FI43" s="6">
        <v>45</v>
      </c>
      <c r="FJ43" s="6">
        <v>46</v>
      </c>
      <c r="FK43" s="4">
        <v>47</v>
      </c>
      <c r="FL43" s="6">
        <v>48</v>
      </c>
      <c r="FM43" s="79">
        <v>49</v>
      </c>
      <c r="FN43" s="70">
        <v>50</v>
      </c>
      <c r="FQ43" s="20"/>
      <c r="FR43" s="20"/>
      <c r="FS43" s="20"/>
      <c r="FT43" s="20"/>
      <c r="FU43" s="20"/>
    </row>
    <row r="44" spans="1:177" s="13" customFormat="1" ht="12.6" customHeight="1" x14ac:dyDescent="0.25">
      <c r="A44" s="177">
        <v>102</v>
      </c>
      <c r="B44" s="180">
        <v>14</v>
      </c>
      <c r="C44" s="14">
        <f>A44-A116-1</f>
        <v>23</v>
      </c>
      <c r="D44" s="14">
        <f>A44-A50-1</f>
        <v>1</v>
      </c>
      <c r="E44" s="14">
        <f>A44-A71-1</f>
        <v>8</v>
      </c>
      <c r="F44" s="14">
        <f>A44-A62-1</f>
        <v>5</v>
      </c>
      <c r="G44" s="14">
        <f>A44-A62-1</f>
        <v>5</v>
      </c>
      <c r="H44" s="14">
        <f>A44-A80-1</f>
        <v>11</v>
      </c>
      <c r="I44" s="44"/>
      <c r="J44" s="156">
        <f>A44-A71-1</f>
        <v>8</v>
      </c>
      <c r="K44" s="44"/>
      <c r="M44" s="44"/>
      <c r="N44" s="83">
        <v>51</v>
      </c>
      <c r="O44" s="83">
        <v>52</v>
      </c>
      <c r="P44" s="162">
        <v>53</v>
      </c>
      <c r="Q44" s="83">
        <v>54</v>
      </c>
      <c r="R44" s="83">
        <v>55</v>
      </c>
      <c r="S44" s="83">
        <v>56</v>
      </c>
      <c r="T44" s="83">
        <v>57</v>
      </c>
      <c r="U44" s="83">
        <v>58</v>
      </c>
      <c r="V44" s="83">
        <v>59</v>
      </c>
      <c r="W44" s="84">
        <v>60</v>
      </c>
      <c r="X44" s="44"/>
      <c r="Y44" s="83">
        <v>51</v>
      </c>
      <c r="Z44" s="83">
        <v>52</v>
      </c>
      <c r="AA44" s="83">
        <v>53</v>
      </c>
      <c r="AB44" s="83">
        <v>54</v>
      </c>
      <c r="AC44" s="162">
        <v>55</v>
      </c>
      <c r="AD44" s="83">
        <v>56</v>
      </c>
      <c r="AE44" s="83">
        <v>57</v>
      </c>
      <c r="AF44" s="83">
        <v>58</v>
      </c>
      <c r="AG44" s="83">
        <v>59</v>
      </c>
      <c r="AH44" s="84">
        <v>60</v>
      </c>
      <c r="AI44" s="149"/>
      <c r="AJ44" s="9">
        <v>32</v>
      </c>
      <c r="AK44" s="19">
        <v>63</v>
      </c>
      <c r="AL44" s="85">
        <v>46095</v>
      </c>
      <c r="AM44" s="19">
        <v>26</v>
      </c>
      <c r="AN44" s="42"/>
      <c r="AO44" s="54">
        <v>55</v>
      </c>
      <c r="AP44" s="19">
        <v>57</v>
      </c>
      <c r="AQ44" s="85">
        <v>46148</v>
      </c>
      <c r="AR44" s="19">
        <v>3</v>
      </c>
      <c r="AS44" s="42"/>
      <c r="AT44" s="112">
        <v>87</v>
      </c>
      <c r="AU44" s="112">
        <v>80</v>
      </c>
      <c r="AV44" s="108">
        <v>5</v>
      </c>
      <c r="AW44" s="132">
        <v>46144</v>
      </c>
      <c r="AX44" s="111"/>
      <c r="AY44" s="112">
        <v>75</v>
      </c>
      <c r="AZ44" s="112">
        <v>55</v>
      </c>
      <c r="BA44" s="112">
        <v>16</v>
      </c>
      <c r="BB44" s="132">
        <v>46118</v>
      </c>
      <c r="BC44" s="111"/>
      <c r="BD44" s="108"/>
      <c r="BE44" s="108"/>
      <c r="BF44" s="108"/>
      <c r="BG44" s="132"/>
      <c r="BH44" s="43">
        <v>46078</v>
      </c>
      <c r="BI44" s="53">
        <v>46104</v>
      </c>
      <c r="BJ44" s="64">
        <v>31</v>
      </c>
      <c r="BK44" s="71">
        <v>31</v>
      </c>
      <c r="BL44" s="77">
        <v>22</v>
      </c>
      <c r="BM44" s="77">
        <v>57</v>
      </c>
      <c r="BN44" s="72">
        <v>7</v>
      </c>
      <c r="BO44" s="73">
        <v>3</v>
      </c>
      <c r="BP44" s="73">
        <v>1</v>
      </c>
      <c r="BQ44" s="73">
        <v>1</v>
      </c>
      <c r="BR44" s="73">
        <v>2</v>
      </c>
      <c r="BS44" s="73">
        <v>3</v>
      </c>
      <c r="BT44" s="73">
        <v>2</v>
      </c>
      <c r="BU44" s="73">
        <v>1</v>
      </c>
      <c r="BV44" s="73">
        <v>4</v>
      </c>
      <c r="BW44" s="73">
        <v>3</v>
      </c>
      <c r="BX44" s="73">
        <v>4</v>
      </c>
      <c r="BY44" s="73">
        <v>1</v>
      </c>
      <c r="BZ44" s="73">
        <v>2</v>
      </c>
      <c r="CA44" s="73">
        <v>2</v>
      </c>
      <c r="CB44" s="73"/>
      <c r="CC44" s="73">
        <v>1</v>
      </c>
      <c r="CD44" s="73">
        <v>3</v>
      </c>
      <c r="CE44" s="73"/>
      <c r="CF44" s="73">
        <v>3</v>
      </c>
      <c r="CG44" s="73">
        <v>1</v>
      </c>
      <c r="CH44" s="73"/>
      <c r="CI44" s="73"/>
      <c r="CJ44" s="73">
        <v>1</v>
      </c>
      <c r="CK44" s="73">
        <v>1</v>
      </c>
      <c r="CL44" s="73">
        <v>2</v>
      </c>
      <c r="CM44" s="73">
        <v>3</v>
      </c>
      <c r="CN44" s="73"/>
      <c r="CO44" s="73">
        <v>3</v>
      </c>
      <c r="CP44" s="73"/>
      <c r="CQ44" s="73"/>
      <c r="CR44" s="73"/>
      <c r="CS44" s="73"/>
      <c r="CT44" s="73"/>
      <c r="CU44" s="73"/>
      <c r="CV44" s="73">
        <v>1</v>
      </c>
      <c r="CW44" s="73"/>
      <c r="CX44" s="73"/>
      <c r="CY44" s="73">
        <v>1</v>
      </c>
      <c r="CZ44" s="73"/>
      <c r="DA44" s="73"/>
      <c r="DB44" s="73"/>
      <c r="DC44" s="73"/>
      <c r="DD44" s="73"/>
      <c r="DE44" s="73"/>
      <c r="DF44" s="73">
        <v>1</v>
      </c>
      <c r="DG44" s="73"/>
      <c r="DH44" s="73"/>
      <c r="DI44" s="73"/>
      <c r="DJ44" s="73">
        <v>1</v>
      </c>
      <c r="DK44" s="73"/>
      <c r="DL44" s="73"/>
      <c r="DM44" s="73"/>
      <c r="DN44" s="73"/>
      <c r="DO44" s="73"/>
      <c r="DP44" s="73"/>
      <c r="DQ44" s="73"/>
      <c r="DR44" s="73"/>
      <c r="DS44" s="73"/>
      <c r="DT44" s="73">
        <v>1</v>
      </c>
      <c r="DU44" s="73"/>
      <c r="DV44" s="73"/>
      <c r="DW44" s="73"/>
      <c r="DX44" s="73"/>
      <c r="DY44" s="43"/>
      <c r="EA44" s="29"/>
      <c r="EB44" s="12"/>
      <c r="EC44" s="12"/>
      <c r="EN44" s="12"/>
      <c r="EO44" s="12"/>
      <c r="ER44" s="4">
        <v>51</v>
      </c>
      <c r="ES44" s="6">
        <v>52</v>
      </c>
      <c r="ET44" s="6">
        <v>53</v>
      </c>
      <c r="EU44" s="6">
        <v>54</v>
      </c>
      <c r="EV44" s="6">
        <v>55</v>
      </c>
      <c r="EW44" s="6">
        <v>56</v>
      </c>
      <c r="EX44" s="6">
        <v>57</v>
      </c>
      <c r="EY44" s="6">
        <v>58</v>
      </c>
      <c r="EZ44" s="6">
        <v>59</v>
      </c>
      <c r="FA44" s="41">
        <v>60</v>
      </c>
      <c r="FE44" s="79">
        <v>51</v>
      </c>
      <c r="FF44" s="6">
        <v>52</v>
      </c>
      <c r="FG44" s="4">
        <v>53</v>
      </c>
      <c r="FH44" s="79">
        <v>54</v>
      </c>
      <c r="FI44" s="6">
        <v>55</v>
      </c>
      <c r="FJ44" s="6">
        <v>56</v>
      </c>
      <c r="FK44" s="4">
        <v>57</v>
      </c>
      <c r="FL44" s="79">
        <v>58</v>
      </c>
      <c r="FM44" s="6">
        <v>59</v>
      </c>
      <c r="FN44" s="41">
        <v>60</v>
      </c>
      <c r="FQ44" s="20"/>
      <c r="FR44" s="20"/>
      <c r="FS44" s="20"/>
      <c r="FT44" s="20"/>
      <c r="FU44" s="20"/>
    </row>
    <row r="45" spans="1:177" s="13" customFormat="1" ht="12.6" customHeight="1" x14ac:dyDescent="0.25">
      <c r="A45" s="178"/>
      <c r="B45" s="180"/>
      <c r="C45" s="114">
        <v>3</v>
      </c>
      <c r="D45" s="115">
        <v>13</v>
      </c>
      <c r="E45" s="115">
        <v>24</v>
      </c>
      <c r="F45" s="115">
        <v>48</v>
      </c>
      <c r="G45" s="115">
        <v>76</v>
      </c>
      <c r="H45" s="115">
        <v>81</v>
      </c>
      <c r="I45" s="44"/>
      <c r="J45" s="115">
        <v>74</v>
      </c>
      <c r="K45" s="44"/>
      <c r="L45" s="160">
        <v>46125</v>
      </c>
      <c r="M45" s="44"/>
      <c r="N45" s="83">
        <v>61</v>
      </c>
      <c r="O45" s="83">
        <v>62</v>
      </c>
      <c r="P45" s="83">
        <v>63</v>
      </c>
      <c r="Q45" s="83">
        <v>64</v>
      </c>
      <c r="R45" s="83">
        <v>65</v>
      </c>
      <c r="S45" s="83">
        <v>66</v>
      </c>
      <c r="T45" s="83">
        <v>67</v>
      </c>
      <c r="U45" s="83">
        <v>68</v>
      </c>
      <c r="V45" s="83">
        <v>69</v>
      </c>
      <c r="W45" s="84">
        <v>70</v>
      </c>
      <c r="X45" s="44"/>
      <c r="Y45" s="83">
        <v>61</v>
      </c>
      <c r="Z45" s="83">
        <v>62</v>
      </c>
      <c r="AA45" s="83">
        <v>63</v>
      </c>
      <c r="AB45" s="83">
        <v>64</v>
      </c>
      <c r="AC45" s="83">
        <v>65</v>
      </c>
      <c r="AD45" s="83">
        <v>66</v>
      </c>
      <c r="AE45" s="83">
        <v>67</v>
      </c>
      <c r="AF45" s="83">
        <v>68</v>
      </c>
      <c r="AG45" s="83">
        <v>69</v>
      </c>
      <c r="AH45" s="84">
        <v>70</v>
      </c>
      <c r="AI45" s="149"/>
      <c r="AJ45" s="9">
        <v>40</v>
      </c>
      <c r="AK45" s="19">
        <v>63</v>
      </c>
      <c r="AL45" s="85">
        <v>46118</v>
      </c>
      <c r="AM45" s="19">
        <v>16</v>
      </c>
      <c r="AN45" s="42"/>
      <c r="AO45" s="54">
        <v>59</v>
      </c>
      <c r="AP45" s="19">
        <v>57</v>
      </c>
      <c r="AQ45" s="85">
        <v>46155</v>
      </c>
      <c r="AR45" s="19" t="s">
        <v>0</v>
      </c>
      <c r="AS45" s="42"/>
      <c r="AT45" s="112">
        <v>68</v>
      </c>
      <c r="AU45" s="112">
        <v>60</v>
      </c>
      <c r="AV45" s="108">
        <v>6</v>
      </c>
      <c r="AW45" s="132">
        <v>46141</v>
      </c>
      <c r="AX45" s="111"/>
      <c r="AY45" s="112">
        <v>5</v>
      </c>
      <c r="AZ45" s="112">
        <v>67</v>
      </c>
      <c r="BA45" s="112">
        <v>15</v>
      </c>
      <c r="BB45" s="132">
        <v>46120</v>
      </c>
      <c r="BC45" s="111"/>
      <c r="BD45" s="108"/>
      <c r="BE45" s="108"/>
      <c r="BF45" s="108"/>
      <c r="BG45" s="132"/>
      <c r="BH45" s="43">
        <v>46078</v>
      </c>
      <c r="BI45" s="53">
        <v>46095</v>
      </c>
      <c r="BJ45" s="64">
        <v>32</v>
      </c>
      <c r="BK45" s="66">
        <v>32</v>
      </c>
      <c r="BL45" s="64">
        <v>26</v>
      </c>
      <c r="BM45" s="64">
        <v>63</v>
      </c>
      <c r="BN45" s="64">
        <v>11</v>
      </c>
      <c r="BO45" s="68">
        <v>4</v>
      </c>
      <c r="BP45" s="68">
        <v>6</v>
      </c>
      <c r="BQ45" s="68">
        <v>7</v>
      </c>
      <c r="BR45" s="68">
        <v>1</v>
      </c>
      <c r="BS45" s="68">
        <v>2</v>
      </c>
      <c r="BT45" s="68">
        <v>3</v>
      </c>
      <c r="BU45" s="68">
        <v>3</v>
      </c>
      <c r="BV45" s="68">
        <v>2</v>
      </c>
      <c r="BW45" s="68">
        <v>1</v>
      </c>
      <c r="BX45" s="68">
        <v>3</v>
      </c>
      <c r="BY45" s="68">
        <v>1</v>
      </c>
      <c r="BZ45" s="68">
        <v>2</v>
      </c>
      <c r="CA45" s="68"/>
      <c r="CB45" s="68">
        <v>2</v>
      </c>
      <c r="CC45" s="68">
        <v>2</v>
      </c>
      <c r="CD45" s="68">
        <v>4</v>
      </c>
      <c r="CE45" s="68"/>
      <c r="CF45" s="68">
        <v>1</v>
      </c>
      <c r="CG45" s="68">
        <v>3</v>
      </c>
      <c r="CH45" s="68">
        <v>3</v>
      </c>
      <c r="CI45" s="68"/>
      <c r="CJ45" s="68"/>
      <c r="CK45" s="68"/>
      <c r="CL45" s="68"/>
      <c r="CM45" s="68">
        <v>1</v>
      </c>
      <c r="CN45" s="68"/>
      <c r="CO45" s="68"/>
      <c r="CP45" s="68">
        <v>2</v>
      </c>
      <c r="CQ45" s="68"/>
      <c r="CR45" s="68"/>
      <c r="CS45" s="68">
        <v>1</v>
      </c>
      <c r="CT45" s="68"/>
      <c r="CU45" s="68"/>
      <c r="CV45" s="68">
        <v>1</v>
      </c>
      <c r="CW45" s="68"/>
      <c r="CX45" s="68"/>
      <c r="CY45" s="68"/>
      <c r="CZ45" s="68">
        <v>1</v>
      </c>
      <c r="DA45" s="68">
        <v>1</v>
      </c>
      <c r="DB45" s="68"/>
      <c r="DC45" s="68"/>
      <c r="DD45" s="68"/>
      <c r="DE45" s="68">
        <v>1</v>
      </c>
      <c r="DF45" s="68"/>
      <c r="DG45" s="68"/>
      <c r="DH45" s="68"/>
      <c r="DI45" s="68"/>
      <c r="DJ45" s="68"/>
      <c r="DK45" s="68"/>
      <c r="DL45" s="68"/>
      <c r="DM45" s="68"/>
      <c r="DN45" s="68"/>
      <c r="DO45" s="68">
        <v>1</v>
      </c>
      <c r="DP45" s="68"/>
      <c r="DQ45" s="68"/>
      <c r="DR45" s="68">
        <v>1</v>
      </c>
      <c r="DS45" s="68"/>
      <c r="DT45" s="68"/>
      <c r="DU45" s="68"/>
      <c r="DV45" s="68"/>
      <c r="DW45" s="68"/>
      <c r="DX45" s="68"/>
      <c r="DY45" s="43"/>
      <c r="EA45" s="29"/>
      <c r="EB45" s="12"/>
      <c r="EC45" s="12"/>
      <c r="EP45" s="12"/>
      <c r="EQ45" s="12"/>
      <c r="ER45" s="4">
        <v>61</v>
      </c>
      <c r="ES45" s="6">
        <v>62</v>
      </c>
      <c r="ET45" s="4">
        <v>63</v>
      </c>
      <c r="EU45" s="6">
        <v>64</v>
      </c>
      <c r="EV45" s="4">
        <v>65</v>
      </c>
      <c r="EW45" s="6">
        <v>66</v>
      </c>
      <c r="EX45" s="4">
        <v>67</v>
      </c>
      <c r="EY45" s="6">
        <v>68</v>
      </c>
      <c r="EZ45" s="6">
        <v>69</v>
      </c>
      <c r="FA45" s="41">
        <v>70</v>
      </c>
      <c r="FE45" s="4">
        <v>61</v>
      </c>
      <c r="FF45" s="6">
        <v>62</v>
      </c>
      <c r="FG45" s="6">
        <v>63</v>
      </c>
      <c r="FH45" s="6">
        <v>64</v>
      </c>
      <c r="FI45" s="4">
        <v>65</v>
      </c>
      <c r="FJ45" s="6">
        <v>66</v>
      </c>
      <c r="FK45" s="4">
        <v>67</v>
      </c>
      <c r="FL45" s="4">
        <v>68</v>
      </c>
      <c r="FM45" s="6">
        <v>69</v>
      </c>
      <c r="FN45" s="80">
        <v>70</v>
      </c>
      <c r="FQ45" s="20"/>
      <c r="FR45" s="20"/>
      <c r="FS45" s="20"/>
      <c r="FT45" s="20"/>
      <c r="FU45" s="20"/>
    </row>
    <row r="46" spans="1:177" s="13" customFormat="1" ht="13.2" customHeight="1" x14ac:dyDescent="0.25">
      <c r="A46" s="179"/>
      <c r="B46" s="180"/>
      <c r="C46" s="10">
        <f>D118+1</f>
        <v>7</v>
      </c>
      <c r="D46" s="10">
        <f>D52+1</f>
        <v>10</v>
      </c>
      <c r="E46" s="10">
        <f>J73+1</f>
        <v>13</v>
      </c>
      <c r="F46" s="10">
        <f>J64+1</f>
        <v>7</v>
      </c>
      <c r="G46" s="10">
        <f>H64+2</f>
        <v>9</v>
      </c>
      <c r="H46" s="10">
        <f>J82+1</f>
        <v>6</v>
      </c>
      <c r="I46" s="44"/>
      <c r="J46" s="156">
        <f>H61+1</f>
        <v>14</v>
      </c>
      <c r="K46" s="44"/>
      <c r="L46" s="159"/>
      <c r="M46" s="44"/>
      <c r="N46" s="83">
        <v>71</v>
      </c>
      <c r="O46" s="162">
        <v>72</v>
      </c>
      <c r="P46" s="83">
        <v>73</v>
      </c>
      <c r="Q46" s="83">
        <v>74</v>
      </c>
      <c r="R46" s="83">
        <v>75</v>
      </c>
      <c r="S46" s="83">
        <v>76</v>
      </c>
      <c r="T46" s="83">
        <v>77</v>
      </c>
      <c r="U46" s="83">
        <v>78</v>
      </c>
      <c r="V46" s="162">
        <v>79</v>
      </c>
      <c r="W46" s="84">
        <v>80</v>
      </c>
      <c r="X46" s="44"/>
      <c r="Y46" s="83">
        <v>71</v>
      </c>
      <c r="Z46" s="162">
        <v>72</v>
      </c>
      <c r="AA46" s="83">
        <v>73</v>
      </c>
      <c r="AB46" s="83">
        <v>74</v>
      </c>
      <c r="AC46" s="83">
        <v>75</v>
      </c>
      <c r="AD46" s="83">
        <v>76</v>
      </c>
      <c r="AE46" s="83">
        <v>77</v>
      </c>
      <c r="AF46" s="83">
        <v>78</v>
      </c>
      <c r="AG46" s="83">
        <v>79</v>
      </c>
      <c r="AH46" s="84">
        <v>80</v>
      </c>
      <c r="AI46" s="149"/>
      <c r="AJ46" s="9">
        <v>50</v>
      </c>
      <c r="AK46" s="19">
        <v>63</v>
      </c>
      <c r="AL46" s="85">
        <v>46148</v>
      </c>
      <c r="AM46" s="19">
        <v>3</v>
      </c>
      <c r="AN46" s="42"/>
      <c r="AO46" s="54">
        <v>73</v>
      </c>
      <c r="AP46" s="19">
        <v>57</v>
      </c>
      <c r="AQ46" s="85">
        <v>46064</v>
      </c>
      <c r="AR46" s="19">
        <v>39</v>
      </c>
      <c r="AS46" s="42"/>
      <c r="AT46" s="112">
        <v>78</v>
      </c>
      <c r="AU46" s="112">
        <v>59</v>
      </c>
      <c r="AV46" s="108">
        <v>6</v>
      </c>
      <c r="AW46" s="132">
        <v>46141</v>
      </c>
      <c r="AX46" s="111"/>
      <c r="AY46" s="112">
        <v>26</v>
      </c>
      <c r="AZ46" s="112">
        <v>52</v>
      </c>
      <c r="BA46" s="112">
        <v>15</v>
      </c>
      <c r="BB46" s="132">
        <v>46120</v>
      </c>
      <c r="BC46" s="111"/>
      <c r="BD46" s="108"/>
      <c r="BE46" s="108"/>
      <c r="BF46" s="108"/>
      <c r="BG46" s="112"/>
      <c r="BH46" s="43"/>
      <c r="BI46" s="53">
        <v>46132</v>
      </c>
      <c r="BJ46" s="64">
        <v>33</v>
      </c>
      <c r="BK46" s="71">
        <v>33</v>
      </c>
      <c r="BL46" s="77">
        <v>10</v>
      </c>
      <c r="BM46" s="77">
        <v>64</v>
      </c>
      <c r="BN46" s="72">
        <v>11</v>
      </c>
      <c r="BO46" s="73">
        <v>4</v>
      </c>
      <c r="BP46" s="73">
        <v>3</v>
      </c>
      <c r="BQ46" s="73">
        <v>3</v>
      </c>
      <c r="BR46" s="73">
        <v>7</v>
      </c>
      <c r="BS46" s="73">
        <v>5</v>
      </c>
      <c r="BT46" s="73">
        <v>8</v>
      </c>
      <c r="BU46" s="73">
        <v>2</v>
      </c>
      <c r="BV46" s="73"/>
      <c r="BW46" s="73"/>
      <c r="BX46" s="73">
        <v>2</v>
      </c>
      <c r="BY46" s="73"/>
      <c r="BZ46" s="73">
        <v>11</v>
      </c>
      <c r="CA46" s="73"/>
      <c r="CB46" s="73">
        <v>2</v>
      </c>
      <c r="CC46" s="73"/>
      <c r="CD46" s="73"/>
      <c r="CE46" s="73"/>
      <c r="CF46" s="73">
        <v>2</v>
      </c>
      <c r="CG46" s="73">
        <v>2</v>
      </c>
      <c r="CH46" s="73">
        <v>2</v>
      </c>
      <c r="CI46" s="73"/>
      <c r="CJ46" s="73"/>
      <c r="CK46" s="73"/>
      <c r="CL46" s="73">
        <v>1</v>
      </c>
      <c r="CM46" s="73"/>
      <c r="CN46" s="73">
        <v>2</v>
      </c>
      <c r="CO46" s="73"/>
      <c r="CP46" s="73"/>
      <c r="CQ46" s="73">
        <v>1</v>
      </c>
      <c r="CR46" s="73">
        <v>1</v>
      </c>
      <c r="CS46" s="73">
        <v>1</v>
      </c>
      <c r="CT46" s="73"/>
      <c r="CU46" s="73">
        <v>1</v>
      </c>
      <c r="CV46" s="73">
        <v>1</v>
      </c>
      <c r="CW46" s="73"/>
      <c r="CX46" s="73"/>
      <c r="CY46" s="73">
        <v>1</v>
      </c>
      <c r="CZ46" s="73">
        <v>1</v>
      </c>
      <c r="DA46" s="73"/>
      <c r="DB46" s="73"/>
      <c r="DC46" s="73"/>
      <c r="DD46" s="73">
        <v>1</v>
      </c>
      <c r="DE46" s="73"/>
      <c r="DF46" s="73">
        <v>1</v>
      </c>
      <c r="DG46" s="73"/>
      <c r="DH46" s="73"/>
      <c r="DI46" s="73">
        <v>1</v>
      </c>
      <c r="DJ46" s="73"/>
      <c r="DK46" s="73"/>
      <c r="DL46" s="73"/>
      <c r="DM46" s="73"/>
      <c r="DN46" s="73"/>
      <c r="DO46" s="73"/>
      <c r="DP46" s="73"/>
      <c r="DQ46" s="73"/>
      <c r="DR46" s="73"/>
      <c r="DS46" s="73"/>
      <c r="DT46" s="73">
        <v>1</v>
      </c>
      <c r="DU46" s="73"/>
      <c r="DV46" s="73"/>
      <c r="DW46" s="73"/>
      <c r="DX46" s="73"/>
      <c r="DY46" s="43"/>
      <c r="EA46" s="29"/>
      <c r="EB46" s="12"/>
      <c r="EC46" s="12"/>
      <c r="EP46" s="12"/>
      <c r="EQ46" s="12"/>
      <c r="ER46" s="6">
        <v>71</v>
      </c>
      <c r="ES46" s="6">
        <v>72</v>
      </c>
      <c r="ET46" s="4">
        <v>73</v>
      </c>
      <c r="EU46" s="6">
        <v>74</v>
      </c>
      <c r="EV46" s="6">
        <v>75</v>
      </c>
      <c r="EW46" s="6">
        <v>76</v>
      </c>
      <c r="EX46" s="6">
        <v>77</v>
      </c>
      <c r="EY46" s="6">
        <v>78</v>
      </c>
      <c r="EZ46" s="4">
        <v>79</v>
      </c>
      <c r="FA46" s="70">
        <v>80</v>
      </c>
      <c r="FE46" s="4">
        <v>71</v>
      </c>
      <c r="FF46" s="6">
        <v>72</v>
      </c>
      <c r="FG46" s="79">
        <v>73</v>
      </c>
      <c r="FH46" s="6">
        <v>74</v>
      </c>
      <c r="FI46" s="6">
        <v>75</v>
      </c>
      <c r="FJ46" s="6">
        <v>76</v>
      </c>
      <c r="FK46" s="4">
        <v>77</v>
      </c>
      <c r="FL46" s="4">
        <v>78</v>
      </c>
      <c r="FM46" s="79">
        <v>79</v>
      </c>
      <c r="FN46" s="70">
        <v>80</v>
      </c>
      <c r="FQ46" s="20"/>
      <c r="FR46" s="20"/>
      <c r="FS46" s="20"/>
      <c r="FT46" s="20"/>
      <c r="FU46" s="20"/>
    </row>
    <row r="47" spans="1:177" s="13" customFormat="1" ht="12.6" customHeight="1" x14ac:dyDescent="0.25">
      <c r="A47" s="177">
        <v>101</v>
      </c>
      <c r="B47" s="180">
        <v>15</v>
      </c>
      <c r="C47" s="14">
        <f>A47-A101-1</f>
        <v>17</v>
      </c>
      <c r="D47" s="14">
        <f>A47-A59-1</f>
        <v>3</v>
      </c>
      <c r="E47" s="14">
        <f>A47-A128-1</f>
        <v>26</v>
      </c>
      <c r="F47" s="14">
        <f>A47-A71-1</f>
        <v>7</v>
      </c>
      <c r="G47" s="14">
        <f>A47-A53-1</f>
        <v>1</v>
      </c>
      <c r="H47" s="14">
        <f>A47-A86-1</f>
        <v>12</v>
      </c>
      <c r="I47" s="44"/>
      <c r="J47" s="156">
        <f>A47-A125-1</f>
        <v>25</v>
      </c>
      <c r="K47" s="44"/>
      <c r="M47" s="44"/>
      <c r="N47" s="83">
        <v>81</v>
      </c>
      <c r="O47" s="83">
        <v>82</v>
      </c>
      <c r="P47" s="83">
        <v>83</v>
      </c>
      <c r="Q47" s="83">
        <v>84</v>
      </c>
      <c r="R47" s="83">
        <v>85</v>
      </c>
      <c r="S47" s="83">
        <v>86</v>
      </c>
      <c r="T47" s="83">
        <v>87</v>
      </c>
      <c r="U47" s="83">
        <v>88</v>
      </c>
      <c r="V47" s="83">
        <v>89</v>
      </c>
      <c r="W47" s="84">
        <v>90</v>
      </c>
      <c r="X47" s="44"/>
      <c r="Y47" s="83">
        <v>81</v>
      </c>
      <c r="Z47" s="162">
        <v>82</v>
      </c>
      <c r="AA47" s="83">
        <v>83</v>
      </c>
      <c r="AB47" s="83">
        <v>84</v>
      </c>
      <c r="AC47" s="83">
        <v>85</v>
      </c>
      <c r="AD47" s="83">
        <v>86</v>
      </c>
      <c r="AE47" s="83">
        <v>87</v>
      </c>
      <c r="AF47" s="83">
        <v>88</v>
      </c>
      <c r="AG47" s="83">
        <v>89</v>
      </c>
      <c r="AH47" s="84">
        <v>90</v>
      </c>
      <c r="AI47" s="149"/>
      <c r="AJ47" s="9">
        <v>3</v>
      </c>
      <c r="AK47" s="19">
        <v>62</v>
      </c>
      <c r="AL47" s="85">
        <v>46144</v>
      </c>
      <c r="AM47" s="19">
        <v>5</v>
      </c>
      <c r="AN47" s="42"/>
      <c r="AO47" s="54">
        <v>24</v>
      </c>
      <c r="AP47" s="19">
        <v>58</v>
      </c>
      <c r="AQ47" s="85">
        <v>46125</v>
      </c>
      <c r="AR47" s="19">
        <v>13</v>
      </c>
      <c r="AS47" s="42"/>
      <c r="AT47" s="112">
        <v>84</v>
      </c>
      <c r="AU47" s="112">
        <v>59</v>
      </c>
      <c r="AV47" s="108">
        <v>6</v>
      </c>
      <c r="AW47" s="132">
        <v>46141</v>
      </c>
      <c r="AX47" s="111"/>
      <c r="AY47" s="112">
        <v>42</v>
      </c>
      <c r="AZ47" s="112">
        <v>57</v>
      </c>
      <c r="BA47" s="112">
        <v>15</v>
      </c>
      <c r="BB47" s="132">
        <v>46120</v>
      </c>
      <c r="BC47" s="111"/>
      <c r="BD47" s="108"/>
      <c r="BE47" s="108"/>
      <c r="BF47" s="108"/>
      <c r="BG47" s="112"/>
      <c r="BH47" s="43"/>
      <c r="BI47" s="53">
        <v>46139</v>
      </c>
      <c r="BJ47" s="64">
        <v>34</v>
      </c>
      <c r="BK47" s="66">
        <v>34</v>
      </c>
      <c r="BL47" s="63">
        <v>7</v>
      </c>
      <c r="BM47" s="63">
        <v>55</v>
      </c>
      <c r="BN47" s="64">
        <v>5</v>
      </c>
      <c r="BO47" s="68">
        <v>6</v>
      </c>
      <c r="BP47" s="68">
        <v>3</v>
      </c>
      <c r="BQ47" s="68">
        <v>2</v>
      </c>
      <c r="BR47" s="68">
        <v>4</v>
      </c>
      <c r="BS47" s="68">
        <v>2</v>
      </c>
      <c r="BT47" s="68">
        <v>3</v>
      </c>
      <c r="BU47" s="68">
        <v>2</v>
      </c>
      <c r="BV47" s="68">
        <v>1</v>
      </c>
      <c r="BW47" s="68">
        <v>1</v>
      </c>
      <c r="BX47" s="68">
        <v>2</v>
      </c>
      <c r="BY47" s="68">
        <v>1</v>
      </c>
      <c r="BZ47" s="68">
        <v>3</v>
      </c>
      <c r="CA47" s="68">
        <v>1</v>
      </c>
      <c r="CB47" s="68"/>
      <c r="CC47" s="68">
        <v>2</v>
      </c>
      <c r="CD47" s="68">
        <v>3</v>
      </c>
      <c r="CE47" s="68"/>
      <c r="CF47" s="68"/>
      <c r="CG47" s="68">
        <v>2</v>
      </c>
      <c r="CH47" s="68"/>
      <c r="CI47" s="68"/>
      <c r="CJ47" s="68">
        <v>1</v>
      </c>
      <c r="CK47" s="68">
        <v>1</v>
      </c>
      <c r="CL47" s="68">
        <v>1</v>
      </c>
      <c r="CM47" s="68"/>
      <c r="CN47" s="68"/>
      <c r="CO47" s="68"/>
      <c r="CP47" s="68"/>
      <c r="CQ47" s="68">
        <v>3</v>
      </c>
      <c r="CR47" s="68"/>
      <c r="CS47" s="68">
        <v>1</v>
      </c>
      <c r="CT47" s="68">
        <v>1</v>
      </c>
      <c r="CU47" s="68"/>
      <c r="CV47" s="68">
        <v>1</v>
      </c>
      <c r="CW47" s="68"/>
      <c r="CX47" s="68"/>
      <c r="CY47" s="68"/>
      <c r="CZ47" s="68"/>
      <c r="DA47" s="68"/>
      <c r="DB47" s="68"/>
      <c r="DC47" s="68"/>
      <c r="DD47" s="68">
        <v>1</v>
      </c>
      <c r="DE47" s="68"/>
      <c r="DF47" s="68"/>
      <c r="DG47" s="68">
        <v>1</v>
      </c>
      <c r="DH47" s="68"/>
      <c r="DI47" s="68"/>
      <c r="DJ47" s="68"/>
      <c r="DK47" s="68"/>
      <c r="DL47" s="68"/>
      <c r="DM47" s="68"/>
      <c r="DN47" s="68">
        <v>1</v>
      </c>
      <c r="DO47" s="68"/>
      <c r="DP47" s="68"/>
      <c r="DQ47" s="68"/>
      <c r="DR47" s="68">
        <v>1</v>
      </c>
      <c r="DS47" s="68"/>
      <c r="DT47" s="68"/>
      <c r="DU47" s="68"/>
      <c r="DV47" s="68"/>
      <c r="DW47" s="68">
        <v>1</v>
      </c>
      <c r="DX47" s="68"/>
      <c r="DY47" s="43"/>
      <c r="EA47" s="29"/>
      <c r="EB47" s="12"/>
      <c r="EC47" s="12"/>
      <c r="EP47" s="12"/>
      <c r="EQ47" s="12"/>
      <c r="ER47" s="6">
        <v>81</v>
      </c>
      <c r="ES47" s="6">
        <v>82</v>
      </c>
      <c r="ET47" s="6">
        <v>83</v>
      </c>
      <c r="EU47" s="6">
        <v>84</v>
      </c>
      <c r="EV47" s="4">
        <v>85</v>
      </c>
      <c r="EW47" s="4">
        <v>86</v>
      </c>
      <c r="EX47" s="6">
        <v>87</v>
      </c>
      <c r="EY47" s="6">
        <v>88</v>
      </c>
      <c r="EZ47" s="6">
        <v>89</v>
      </c>
      <c r="FA47" s="41">
        <v>90</v>
      </c>
      <c r="FE47" s="6">
        <v>81</v>
      </c>
      <c r="FF47" s="6">
        <v>82</v>
      </c>
      <c r="FG47" s="4">
        <v>83</v>
      </c>
      <c r="FH47" s="79">
        <v>84</v>
      </c>
      <c r="FI47" s="79">
        <v>85</v>
      </c>
      <c r="FJ47" s="6">
        <v>86</v>
      </c>
      <c r="FK47" s="6">
        <v>87</v>
      </c>
      <c r="FL47" s="4">
        <v>88</v>
      </c>
      <c r="FM47" s="79">
        <v>89</v>
      </c>
      <c r="FN47" s="80">
        <v>90</v>
      </c>
      <c r="FQ47" s="20"/>
      <c r="FR47" s="20"/>
      <c r="FS47" s="20"/>
      <c r="FT47" s="20"/>
      <c r="FU47" s="20"/>
    </row>
    <row r="48" spans="1:177" s="13" customFormat="1" ht="12.6" customHeight="1" x14ac:dyDescent="0.25">
      <c r="A48" s="178"/>
      <c r="B48" s="180"/>
      <c r="C48" s="114">
        <v>2</v>
      </c>
      <c r="D48" s="115">
        <v>9</v>
      </c>
      <c r="E48" s="115">
        <v>30</v>
      </c>
      <c r="F48" s="115">
        <v>45</v>
      </c>
      <c r="G48" s="115">
        <v>50</v>
      </c>
      <c r="H48" s="115">
        <v>52</v>
      </c>
      <c r="I48" s="44"/>
      <c r="J48" s="115">
        <v>37</v>
      </c>
      <c r="K48" s="44"/>
      <c r="L48" s="159">
        <v>46123</v>
      </c>
      <c r="M48" s="44"/>
      <c r="X48" s="44"/>
      <c r="AI48" s="149"/>
      <c r="AJ48" s="9">
        <v>57</v>
      </c>
      <c r="AK48" s="19">
        <v>62</v>
      </c>
      <c r="AL48" s="85">
        <v>46092</v>
      </c>
      <c r="AM48" s="19">
        <v>27</v>
      </c>
      <c r="AN48" s="42"/>
      <c r="AO48" s="54">
        <v>49</v>
      </c>
      <c r="AP48" s="19">
        <v>58</v>
      </c>
      <c r="AQ48" s="85">
        <v>46069</v>
      </c>
      <c r="AR48" s="19">
        <v>37</v>
      </c>
      <c r="AS48" s="42"/>
      <c r="AT48" s="112">
        <v>88</v>
      </c>
      <c r="AU48" s="112">
        <v>70</v>
      </c>
      <c r="AV48" s="108">
        <v>6</v>
      </c>
      <c r="AW48" s="132">
        <v>46141</v>
      </c>
      <c r="AX48" s="111"/>
      <c r="AY48" s="112">
        <v>80</v>
      </c>
      <c r="AZ48" s="112">
        <v>66</v>
      </c>
      <c r="BA48" s="112">
        <v>15</v>
      </c>
      <c r="BB48" s="132">
        <v>46120</v>
      </c>
      <c r="BC48" s="111"/>
      <c r="BD48" s="108"/>
      <c r="BE48" s="108"/>
      <c r="BF48" s="108"/>
      <c r="BG48" s="112"/>
      <c r="BH48" s="43"/>
      <c r="BI48" s="53">
        <v>46146</v>
      </c>
      <c r="BJ48" s="64">
        <v>35</v>
      </c>
      <c r="BK48" s="71">
        <v>35</v>
      </c>
      <c r="BL48" s="77">
        <v>4</v>
      </c>
      <c r="BM48" s="77">
        <v>56</v>
      </c>
      <c r="BN48" s="72">
        <v>11</v>
      </c>
      <c r="BO48" s="73">
        <v>2</v>
      </c>
      <c r="BP48" s="73"/>
      <c r="BQ48" s="73">
        <v>7</v>
      </c>
      <c r="BR48" s="73">
        <v>5</v>
      </c>
      <c r="BS48" s="73">
        <v>1</v>
      </c>
      <c r="BT48" s="73"/>
      <c r="BU48" s="73">
        <v>2</v>
      </c>
      <c r="BV48" s="73"/>
      <c r="BW48" s="73">
        <v>3</v>
      </c>
      <c r="BX48" s="73">
        <v>1</v>
      </c>
      <c r="BY48" s="73">
        <v>2</v>
      </c>
      <c r="BZ48" s="73">
        <v>2</v>
      </c>
      <c r="CA48" s="73"/>
      <c r="CB48" s="73">
        <v>1</v>
      </c>
      <c r="CC48" s="73">
        <v>1</v>
      </c>
      <c r="CD48" s="73">
        <v>2</v>
      </c>
      <c r="CE48" s="73"/>
      <c r="CF48" s="73">
        <v>1</v>
      </c>
      <c r="CG48" s="73">
        <v>1</v>
      </c>
      <c r="CH48" s="73">
        <v>3</v>
      </c>
      <c r="CI48" s="73"/>
      <c r="CJ48" s="73"/>
      <c r="CK48" s="73">
        <v>3</v>
      </c>
      <c r="CL48" s="73"/>
      <c r="CM48" s="73">
        <v>1</v>
      </c>
      <c r="CN48" s="73"/>
      <c r="CO48" s="73"/>
      <c r="CP48" s="73"/>
      <c r="CQ48" s="73"/>
      <c r="CR48" s="73"/>
      <c r="CS48" s="73"/>
      <c r="CT48" s="73"/>
      <c r="CU48" s="73">
        <v>1</v>
      </c>
      <c r="CV48" s="73"/>
      <c r="CW48" s="73">
        <v>1</v>
      </c>
      <c r="CX48" s="73"/>
      <c r="CY48" s="73">
        <v>1</v>
      </c>
      <c r="CZ48" s="73"/>
      <c r="DA48" s="73">
        <v>2</v>
      </c>
      <c r="DB48" s="73"/>
      <c r="DC48" s="73"/>
      <c r="DD48" s="73"/>
      <c r="DE48" s="73"/>
      <c r="DF48" s="73"/>
      <c r="DG48" s="73">
        <v>1</v>
      </c>
      <c r="DH48" s="73"/>
      <c r="DI48" s="73"/>
      <c r="DJ48" s="73"/>
      <c r="DK48" s="73"/>
      <c r="DL48" s="73"/>
      <c r="DM48" s="73"/>
      <c r="DN48" s="73">
        <v>1</v>
      </c>
      <c r="DO48" s="73"/>
      <c r="DP48" s="73"/>
      <c r="DQ48" s="73"/>
      <c r="DR48" s="73"/>
      <c r="DS48" s="73"/>
      <c r="DT48" s="73"/>
      <c r="DU48" s="73"/>
      <c r="DV48" s="73"/>
      <c r="DW48" s="73">
        <v>1</v>
      </c>
      <c r="DX48" s="73">
        <v>1</v>
      </c>
      <c r="DY48" s="43"/>
      <c r="EA48" s="29"/>
      <c r="EB48" s="12"/>
      <c r="EC48" s="12"/>
      <c r="FQ48" s="20"/>
      <c r="FR48" s="20"/>
      <c r="FS48" s="20"/>
      <c r="FT48" s="20"/>
      <c r="FU48" s="20"/>
    </row>
    <row r="49" spans="1:177" s="13" customFormat="1" ht="13.2" customHeight="1" x14ac:dyDescent="0.25">
      <c r="A49" s="179"/>
      <c r="B49" s="180"/>
      <c r="C49" s="10">
        <f>C103+1</f>
        <v>12</v>
      </c>
      <c r="D49" s="10">
        <f>C61+1</f>
        <v>4</v>
      </c>
      <c r="E49" s="10">
        <f>D130+1</f>
        <v>7</v>
      </c>
      <c r="F49" s="10">
        <f>G73+1</f>
        <v>11</v>
      </c>
      <c r="G49" s="10">
        <f>E55+1</f>
        <v>10</v>
      </c>
      <c r="H49" s="10">
        <f>E88+1</f>
        <v>4</v>
      </c>
      <c r="I49" s="44"/>
      <c r="J49" s="156">
        <v>7</v>
      </c>
      <c r="K49" s="44"/>
      <c r="L49" s="159"/>
      <c r="M49" s="44"/>
      <c r="N49" s="174">
        <v>46146</v>
      </c>
      <c r="O49" s="175"/>
      <c r="P49" s="175"/>
      <c r="Q49" s="175"/>
      <c r="R49" s="175"/>
      <c r="S49" s="175"/>
      <c r="T49" s="175"/>
      <c r="U49" s="175"/>
      <c r="V49" s="175"/>
      <c r="W49" s="176"/>
      <c r="X49" s="44"/>
      <c r="Y49" s="174">
        <v>46144</v>
      </c>
      <c r="Z49" s="175"/>
      <c r="AA49" s="175"/>
      <c r="AB49" s="175"/>
      <c r="AC49" s="175"/>
      <c r="AD49" s="175"/>
      <c r="AE49" s="175"/>
      <c r="AF49" s="175"/>
      <c r="AG49" s="175"/>
      <c r="AH49" s="176"/>
      <c r="AI49" s="149"/>
      <c r="AJ49" s="9">
        <v>61</v>
      </c>
      <c r="AK49" s="19">
        <v>62</v>
      </c>
      <c r="AL49" s="85">
        <v>46097</v>
      </c>
      <c r="AM49" s="19">
        <v>25</v>
      </c>
      <c r="AN49" s="42"/>
      <c r="AO49" s="54">
        <v>28</v>
      </c>
      <c r="AP49" s="19">
        <v>59</v>
      </c>
      <c r="AQ49" s="85">
        <v>46151</v>
      </c>
      <c r="AR49" s="19">
        <v>2</v>
      </c>
      <c r="AS49" s="42"/>
      <c r="AT49" s="112">
        <v>11</v>
      </c>
      <c r="AU49" s="112">
        <v>56</v>
      </c>
      <c r="AV49" s="108">
        <v>7</v>
      </c>
      <c r="AW49" s="132">
        <v>46139</v>
      </c>
      <c r="AX49" s="111"/>
      <c r="AY49" s="112"/>
      <c r="AZ49" s="112"/>
      <c r="BA49" s="112"/>
      <c r="BB49" s="112"/>
      <c r="BC49" s="111"/>
      <c r="BD49" s="108"/>
      <c r="BE49" s="108"/>
      <c r="BF49" s="108"/>
      <c r="BG49" s="112"/>
      <c r="BH49" s="43"/>
      <c r="BI49" s="53">
        <v>46153</v>
      </c>
      <c r="BJ49" s="64">
        <v>36</v>
      </c>
      <c r="BK49" s="66">
        <v>36</v>
      </c>
      <c r="BL49" s="63">
        <v>1</v>
      </c>
      <c r="BM49" s="63">
        <v>54</v>
      </c>
      <c r="BN49" s="64">
        <v>9</v>
      </c>
      <c r="BO49" s="68">
        <v>2</v>
      </c>
      <c r="BP49" s="68">
        <v>5</v>
      </c>
      <c r="BQ49" s="68">
        <v>3</v>
      </c>
      <c r="BR49" s="68">
        <v>5</v>
      </c>
      <c r="BS49" s="68">
        <v>1</v>
      </c>
      <c r="BT49" s="68">
        <v>1</v>
      </c>
      <c r="BU49" s="68">
        <v>5</v>
      </c>
      <c r="BV49" s="68">
        <v>2</v>
      </c>
      <c r="BW49" s="68"/>
      <c r="BX49" s="68">
        <v>1</v>
      </c>
      <c r="BY49" s="68">
        <v>2</v>
      </c>
      <c r="BZ49" s="68"/>
      <c r="CA49" s="68">
        <v>1</v>
      </c>
      <c r="CB49" s="68">
        <v>3</v>
      </c>
      <c r="CC49" s="68">
        <v>1</v>
      </c>
      <c r="CD49" s="68"/>
      <c r="CE49" s="68">
        <v>1</v>
      </c>
      <c r="CF49" s="68"/>
      <c r="CG49" s="68">
        <v>2</v>
      </c>
      <c r="CH49" s="68">
        <v>3</v>
      </c>
      <c r="CI49" s="68">
        <v>3</v>
      </c>
      <c r="CJ49" s="68">
        <v>1</v>
      </c>
      <c r="CK49" s="68"/>
      <c r="CL49" s="68"/>
      <c r="CM49" s="68"/>
      <c r="CN49" s="68">
        <v>1</v>
      </c>
      <c r="CO49" s="68">
        <v>2</v>
      </c>
      <c r="CP49" s="68"/>
      <c r="CQ49" s="68"/>
      <c r="CR49" s="68"/>
      <c r="CS49" s="68">
        <v>1</v>
      </c>
      <c r="CT49" s="68"/>
      <c r="CU49" s="68"/>
      <c r="CV49" s="68">
        <v>1</v>
      </c>
      <c r="CW49" s="68">
        <v>1</v>
      </c>
      <c r="CX49" s="68"/>
      <c r="CY49" s="68"/>
      <c r="CZ49" s="68"/>
      <c r="DA49" s="68"/>
      <c r="DB49" s="68"/>
      <c r="DC49" s="68"/>
      <c r="DD49" s="68">
        <v>1</v>
      </c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>
        <v>1</v>
      </c>
      <c r="DX49" s="68">
        <v>1</v>
      </c>
      <c r="DY49" s="43"/>
      <c r="EA49" s="29"/>
      <c r="EB49" s="12"/>
      <c r="EC49" s="12"/>
      <c r="FQ49" s="20"/>
      <c r="FR49" s="20"/>
      <c r="FS49" s="20"/>
      <c r="FT49" s="20"/>
      <c r="FU49" s="20"/>
    </row>
    <row r="50" spans="1:177" s="13" customFormat="1" ht="12.6" customHeight="1" x14ac:dyDescent="0.25">
      <c r="A50" s="177">
        <v>100</v>
      </c>
      <c r="B50" s="180">
        <v>16</v>
      </c>
      <c r="C50" s="14">
        <f>A50-A65-1</f>
        <v>4</v>
      </c>
      <c r="D50" s="14">
        <f>A50-A74-1</f>
        <v>7</v>
      </c>
      <c r="E50" s="14">
        <f>A50-A74-1</f>
        <v>7</v>
      </c>
      <c r="F50" s="14">
        <f>A50-A56-1</f>
        <v>1</v>
      </c>
      <c r="G50" s="14">
        <f>A50-A53-1</f>
        <v>0</v>
      </c>
      <c r="H50" s="14">
        <f>A50-A92-1</f>
        <v>13</v>
      </c>
      <c r="I50" s="44"/>
      <c r="J50" s="156">
        <f>A50-A89-1</f>
        <v>12</v>
      </c>
      <c r="K50" s="44"/>
      <c r="M50" s="45"/>
      <c r="N50" s="119">
        <v>1</v>
      </c>
      <c r="O50" s="119">
        <v>2</v>
      </c>
      <c r="P50" s="119">
        <v>3</v>
      </c>
      <c r="Q50" s="119">
        <v>4</v>
      </c>
      <c r="R50" s="119">
        <v>5</v>
      </c>
      <c r="S50" s="119">
        <v>6</v>
      </c>
      <c r="T50" s="6">
        <v>7</v>
      </c>
      <c r="U50" s="119">
        <v>8</v>
      </c>
      <c r="V50" s="119">
        <v>9</v>
      </c>
      <c r="W50" s="154">
        <v>10</v>
      </c>
      <c r="X50" s="44"/>
      <c r="Y50" s="119">
        <v>1</v>
      </c>
      <c r="Z50" s="119">
        <v>2</v>
      </c>
      <c r="AA50" s="6">
        <v>3</v>
      </c>
      <c r="AB50" s="119">
        <v>4</v>
      </c>
      <c r="AC50" s="119">
        <v>5</v>
      </c>
      <c r="AD50" s="119">
        <v>6</v>
      </c>
      <c r="AE50" s="119">
        <v>7</v>
      </c>
      <c r="AF50" s="119">
        <v>8</v>
      </c>
      <c r="AG50" s="119">
        <v>9</v>
      </c>
      <c r="AH50" s="154">
        <v>10</v>
      </c>
      <c r="AI50" s="150"/>
      <c r="AJ50" s="9">
        <v>67</v>
      </c>
      <c r="AK50" s="19">
        <v>62</v>
      </c>
      <c r="AL50" s="85">
        <v>46104</v>
      </c>
      <c r="AM50" s="19">
        <v>22</v>
      </c>
      <c r="AN50" s="42"/>
      <c r="AO50" s="54">
        <v>29</v>
      </c>
      <c r="AP50" s="19">
        <v>59</v>
      </c>
      <c r="AQ50" s="85">
        <v>46116</v>
      </c>
      <c r="AR50" s="19">
        <v>17</v>
      </c>
      <c r="AS50" s="42"/>
      <c r="AT50" s="112">
        <v>19</v>
      </c>
      <c r="AU50" s="112">
        <v>54</v>
      </c>
      <c r="AV50" s="108">
        <v>7</v>
      </c>
      <c r="AW50" s="132">
        <v>46139</v>
      </c>
      <c r="AX50" s="111"/>
      <c r="AY50" s="112"/>
      <c r="AZ50" s="112"/>
      <c r="BA50" s="112"/>
      <c r="BB50" s="112"/>
      <c r="BC50" s="111"/>
      <c r="BD50" s="108"/>
      <c r="BE50" s="108"/>
      <c r="BF50" s="108"/>
      <c r="BG50" s="112"/>
      <c r="BH50" s="43"/>
      <c r="BI50" s="53">
        <v>46144</v>
      </c>
      <c r="BJ50" s="64">
        <v>37</v>
      </c>
      <c r="BK50" s="71">
        <v>37</v>
      </c>
      <c r="BL50" s="77">
        <v>5</v>
      </c>
      <c r="BM50" s="77">
        <v>60</v>
      </c>
      <c r="BN50" s="72">
        <v>8</v>
      </c>
      <c r="BO50" s="73">
        <v>3</v>
      </c>
      <c r="BP50" s="73">
        <v>1</v>
      </c>
      <c r="BQ50" s="73">
        <v>2</v>
      </c>
      <c r="BR50" s="73">
        <v>3</v>
      </c>
      <c r="BS50" s="73">
        <v>3</v>
      </c>
      <c r="BT50" s="73">
        <v>1</v>
      </c>
      <c r="BU50" s="73">
        <v>4</v>
      </c>
      <c r="BV50" s="73">
        <v>3</v>
      </c>
      <c r="BW50" s="73">
        <v>3</v>
      </c>
      <c r="BX50" s="73">
        <v>3</v>
      </c>
      <c r="BY50" s="73">
        <v>3</v>
      </c>
      <c r="BZ50" s="73">
        <v>2</v>
      </c>
      <c r="CA50" s="73">
        <v>2</v>
      </c>
      <c r="CB50" s="73">
        <v>1</v>
      </c>
      <c r="CC50" s="73">
        <v>1</v>
      </c>
      <c r="CD50" s="73"/>
      <c r="CE50" s="73">
        <v>2</v>
      </c>
      <c r="CF50" s="73">
        <v>1</v>
      </c>
      <c r="CG50" s="73"/>
      <c r="CH50" s="73">
        <v>2</v>
      </c>
      <c r="CI50" s="73"/>
      <c r="CJ50" s="73">
        <v>1</v>
      </c>
      <c r="CK50" s="73"/>
      <c r="CL50" s="73"/>
      <c r="CM50" s="73">
        <v>4</v>
      </c>
      <c r="CN50" s="73">
        <v>1</v>
      </c>
      <c r="CO50" s="73"/>
      <c r="CP50" s="73"/>
      <c r="CQ50" s="73"/>
      <c r="CR50" s="73"/>
      <c r="CS50" s="73"/>
      <c r="CT50" s="73"/>
      <c r="CU50" s="73"/>
      <c r="CV50" s="73">
        <v>1</v>
      </c>
      <c r="CW50" s="73">
        <v>1</v>
      </c>
      <c r="CX50" s="73"/>
      <c r="CY50" s="73"/>
      <c r="CZ50" s="73">
        <v>1</v>
      </c>
      <c r="DA50" s="73">
        <v>1</v>
      </c>
      <c r="DB50" s="73"/>
      <c r="DC50" s="73">
        <v>1</v>
      </c>
      <c r="DD50" s="73"/>
      <c r="DE50" s="73"/>
      <c r="DF50" s="73">
        <v>1</v>
      </c>
      <c r="DG50" s="73"/>
      <c r="DH50" s="73"/>
      <c r="DI50" s="73">
        <v>1</v>
      </c>
      <c r="DJ50" s="73"/>
      <c r="DK50" s="73"/>
      <c r="DL50" s="73"/>
      <c r="DM50" s="73"/>
      <c r="DN50" s="73"/>
      <c r="DO50" s="73"/>
      <c r="DP50" s="73"/>
      <c r="DQ50" s="73"/>
      <c r="DR50" s="73"/>
      <c r="DS50" s="73"/>
      <c r="DT50" s="73"/>
      <c r="DU50" s="73"/>
      <c r="DV50" s="73"/>
      <c r="DW50" s="73"/>
      <c r="DX50" s="73"/>
      <c r="DY50" s="43"/>
      <c r="EA50" s="29"/>
      <c r="EB50" s="12"/>
      <c r="EC50" s="12"/>
      <c r="FQ50" s="20"/>
      <c r="FR50" s="20"/>
      <c r="FS50" s="20"/>
      <c r="FT50" s="20"/>
      <c r="FU50" s="20"/>
    </row>
    <row r="51" spans="1:177" s="13" customFormat="1" ht="12.6" customHeight="1" x14ac:dyDescent="0.25">
      <c r="A51" s="178"/>
      <c r="B51" s="180"/>
      <c r="C51" s="114">
        <v>5</v>
      </c>
      <c r="D51" s="115">
        <v>13</v>
      </c>
      <c r="E51" s="115">
        <v>26</v>
      </c>
      <c r="F51" s="115">
        <v>42</v>
      </c>
      <c r="G51" s="115">
        <v>62</v>
      </c>
      <c r="H51" s="115">
        <v>80</v>
      </c>
      <c r="I51" s="44"/>
      <c r="J51" s="115">
        <v>87</v>
      </c>
      <c r="K51" s="44"/>
      <c r="L51" s="159">
        <v>46120</v>
      </c>
      <c r="M51" s="45"/>
      <c r="N51" s="119">
        <v>11</v>
      </c>
      <c r="O51" s="6">
        <v>12</v>
      </c>
      <c r="P51" s="119">
        <v>13</v>
      </c>
      <c r="Q51" s="119">
        <v>14</v>
      </c>
      <c r="R51" s="119">
        <v>15</v>
      </c>
      <c r="S51" s="119">
        <v>16</v>
      </c>
      <c r="T51" s="119">
        <v>17</v>
      </c>
      <c r="U51" s="119">
        <v>18</v>
      </c>
      <c r="V51" s="119">
        <v>19</v>
      </c>
      <c r="W51" s="119">
        <v>20</v>
      </c>
      <c r="X51" s="44"/>
      <c r="Y51" s="119">
        <v>11</v>
      </c>
      <c r="Z51" s="119">
        <v>12</v>
      </c>
      <c r="AA51" s="119">
        <v>13</v>
      </c>
      <c r="AB51" s="119">
        <v>14</v>
      </c>
      <c r="AC51" s="119">
        <v>15</v>
      </c>
      <c r="AD51" s="119">
        <v>16</v>
      </c>
      <c r="AE51" s="119">
        <v>17</v>
      </c>
      <c r="AF51" s="119">
        <v>18</v>
      </c>
      <c r="AG51" s="119">
        <v>19</v>
      </c>
      <c r="AH51" s="119">
        <v>20</v>
      </c>
      <c r="AI51" s="150"/>
      <c r="AJ51" s="56">
        <v>15</v>
      </c>
      <c r="AK51" s="54">
        <v>61</v>
      </c>
      <c r="AL51" s="97">
        <v>46067</v>
      </c>
      <c r="AM51" s="54">
        <v>38</v>
      </c>
      <c r="AN51" s="42"/>
      <c r="AO51" s="54">
        <v>53</v>
      </c>
      <c r="AP51" s="19">
        <v>59</v>
      </c>
      <c r="AQ51" s="97">
        <v>46153</v>
      </c>
      <c r="AR51" s="54">
        <v>1</v>
      </c>
      <c r="AS51" s="42"/>
      <c r="AT51" s="112">
        <v>27</v>
      </c>
      <c r="AU51" s="112">
        <v>61</v>
      </c>
      <c r="AV51" s="108">
        <v>7</v>
      </c>
      <c r="AW51" s="132">
        <v>46139</v>
      </c>
      <c r="AX51" s="111"/>
      <c r="AY51" s="112"/>
      <c r="AZ51" s="112"/>
      <c r="BA51" s="112"/>
      <c r="BB51" s="112"/>
      <c r="BC51" s="111"/>
      <c r="BD51" s="108"/>
      <c r="BE51" s="108"/>
      <c r="BF51" s="108"/>
      <c r="BG51" s="112"/>
      <c r="BH51" s="43"/>
      <c r="BI51" s="53">
        <v>46153</v>
      </c>
      <c r="BJ51" s="64">
        <v>38</v>
      </c>
      <c r="BK51" s="65">
        <v>38</v>
      </c>
      <c r="BL51" s="63">
        <v>1</v>
      </c>
      <c r="BM51" s="63">
        <v>71</v>
      </c>
      <c r="BN51" s="64">
        <v>11</v>
      </c>
      <c r="BO51" s="68">
        <v>4</v>
      </c>
      <c r="BP51" s="68">
        <v>5</v>
      </c>
      <c r="BQ51" s="68">
        <v>1</v>
      </c>
      <c r="BR51" s="68">
        <v>3</v>
      </c>
      <c r="BS51" s="68">
        <v>1</v>
      </c>
      <c r="BT51" s="68">
        <v>3</v>
      </c>
      <c r="BU51" s="68">
        <v>3</v>
      </c>
      <c r="BV51" s="68">
        <v>6</v>
      </c>
      <c r="BW51" s="68">
        <v>3</v>
      </c>
      <c r="BX51" s="68">
        <v>3</v>
      </c>
      <c r="BY51" s="68">
        <v>5</v>
      </c>
      <c r="BZ51" s="68">
        <v>1</v>
      </c>
      <c r="CA51" s="68">
        <v>2</v>
      </c>
      <c r="CB51" s="68">
        <v>2</v>
      </c>
      <c r="CC51" s="68">
        <v>3</v>
      </c>
      <c r="CD51" s="68">
        <v>1</v>
      </c>
      <c r="CE51" s="68">
        <v>2</v>
      </c>
      <c r="CF51" s="68">
        <v>2</v>
      </c>
      <c r="CG51" s="68"/>
      <c r="CH51" s="68">
        <v>2</v>
      </c>
      <c r="CI51" s="68">
        <v>1</v>
      </c>
      <c r="CJ51" s="68"/>
      <c r="CK51" s="68"/>
      <c r="CL51" s="68">
        <v>1</v>
      </c>
      <c r="CM51" s="68"/>
      <c r="CN51" s="68">
        <v>1</v>
      </c>
      <c r="CO51" s="68"/>
      <c r="CP51" s="68">
        <v>2</v>
      </c>
      <c r="CQ51" s="68"/>
      <c r="CR51" s="68"/>
      <c r="CS51" s="68"/>
      <c r="CT51" s="68"/>
      <c r="CU51" s="68"/>
      <c r="CV51" s="68">
        <v>1</v>
      </c>
      <c r="CW51" s="68">
        <v>1</v>
      </c>
      <c r="CX51" s="68"/>
      <c r="CY51" s="68"/>
      <c r="CZ51" s="68"/>
      <c r="DA51" s="68">
        <v>1</v>
      </c>
      <c r="DB51" s="68"/>
      <c r="DC51" s="68">
        <v>1</v>
      </c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>
        <v>1</v>
      </c>
      <c r="DY51" s="43"/>
      <c r="EA51" s="29"/>
      <c r="EB51" s="12"/>
      <c r="EC51" s="12"/>
      <c r="FQ51" s="20"/>
      <c r="FR51" s="20"/>
      <c r="FS51" s="20"/>
      <c r="FT51" s="20"/>
      <c r="FU51" s="20"/>
    </row>
    <row r="52" spans="1:177" s="13" customFormat="1" ht="13.2" customHeight="1" x14ac:dyDescent="0.25">
      <c r="A52" s="179"/>
      <c r="B52" s="180"/>
      <c r="C52" s="10">
        <f>D67+1</f>
        <v>10</v>
      </c>
      <c r="D52" s="10">
        <f>D76+1</f>
        <v>9</v>
      </c>
      <c r="E52" s="10">
        <f>E76+1</f>
        <v>8</v>
      </c>
      <c r="F52" s="10">
        <f>E58+1</f>
        <v>5</v>
      </c>
      <c r="G52" s="10">
        <f>J55+1</f>
        <v>12</v>
      </c>
      <c r="H52" s="10">
        <f>G94+1</f>
        <v>10</v>
      </c>
      <c r="I52" s="44"/>
      <c r="J52" s="156">
        <f>J91+2</f>
        <v>9</v>
      </c>
      <c r="K52" s="44"/>
      <c r="L52" s="159"/>
      <c r="M52" s="45"/>
      <c r="N52" s="119">
        <v>21</v>
      </c>
      <c r="O52" s="119">
        <v>22</v>
      </c>
      <c r="P52" s="119">
        <v>23</v>
      </c>
      <c r="Q52" s="119">
        <v>24</v>
      </c>
      <c r="R52" s="119">
        <v>25</v>
      </c>
      <c r="S52" s="119">
        <v>26</v>
      </c>
      <c r="T52" s="119">
        <v>27</v>
      </c>
      <c r="U52" s="119">
        <v>28</v>
      </c>
      <c r="V52" s="119">
        <v>29</v>
      </c>
      <c r="W52" s="154">
        <v>30</v>
      </c>
      <c r="X52" s="44"/>
      <c r="Y52" s="119">
        <v>21</v>
      </c>
      <c r="Z52" s="119">
        <v>22</v>
      </c>
      <c r="AA52" s="119">
        <v>23</v>
      </c>
      <c r="AB52" s="119">
        <v>24</v>
      </c>
      <c r="AC52" s="119">
        <v>25</v>
      </c>
      <c r="AD52" s="119">
        <v>26</v>
      </c>
      <c r="AE52" s="119">
        <v>27</v>
      </c>
      <c r="AF52" s="119">
        <v>28</v>
      </c>
      <c r="AG52" s="119">
        <v>29</v>
      </c>
      <c r="AH52" s="154">
        <v>30</v>
      </c>
      <c r="AI52" s="150"/>
      <c r="AJ52" s="56">
        <v>27</v>
      </c>
      <c r="AK52" s="54">
        <v>61</v>
      </c>
      <c r="AL52" s="97">
        <v>46139</v>
      </c>
      <c r="AM52" s="54">
        <v>7</v>
      </c>
      <c r="AN52" s="42"/>
      <c r="AO52" s="54">
        <v>78</v>
      </c>
      <c r="AP52" s="19">
        <v>59</v>
      </c>
      <c r="AQ52" s="97">
        <v>46141</v>
      </c>
      <c r="AR52" s="54">
        <v>6</v>
      </c>
      <c r="AS52" s="42"/>
      <c r="AT52" s="112">
        <v>34</v>
      </c>
      <c r="AU52" s="112">
        <v>55</v>
      </c>
      <c r="AV52" s="108">
        <v>7</v>
      </c>
      <c r="AW52" s="132">
        <v>46139</v>
      </c>
      <c r="AX52" s="111"/>
      <c r="AY52" s="112"/>
      <c r="AZ52" s="112"/>
      <c r="BA52" s="112"/>
      <c r="BB52" s="112"/>
      <c r="BC52" s="111"/>
      <c r="BD52" s="108"/>
      <c r="BE52" s="108"/>
      <c r="BF52" s="108"/>
      <c r="BG52" s="112"/>
      <c r="BH52" s="43"/>
      <c r="BI52" s="53">
        <v>46155</v>
      </c>
      <c r="BJ52" s="64">
        <v>39</v>
      </c>
      <c r="BK52" s="71">
        <v>39</v>
      </c>
      <c r="BL52" s="77" t="s">
        <v>0</v>
      </c>
      <c r="BM52" s="77">
        <v>51</v>
      </c>
      <c r="BN52" s="72">
        <v>11</v>
      </c>
      <c r="BO52" s="73">
        <v>3</v>
      </c>
      <c r="BP52" s="73">
        <v>4</v>
      </c>
      <c r="BQ52" s="73">
        <v>1</v>
      </c>
      <c r="BR52" s="73">
        <v>2</v>
      </c>
      <c r="BS52" s="73">
        <v>3</v>
      </c>
      <c r="BT52" s="73">
        <v>1</v>
      </c>
      <c r="BU52" s="73">
        <v>3</v>
      </c>
      <c r="BV52" s="73"/>
      <c r="BW52" s="73">
        <v>2</v>
      </c>
      <c r="BX52" s="73">
        <v>1</v>
      </c>
      <c r="BY52" s="73">
        <v>1</v>
      </c>
      <c r="BZ52" s="73"/>
      <c r="CA52" s="73">
        <v>1</v>
      </c>
      <c r="CB52" s="73">
        <v>1</v>
      </c>
      <c r="CC52" s="73">
        <v>1</v>
      </c>
      <c r="CD52" s="73">
        <v>2</v>
      </c>
      <c r="CE52" s="73">
        <v>2</v>
      </c>
      <c r="CF52" s="73">
        <v>1</v>
      </c>
      <c r="CG52" s="73">
        <v>1</v>
      </c>
      <c r="CH52" s="73"/>
      <c r="CI52" s="73">
        <v>1</v>
      </c>
      <c r="CJ52" s="73">
        <v>1</v>
      </c>
      <c r="CK52" s="73"/>
      <c r="CL52" s="73"/>
      <c r="CM52" s="73"/>
      <c r="CN52" s="73">
        <v>2</v>
      </c>
      <c r="CO52" s="73"/>
      <c r="CP52" s="73"/>
      <c r="CQ52" s="73"/>
      <c r="CR52" s="73">
        <v>1</v>
      </c>
      <c r="CS52" s="73"/>
      <c r="CT52" s="73">
        <v>1</v>
      </c>
      <c r="CU52" s="73">
        <v>1</v>
      </c>
      <c r="CV52" s="73"/>
      <c r="CW52" s="73"/>
      <c r="CX52" s="73"/>
      <c r="CY52" s="73">
        <v>1</v>
      </c>
      <c r="CZ52" s="73"/>
      <c r="DA52" s="73">
        <v>1</v>
      </c>
      <c r="DB52" s="73"/>
      <c r="DC52" s="73"/>
      <c r="DD52" s="73"/>
      <c r="DE52" s="73"/>
      <c r="DF52" s="73"/>
      <c r="DG52" s="73"/>
      <c r="DH52" s="73">
        <v>1</v>
      </c>
      <c r="DI52" s="73"/>
      <c r="DJ52" s="73"/>
      <c r="DK52" s="73"/>
      <c r="DL52" s="73"/>
      <c r="DM52" s="73"/>
      <c r="DN52" s="73"/>
      <c r="DO52" s="73">
        <v>1</v>
      </c>
      <c r="DP52" s="73"/>
      <c r="DQ52" s="73"/>
      <c r="DR52" s="73"/>
      <c r="DS52" s="73"/>
      <c r="DT52" s="73"/>
      <c r="DU52" s="73">
        <v>2</v>
      </c>
      <c r="DV52" s="73"/>
      <c r="DW52" s="73"/>
      <c r="DX52" s="73">
        <v>1</v>
      </c>
      <c r="DY52" s="43"/>
      <c r="EA52" s="29"/>
      <c r="EB52" s="12"/>
      <c r="EC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1"/>
      <c r="FQ52" s="20"/>
      <c r="FR52" s="20"/>
      <c r="FS52" s="20"/>
      <c r="FT52" s="20"/>
      <c r="FU52" s="20"/>
    </row>
    <row r="53" spans="1:177" s="13" customFormat="1" ht="12.6" customHeight="1" x14ac:dyDescent="0.25">
      <c r="A53" s="177">
        <v>99</v>
      </c>
      <c r="B53" s="180">
        <v>17</v>
      </c>
      <c r="C53" s="14">
        <f>A53-A68-1</f>
        <v>4</v>
      </c>
      <c r="D53" s="14">
        <f>A53-A68-1</f>
        <v>4</v>
      </c>
      <c r="E53" s="14">
        <f>A53-A113-1</f>
        <v>19</v>
      </c>
      <c r="F53" s="14">
        <f>A53-A77-1</f>
        <v>7</v>
      </c>
      <c r="G53" s="14">
        <f>A53-A131-1</f>
        <v>25</v>
      </c>
      <c r="H53" s="14">
        <f>A53-A185-1</f>
        <v>43</v>
      </c>
      <c r="I53" s="44"/>
      <c r="J53" s="156">
        <f>A53-A113-1</f>
        <v>19</v>
      </c>
      <c r="K53" s="44"/>
      <c r="M53" s="45"/>
      <c r="N53" s="119">
        <v>31</v>
      </c>
      <c r="O53" s="119">
        <v>32</v>
      </c>
      <c r="P53" s="119">
        <v>33</v>
      </c>
      <c r="Q53" s="119">
        <v>34</v>
      </c>
      <c r="R53" s="6">
        <v>35</v>
      </c>
      <c r="S53" s="119">
        <v>36</v>
      </c>
      <c r="T53" s="119">
        <v>37</v>
      </c>
      <c r="U53" s="119">
        <v>38</v>
      </c>
      <c r="V53" s="119">
        <v>39</v>
      </c>
      <c r="W53" s="154">
        <v>40</v>
      </c>
      <c r="X53" s="44"/>
      <c r="Y53" s="119">
        <v>31</v>
      </c>
      <c r="Z53" s="119">
        <v>32</v>
      </c>
      <c r="AA53" s="119">
        <v>33</v>
      </c>
      <c r="AB53" s="119">
        <v>34</v>
      </c>
      <c r="AC53" s="119">
        <v>35</v>
      </c>
      <c r="AD53" s="119">
        <v>36</v>
      </c>
      <c r="AE53" s="6">
        <v>37</v>
      </c>
      <c r="AF53" s="119">
        <v>38</v>
      </c>
      <c r="AG53" s="119">
        <v>39</v>
      </c>
      <c r="AH53" s="154">
        <v>40</v>
      </c>
      <c r="AI53" s="150"/>
      <c r="AJ53" s="54">
        <v>44</v>
      </c>
      <c r="AK53" s="54">
        <v>61</v>
      </c>
      <c r="AL53" s="97">
        <v>46085</v>
      </c>
      <c r="AM53" s="54">
        <v>30</v>
      </c>
      <c r="AN53" s="42"/>
      <c r="AO53" s="54">
        <v>84</v>
      </c>
      <c r="AP53" s="19">
        <v>59</v>
      </c>
      <c r="AQ53" s="97">
        <v>46141</v>
      </c>
      <c r="AR53" s="54">
        <v>6</v>
      </c>
      <c r="AS53" s="42"/>
      <c r="AT53" s="112">
        <v>10</v>
      </c>
      <c r="AU53" s="112">
        <v>48</v>
      </c>
      <c r="AV53" s="108">
        <v>8</v>
      </c>
      <c r="AW53" s="132">
        <v>46137</v>
      </c>
      <c r="AX53" s="111"/>
      <c r="AY53" s="112"/>
      <c r="AZ53" s="112"/>
      <c r="BA53" s="112"/>
      <c r="BB53" s="112"/>
      <c r="BC53" s="111"/>
      <c r="BD53" s="108"/>
      <c r="BE53" s="108"/>
      <c r="BF53" s="108"/>
      <c r="BG53" s="112"/>
      <c r="BH53" s="43"/>
      <c r="BI53" s="53">
        <v>46118</v>
      </c>
      <c r="BJ53" s="64">
        <v>40</v>
      </c>
      <c r="BK53" s="66">
        <v>40</v>
      </c>
      <c r="BL53" s="64">
        <v>16</v>
      </c>
      <c r="BM53" s="64">
        <v>63</v>
      </c>
      <c r="BN53" s="64">
        <v>11</v>
      </c>
      <c r="BO53" s="68">
        <v>8</v>
      </c>
      <c r="BP53" s="68">
        <v>4</v>
      </c>
      <c r="BQ53" s="68">
        <v>4</v>
      </c>
      <c r="BR53" s="68">
        <v>2</v>
      </c>
      <c r="BS53" s="68">
        <v>3</v>
      </c>
      <c r="BT53" s="68">
        <v>4</v>
      </c>
      <c r="BU53" s="68">
        <v>1</v>
      </c>
      <c r="BV53" s="68">
        <v>4</v>
      </c>
      <c r="BW53" s="68">
        <v>2</v>
      </c>
      <c r="BX53" s="68">
        <v>2</v>
      </c>
      <c r="BY53" s="68">
        <v>1</v>
      </c>
      <c r="BZ53" s="68">
        <v>4</v>
      </c>
      <c r="CA53" s="68">
        <v>2</v>
      </c>
      <c r="CB53" s="68"/>
      <c r="CC53" s="68">
        <v>1</v>
      </c>
      <c r="CD53" s="68"/>
      <c r="CE53" s="68">
        <v>2</v>
      </c>
      <c r="CF53" s="68"/>
      <c r="CG53" s="68">
        <v>1</v>
      </c>
      <c r="CH53" s="68">
        <v>2</v>
      </c>
      <c r="CI53" s="68">
        <v>3</v>
      </c>
      <c r="CJ53" s="68"/>
      <c r="CK53" s="68">
        <v>1</v>
      </c>
      <c r="CL53" s="68"/>
      <c r="CM53" s="68"/>
      <c r="CN53" s="68">
        <v>1</v>
      </c>
      <c r="CO53" s="68">
        <v>1</v>
      </c>
      <c r="CP53" s="68">
        <v>1</v>
      </c>
      <c r="CQ53" s="68"/>
      <c r="CR53" s="68"/>
      <c r="CS53" s="68"/>
      <c r="CT53" s="68">
        <v>1</v>
      </c>
      <c r="CU53" s="68"/>
      <c r="CV53" s="68">
        <v>1</v>
      </c>
      <c r="CW53" s="68">
        <v>1</v>
      </c>
      <c r="CX53" s="68">
        <v>3</v>
      </c>
      <c r="CY53" s="68"/>
      <c r="CZ53" s="68"/>
      <c r="DA53" s="68"/>
      <c r="DB53" s="68"/>
      <c r="DC53" s="68">
        <v>1</v>
      </c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>
        <v>1</v>
      </c>
      <c r="DQ53" s="68"/>
      <c r="DR53" s="68"/>
      <c r="DS53" s="68"/>
      <c r="DT53" s="68"/>
      <c r="DU53" s="68"/>
      <c r="DV53" s="68"/>
      <c r="DW53" s="68"/>
      <c r="DX53" s="68"/>
      <c r="DY53" s="43"/>
      <c r="EA53" s="29"/>
      <c r="EB53" s="12"/>
      <c r="EC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20"/>
      <c r="FN53" s="20"/>
      <c r="FO53" s="20"/>
      <c r="FP53" s="20"/>
      <c r="FQ53" s="20"/>
      <c r="FR53" s="20"/>
      <c r="FS53" s="20"/>
      <c r="FT53" s="20"/>
      <c r="FU53" s="20"/>
    </row>
    <row r="54" spans="1:177" s="13" customFormat="1" ht="12.6" customHeight="1" x14ac:dyDescent="0.25">
      <c r="A54" s="178"/>
      <c r="B54" s="180"/>
      <c r="C54" s="114">
        <v>40</v>
      </c>
      <c r="D54" s="115">
        <v>43</v>
      </c>
      <c r="E54" s="115">
        <v>50</v>
      </c>
      <c r="F54" s="115">
        <v>55</v>
      </c>
      <c r="G54" s="115">
        <v>69</v>
      </c>
      <c r="H54" s="115">
        <v>75</v>
      </c>
      <c r="I54" s="44"/>
      <c r="J54" s="115">
        <v>62</v>
      </c>
      <c r="K54" s="44"/>
      <c r="L54" s="159">
        <v>46118</v>
      </c>
      <c r="M54" s="45"/>
      <c r="N54" s="119">
        <v>41</v>
      </c>
      <c r="O54" s="119">
        <v>42</v>
      </c>
      <c r="P54" s="119">
        <v>43</v>
      </c>
      <c r="Q54" s="119">
        <v>44</v>
      </c>
      <c r="R54" s="119">
        <v>45</v>
      </c>
      <c r="S54" s="83">
        <v>46</v>
      </c>
      <c r="T54" s="6">
        <v>47</v>
      </c>
      <c r="U54" s="83">
        <v>48</v>
      </c>
      <c r="V54" s="83">
        <v>49</v>
      </c>
      <c r="W54" s="84">
        <v>50</v>
      </c>
      <c r="X54" s="44"/>
      <c r="Y54" s="119">
        <v>41</v>
      </c>
      <c r="Z54" s="119">
        <v>42</v>
      </c>
      <c r="AA54" s="119">
        <v>43</v>
      </c>
      <c r="AB54" s="119">
        <v>44</v>
      </c>
      <c r="AC54" s="119">
        <v>45</v>
      </c>
      <c r="AD54" s="83">
        <v>46</v>
      </c>
      <c r="AE54" s="83">
        <v>47</v>
      </c>
      <c r="AF54" s="83">
        <v>48</v>
      </c>
      <c r="AG54" s="83">
        <v>49</v>
      </c>
      <c r="AH54" s="84">
        <v>50</v>
      </c>
      <c r="AI54" s="150"/>
      <c r="AJ54" s="54">
        <v>82</v>
      </c>
      <c r="AK54" s="54">
        <v>61</v>
      </c>
      <c r="AL54" s="97">
        <v>46148</v>
      </c>
      <c r="AM54" s="54">
        <v>3</v>
      </c>
      <c r="AN54" s="42"/>
      <c r="AO54" s="54">
        <v>86</v>
      </c>
      <c r="AP54" s="19">
        <v>59</v>
      </c>
      <c r="AQ54" s="97">
        <v>46099</v>
      </c>
      <c r="AR54" s="54">
        <v>24</v>
      </c>
      <c r="AS54" s="42"/>
      <c r="AT54" s="112">
        <v>63</v>
      </c>
      <c r="AU54" s="112">
        <v>67</v>
      </c>
      <c r="AV54" s="108">
        <v>8</v>
      </c>
      <c r="AW54" s="132">
        <v>46137</v>
      </c>
      <c r="AX54" s="111"/>
      <c r="AY54" s="112"/>
      <c r="AZ54" s="112"/>
      <c r="BA54" s="112"/>
      <c r="BB54" s="112"/>
      <c r="BC54" s="111"/>
      <c r="BD54" s="108"/>
      <c r="BE54" s="108"/>
      <c r="BF54" s="108"/>
      <c r="BG54" s="112"/>
      <c r="BH54" s="43"/>
      <c r="BI54" s="53">
        <v>46155</v>
      </c>
      <c r="BJ54" s="64">
        <v>41</v>
      </c>
      <c r="BK54" s="71">
        <v>41</v>
      </c>
      <c r="BL54" s="77" t="s">
        <v>0</v>
      </c>
      <c r="BM54" s="77">
        <v>66</v>
      </c>
      <c r="BN54" s="72">
        <v>13</v>
      </c>
      <c r="BO54" s="73">
        <v>4</v>
      </c>
      <c r="BP54" s="73">
        <v>3</v>
      </c>
      <c r="BQ54" s="73">
        <v>2</v>
      </c>
      <c r="BR54" s="73">
        <v>5</v>
      </c>
      <c r="BS54" s="73">
        <v>2</v>
      </c>
      <c r="BT54" s="73">
        <v>5</v>
      </c>
      <c r="BU54" s="73">
        <v>1</v>
      </c>
      <c r="BV54" s="73">
        <v>3</v>
      </c>
      <c r="BW54" s="73">
        <v>5</v>
      </c>
      <c r="BX54" s="73">
        <v>4</v>
      </c>
      <c r="BY54" s="73">
        <v>3</v>
      </c>
      <c r="BZ54" s="73">
        <v>2</v>
      </c>
      <c r="CA54" s="73">
        <v>1</v>
      </c>
      <c r="CB54" s="73"/>
      <c r="CC54" s="73">
        <v>2</v>
      </c>
      <c r="CD54" s="73">
        <v>1</v>
      </c>
      <c r="CE54" s="73">
        <v>2</v>
      </c>
      <c r="CF54" s="73">
        <v>2</v>
      </c>
      <c r="CG54" s="73">
        <v>2</v>
      </c>
      <c r="CH54" s="73">
        <v>1</v>
      </c>
      <c r="CI54" s="73"/>
      <c r="CJ54" s="73">
        <v>1</v>
      </c>
      <c r="CK54" s="73">
        <v>1</v>
      </c>
      <c r="CL54" s="73"/>
      <c r="CM54" s="73"/>
      <c r="CN54" s="73"/>
      <c r="CO54" s="73"/>
      <c r="CP54" s="73">
        <v>1</v>
      </c>
      <c r="CQ54" s="73"/>
      <c r="CR54" s="73">
        <v>1</v>
      </c>
      <c r="CS54" s="73"/>
      <c r="CT54" s="73"/>
      <c r="CU54" s="73">
        <v>2</v>
      </c>
      <c r="CV54" s="73">
        <v>1</v>
      </c>
      <c r="CW54" s="73"/>
      <c r="CX54" s="73"/>
      <c r="CY54" s="73"/>
      <c r="CZ54" s="73"/>
      <c r="DA54" s="73"/>
      <c r="DB54" s="73">
        <v>1</v>
      </c>
      <c r="DC54" s="73"/>
      <c r="DD54" s="73"/>
      <c r="DE54" s="73"/>
      <c r="DF54" s="73">
        <v>1</v>
      </c>
      <c r="DG54" s="73">
        <v>1</v>
      </c>
      <c r="DH54" s="73"/>
      <c r="DI54" s="73"/>
      <c r="DJ54" s="73"/>
      <c r="DK54" s="73">
        <v>1</v>
      </c>
      <c r="DL54" s="73"/>
      <c r="DM54" s="73"/>
      <c r="DN54" s="73"/>
      <c r="DO54" s="73"/>
      <c r="DP54" s="73"/>
      <c r="DQ54" s="73"/>
      <c r="DR54" s="73"/>
      <c r="DS54" s="73"/>
      <c r="DT54" s="73"/>
      <c r="DU54" s="73"/>
      <c r="DV54" s="73"/>
      <c r="DW54" s="73"/>
      <c r="DX54" s="73"/>
      <c r="DY54" s="43"/>
      <c r="EA54" s="29"/>
      <c r="EB54" s="12"/>
      <c r="EC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1"/>
      <c r="FQ54" s="20"/>
      <c r="FR54" s="20"/>
      <c r="FS54" s="20"/>
      <c r="FT54" s="20"/>
      <c r="FU54" s="20"/>
    </row>
    <row r="55" spans="1:177" s="13" customFormat="1" ht="13.2" customHeight="1" x14ac:dyDescent="0.25">
      <c r="A55" s="179"/>
      <c r="B55" s="180"/>
      <c r="C55" s="10">
        <f>E70+1</f>
        <v>11</v>
      </c>
      <c r="D55" s="10">
        <f>G70+1</f>
        <v>9</v>
      </c>
      <c r="E55" s="10">
        <f>E115+1</f>
        <v>9</v>
      </c>
      <c r="F55" s="10">
        <f>G79+1</f>
        <v>8</v>
      </c>
      <c r="G55" s="10">
        <f>H133+2</f>
        <v>5</v>
      </c>
      <c r="H55" s="10">
        <v>6</v>
      </c>
      <c r="I55" s="44"/>
      <c r="J55" s="157">
        <f>G115+1</f>
        <v>11</v>
      </c>
      <c r="K55" s="44"/>
      <c r="L55" s="159"/>
      <c r="M55" s="45"/>
      <c r="N55" s="83">
        <v>51</v>
      </c>
      <c r="O55" s="83">
        <v>52</v>
      </c>
      <c r="P55" s="83">
        <v>53</v>
      </c>
      <c r="Q55" s="83">
        <v>54</v>
      </c>
      <c r="R55" s="83">
        <v>55</v>
      </c>
      <c r="S55" s="83">
        <v>56</v>
      </c>
      <c r="T55" s="83">
        <v>57</v>
      </c>
      <c r="U55" s="83">
        <v>58</v>
      </c>
      <c r="V55" s="83">
        <v>59</v>
      </c>
      <c r="W55" s="70">
        <v>60</v>
      </c>
      <c r="X55" s="44"/>
      <c r="Y55" s="83">
        <v>51</v>
      </c>
      <c r="Z55" s="83">
        <v>52</v>
      </c>
      <c r="AA55" s="83">
        <v>53</v>
      </c>
      <c r="AB55" s="83">
        <v>54</v>
      </c>
      <c r="AC55" s="83">
        <v>55</v>
      </c>
      <c r="AD55" s="83">
        <v>56</v>
      </c>
      <c r="AE55" s="83">
        <v>57</v>
      </c>
      <c r="AF55" s="83">
        <v>58</v>
      </c>
      <c r="AG55" s="83">
        <v>59</v>
      </c>
      <c r="AH55" s="84">
        <v>60</v>
      </c>
      <c r="AI55" s="150"/>
      <c r="AJ55" s="54"/>
      <c r="AK55" s="54"/>
      <c r="AL55" s="97"/>
      <c r="AM55" s="54"/>
      <c r="AN55" s="42"/>
      <c r="AO55" s="54">
        <v>14</v>
      </c>
      <c r="AP55" s="19">
        <v>60</v>
      </c>
      <c r="AQ55" s="97">
        <v>46106</v>
      </c>
      <c r="AR55" s="54">
        <v>21</v>
      </c>
      <c r="AS55" s="42"/>
      <c r="AT55" s="112">
        <v>90</v>
      </c>
      <c r="AU55" s="112">
        <v>60</v>
      </c>
      <c r="AV55" s="108">
        <v>8</v>
      </c>
      <c r="AW55" s="132">
        <v>46137</v>
      </c>
      <c r="AX55" s="111"/>
      <c r="AY55" s="112"/>
      <c r="AZ55" s="112"/>
      <c r="BA55" s="112"/>
      <c r="BB55" s="112"/>
      <c r="BC55" s="111"/>
      <c r="BD55" s="108"/>
      <c r="BE55" s="108"/>
      <c r="BF55" s="108"/>
      <c r="BG55" s="112"/>
      <c r="BH55" s="43"/>
      <c r="BI55" s="53">
        <v>46120</v>
      </c>
      <c r="BJ55" s="64">
        <v>42</v>
      </c>
      <c r="BK55" s="66">
        <v>42</v>
      </c>
      <c r="BL55" s="64">
        <v>15</v>
      </c>
      <c r="BM55" s="64">
        <v>57</v>
      </c>
      <c r="BN55" s="64">
        <v>5</v>
      </c>
      <c r="BO55" s="68">
        <v>3</v>
      </c>
      <c r="BP55" s="68">
        <v>3</v>
      </c>
      <c r="BQ55" s="68">
        <v>5</v>
      </c>
      <c r="BR55" s="68">
        <v>3</v>
      </c>
      <c r="BS55" s="68">
        <v>2</v>
      </c>
      <c r="BT55" s="68"/>
      <c r="BU55" s="68">
        <v>1</v>
      </c>
      <c r="BV55" s="68">
        <v>1</v>
      </c>
      <c r="BW55" s="68"/>
      <c r="BX55" s="68">
        <v>2</v>
      </c>
      <c r="BY55" s="68">
        <v>2</v>
      </c>
      <c r="BZ55" s="68">
        <v>3</v>
      </c>
      <c r="CA55" s="68">
        <v>2</v>
      </c>
      <c r="CB55" s="68">
        <v>1</v>
      </c>
      <c r="CC55" s="68">
        <v>1</v>
      </c>
      <c r="CD55" s="68">
        <v>3</v>
      </c>
      <c r="CE55" s="68">
        <v>1</v>
      </c>
      <c r="CF55" s="68"/>
      <c r="CG55" s="68">
        <v>2</v>
      </c>
      <c r="CH55" s="68"/>
      <c r="CI55" s="68">
        <v>2</v>
      </c>
      <c r="CJ55" s="68">
        <v>4</v>
      </c>
      <c r="CK55" s="68"/>
      <c r="CL55" s="68"/>
      <c r="CM55" s="68"/>
      <c r="CN55" s="68">
        <v>1</v>
      </c>
      <c r="CO55" s="68"/>
      <c r="CP55" s="68"/>
      <c r="CQ55" s="68"/>
      <c r="CR55" s="68">
        <v>1</v>
      </c>
      <c r="CS55" s="68">
        <v>1</v>
      </c>
      <c r="CT55" s="68"/>
      <c r="CU55" s="68"/>
      <c r="CV55" s="68">
        <v>1</v>
      </c>
      <c r="CW55" s="68"/>
      <c r="CX55" s="68"/>
      <c r="CY55" s="68">
        <v>1</v>
      </c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>
        <v>1</v>
      </c>
      <c r="DM55" s="68"/>
      <c r="DN55" s="68"/>
      <c r="DO55" s="68"/>
      <c r="DP55" s="68"/>
      <c r="DQ55" s="68">
        <v>1</v>
      </c>
      <c r="DR55" s="68"/>
      <c r="DS55" s="68"/>
      <c r="DT55" s="68"/>
      <c r="DU55" s="68"/>
      <c r="DV55" s="68"/>
      <c r="DW55" s="68"/>
      <c r="DX55" s="68">
        <v>1</v>
      </c>
      <c r="DY55" s="43"/>
      <c r="EA55" s="29"/>
      <c r="EB55" s="12"/>
      <c r="EC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1"/>
      <c r="FQ55" s="20"/>
      <c r="FR55" s="20"/>
      <c r="FS55" s="20"/>
      <c r="FT55" s="20"/>
      <c r="FU55" s="20"/>
    </row>
    <row r="56" spans="1:177" s="13" customFormat="1" ht="12.6" customHeight="1" x14ac:dyDescent="0.25">
      <c r="A56" s="177">
        <v>98</v>
      </c>
      <c r="B56" s="180">
        <v>18</v>
      </c>
      <c r="C56" s="14">
        <f>A56-A68-1</f>
        <v>3</v>
      </c>
      <c r="D56" s="14">
        <f>A56-A59-1</f>
        <v>0</v>
      </c>
      <c r="E56" s="14">
        <f>A56-A101-1</f>
        <v>14</v>
      </c>
      <c r="F56" s="14">
        <f>A56-A137-1</f>
        <v>26</v>
      </c>
      <c r="G56" s="14">
        <f>A56-A65-1</f>
        <v>2</v>
      </c>
      <c r="H56" s="14">
        <f>A56-A92-1</f>
        <v>11</v>
      </c>
      <c r="I56" s="44"/>
      <c r="J56" s="156">
        <f>A56-A104-1</f>
        <v>15</v>
      </c>
      <c r="K56" s="44"/>
      <c r="M56" s="45"/>
      <c r="N56" s="83">
        <v>61</v>
      </c>
      <c r="O56" s="83">
        <v>62</v>
      </c>
      <c r="P56" s="83">
        <v>63</v>
      </c>
      <c r="Q56" s="83">
        <v>64</v>
      </c>
      <c r="R56" s="83">
        <v>65</v>
      </c>
      <c r="S56" s="83">
        <v>66</v>
      </c>
      <c r="T56" s="83">
        <v>67</v>
      </c>
      <c r="U56" s="83">
        <v>68</v>
      </c>
      <c r="V56" s="83">
        <v>69</v>
      </c>
      <c r="W56" s="84">
        <v>70</v>
      </c>
      <c r="X56" s="44"/>
      <c r="Y56" s="83">
        <v>61</v>
      </c>
      <c r="Z56" s="6">
        <v>62</v>
      </c>
      <c r="AA56" s="83">
        <v>63</v>
      </c>
      <c r="AB56" s="6">
        <v>64</v>
      </c>
      <c r="AC56" s="83">
        <v>65</v>
      </c>
      <c r="AD56" s="83">
        <v>66</v>
      </c>
      <c r="AE56" s="83">
        <v>67</v>
      </c>
      <c r="AF56" s="83">
        <v>68</v>
      </c>
      <c r="AG56" s="83">
        <v>69</v>
      </c>
      <c r="AH56" s="70">
        <v>70</v>
      </c>
      <c r="AI56" s="150"/>
      <c r="AJ56" s="54"/>
      <c r="AK56" s="54"/>
      <c r="AL56" s="97"/>
      <c r="AM56" s="54"/>
      <c r="AN56" s="42"/>
      <c r="AO56" s="54">
        <v>30</v>
      </c>
      <c r="AP56" s="19">
        <v>60</v>
      </c>
      <c r="AQ56" s="97">
        <v>46148</v>
      </c>
      <c r="AR56" s="54">
        <v>3</v>
      </c>
      <c r="AS56" s="42"/>
      <c r="AT56" s="112">
        <v>33</v>
      </c>
      <c r="AU56" s="112">
        <v>64</v>
      </c>
      <c r="AV56" s="108">
        <v>10</v>
      </c>
      <c r="AW56" s="132">
        <v>46132</v>
      </c>
      <c r="AX56" s="111"/>
      <c r="AY56" s="112"/>
      <c r="AZ56" s="112"/>
      <c r="BA56" s="112"/>
      <c r="BB56" s="112"/>
      <c r="BC56" s="111"/>
      <c r="BD56" s="108"/>
      <c r="BE56" s="108"/>
      <c r="BF56" s="108"/>
      <c r="BG56" s="112"/>
      <c r="BH56" s="43"/>
      <c r="BI56" s="53">
        <v>46118</v>
      </c>
      <c r="BJ56" s="64">
        <v>43</v>
      </c>
      <c r="BK56" s="71">
        <v>43</v>
      </c>
      <c r="BL56" s="77">
        <v>16</v>
      </c>
      <c r="BM56" s="77">
        <v>60</v>
      </c>
      <c r="BN56" s="72">
        <v>9</v>
      </c>
      <c r="BO56" s="73">
        <v>5</v>
      </c>
      <c r="BP56" s="73">
        <v>4</v>
      </c>
      <c r="BQ56" s="73">
        <v>1</v>
      </c>
      <c r="BR56" s="73">
        <v>2</v>
      </c>
      <c r="BS56" s="73">
        <v>3</v>
      </c>
      <c r="BT56" s="73">
        <v>3</v>
      </c>
      <c r="BU56" s="73">
        <v>2</v>
      </c>
      <c r="BV56" s="73">
        <v>3</v>
      </c>
      <c r="BW56" s="73">
        <v>4</v>
      </c>
      <c r="BX56" s="73">
        <v>4</v>
      </c>
      <c r="BY56" s="73"/>
      <c r="BZ56" s="73">
        <v>2</v>
      </c>
      <c r="CA56" s="73"/>
      <c r="CB56" s="73">
        <v>3</v>
      </c>
      <c r="CC56" s="73">
        <v>1</v>
      </c>
      <c r="CD56" s="73">
        <v>1</v>
      </c>
      <c r="CE56" s="73">
        <v>1</v>
      </c>
      <c r="CF56" s="73"/>
      <c r="CG56" s="73">
        <v>3</v>
      </c>
      <c r="CH56" s="73">
        <v>1</v>
      </c>
      <c r="CI56" s="73">
        <v>1</v>
      </c>
      <c r="CJ56" s="73">
        <v>1</v>
      </c>
      <c r="CK56" s="73"/>
      <c r="CL56" s="73">
        <v>2</v>
      </c>
      <c r="CM56" s="73"/>
      <c r="CN56" s="73"/>
      <c r="CO56" s="73">
        <v>1</v>
      </c>
      <c r="CP56" s="73"/>
      <c r="CQ56" s="73"/>
      <c r="CR56" s="73"/>
      <c r="CS56" s="73">
        <v>1</v>
      </c>
      <c r="CT56" s="73"/>
      <c r="CU56" s="73">
        <v>1</v>
      </c>
      <c r="CV56" s="73"/>
      <c r="CW56" s="73"/>
      <c r="CX56" s="73"/>
      <c r="CY56" s="73"/>
      <c r="CZ56" s="73"/>
      <c r="DA56" s="73"/>
      <c r="DB56" s="73">
        <v>1</v>
      </c>
      <c r="DC56" s="73"/>
      <c r="DD56" s="73"/>
      <c r="DE56" s="73"/>
      <c r="DF56" s="73">
        <v>1</v>
      </c>
      <c r="DG56" s="73"/>
      <c r="DH56" s="73">
        <v>1</v>
      </c>
      <c r="DI56" s="73"/>
      <c r="DJ56" s="73"/>
      <c r="DK56" s="73"/>
      <c r="DL56" s="73"/>
      <c r="DM56" s="73"/>
      <c r="DN56" s="73"/>
      <c r="DO56" s="73"/>
      <c r="DP56" s="73"/>
      <c r="DQ56" s="73"/>
      <c r="DR56" s="73"/>
      <c r="DS56" s="73"/>
      <c r="DT56" s="73"/>
      <c r="DU56" s="73"/>
      <c r="DV56" s="73"/>
      <c r="DW56" s="73">
        <v>1</v>
      </c>
      <c r="DX56" s="73">
        <v>1</v>
      </c>
      <c r="DY56" s="43"/>
      <c r="EA56" s="29"/>
      <c r="EB56" s="12"/>
      <c r="EC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Q56" s="20"/>
      <c r="FR56" s="20"/>
      <c r="FS56" s="20"/>
      <c r="FT56" s="20"/>
      <c r="FU56" s="20"/>
    </row>
    <row r="57" spans="1:177" s="13" customFormat="1" ht="12.6" customHeight="1" x14ac:dyDescent="0.25">
      <c r="A57" s="178"/>
      <c r="B57" s="180"/>
      <c r="C57" s="114">
        <v>19</v>
      </c>
      <c r="D57" s="115">
        <v>29</v>
      </c>
      <c r="E57" s="115">
        <v>42</v>
      </c>
      <c r="F57" s="115">
        <v>59</v>
      </c>
      <c r="G57" s="115">
        <v>72</v>
      </c>
      <c r="H57" s="115">
        <v>82</v>
      </c>
      <c r="I57" s="44"/>
      <c r="J57" s="115">
        <v>27</v>
      </c>
      <c r="K57" s="44"/>
      <c r="L57" s="159">
        <v>46116</v>
      </c>
      <c r="M57" s="45"/>
      <c r="N57" s="83">
        <v>71</v>
      </c>
      <c r="O57" s="83">
        <v>72</v>
      </c>
      <c r="P57" s="83">
        <v>73</v>
      </c>
      <c r="Q57" s="83">
        <v>74</v>
      </c>
      <c r="R57" s="83">
        <v>75</v>
      </c>
      <c r="S57" s="83">
        <v>76</v>
      </c>
      <c r="T57" s="83">
        <v>77</v>
      </c>
      <c r="U57" s="83">
        <v>78</v>
      </c>
      <c r="V57" s="83">
        <v>79</v>
      </c>
      <c r="W57" s="84">
        <v>80</v>
      </c>
      <c r="X57" s="44"/>
      <c r="Y57" s="83">
        <v>71</v>
      </c>
      <c r="Z57" s="83">
        <v>72</v>
      </c>
      <c r="AA57" s="83">
        <v>73</v>
      </c>
      <c r="AB57" s="83">
        <v>74</v>
      </c>
      <c r="AC57" s="83">
        <v>75</v>
      </c>
      <c r="AD57" s="83">
        <v>76</v>
      </c>
      <c r="AE57" s="83">
        <v>77</v>
      </c>
      <c r="AF57" s="83">
        <v>78</v>
      </c>
      <c r="AG57" s="83">
        <v>79</v>
      </c>
      <c r="AH57" s="84">
        <v>80</v>
      </c>
      <c r="AI57" s="150"/>
      <c r="AJ57" s="54"/>
      <c r="AK57" s="54"/>
      <c r="AL57" s="97"/>
      <c r="AM57" s="54"/>
      <c r="AN57" s="42"/>
      <c r="AO57" s="54">
        <v>37</v>
      </c>
      <c r="AP57" s="19">
        <v>60</v>
      </c>
      <c r="AQ57" s="97">
        <v>46144</v>
      </c>
      <c r="AR57" s="54">
        <v>5</v>
      </c>
      <c r="AS57" s="42"/>
      <c r="AT57" s="112">
        <v>83</v>
      </c>
      <c r="AU57" s="112">
        <v>55</v>
      </c>
      <c r="AV57" s="108">
        <v>10</v>
      </c>
      <c r="AW57" s="132">
        <v>46132</v>
      </c>
      <c r="AX57" s="111"/>
      <c r="AY57" s="112"/>
      <c r="AZ57" s="112"/>
      <c r="BA57" s="112"/>
      <c r="BB57" s="112"/>
      <c r="BC57" s="111"/>
      <c r="BD57" s="108"/>
      <c r="BE57" s="108"/>
      <c r="BF57" s="108"/>
      <c r="BG57" s="112"/>
      <c r="BH57" s="43"/>
      <c r="BI57" s="53">
        <v>46085</v>
      </c>
      <c r="BJ57" s="64">
        <v>44</v>
      </c>
      <c r="BK57" s="66">
        <v>44</v>
      </c>
      <c r="BL57" s="64">
        <v>30</v>
      </c>
      <c r="BM57" s="64">
        <v>61</v>
      </c>
      <c r="BN57" s="64">
        <v>8</v>
      </c>
      <c r="BO57" s="68">
        <v>3</v>
      </c>
      <c r="BP57" s="68">
        <v>4</v>
      </c>
      <c r="BQ57" s="68">
        <v>4</v>
      </c>
      <c r="BR57" s="68">
        <v>2</v>
      </c>
      <c r="BS57" s="68">
        <v>2</v>
      </c>
      <c r="BT57" s="68">
        <v>4</v>
      </c>
      <c r="BU57" s="68">
        <v>3</v>
      </c>
      <c r="BV57" s="68">
        <v>1</v>
      </c>
      <c r="BW57" s="68">
        <v>2</v>
      </c>
      <c r="BX57" s="68"/>
      <c r="BY57" s="68">
        <v>2</v>
      </c>
      <c r="BZ57" s="68"/>
      <c r="CA57" s="68">
        <v>2</v>
      </c>
      <c r="CB57" s="68"/>
      <c r="CC57" s="68">
        <v>2</v>
      </c>
      <c r="CD57" s="68">
        <v>2</v>
      </c>
      <c r="CE57" s="68">
        <v>1</v>
      </c>
      <c r="CF57" s="68">
        <v>1</v>
      </c>
      <c r="CG57" s="68">
        <v>1</v>
      </c>
      <c r="CH57" s="68">
        <v>1</v>
      </c>
      <c r="CI57" s="68">
        <v>1</v>
      </c>
      <c r="CJ57" s="68">
        <v>2</v>
      </c>
      <c r="CK57" s="68"/>
      <c r="CL57" s="68"/>
      <c r="CM57" s="68"/>
      <c r="CN57" s="68"/>
      <c r="CO57" s="68"/>
      <c r="CP57" s="68">
        <v>1</v>
      </c>
      <c r="CQ57" s="68"/>
      <c r="CR57" s="68">
        <v>1</v>
      </c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>
        <v>1</v>
      </c>
      <c r="DK57" s="68"/>
      <c r="DL57" s="68">
        <v>1</v>
      </c>
      <c r="DM57" s="68"/>
      <c r="DN57" s="68"/>
      <c r="DO57" s="68"/>
      <c r="DP57" s="68"/>
      <c r="DQ57" s="68"/>
      <c r="DR57" s="68"/>
      <c r="DS57" s="68"/>
      <c r="DT57" s="68">
        <v>1</v>
      </c>
      <c r="DU57" s="68"/>
      <c r="DV57" s="68"/>
      <c r="DW57" s="68"/>
      <c r="DX57" s="68">
        <v>3</v>
      </c>
      <c r="DY57" s="43"/>
      <c r="EA57" s="29"/>
      <c r="EB57" s="12"/>
      <c r="EC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Q57" s="20"/>
      <c r="FR57" s="20"/>
      <c r="FS57" s="20"/>
      <c r="FT57" s="20"/>
      <c r="FU57" s="20"/>
    </row>
    <row r="58" spans="1:177" s="13" customFormat="1" ht="13.2" customHeight="1" x14ac:dyDescent="0.25">
      <c r="A58" s="179"/>
      <c r="B58" s="180"/>
      <c r="C58" s="10">
        <f>D70+1</f>
        <v>8</v>
      </c>
      <c r="D58" s="10">
        <f>D61+1</f>
        <v>14</v>
      </c>
      <c r="E58" s="10">
        <f>J103+1</f>
        <v>4</v>
      </c>
      <c r="F58" s="10">
        <f>G139+1</f>
        <v>7</v>
      </c>
      <c r="G58" s="10">
        <f>H67+1</f>
        <v>9</v>
      </c>
      <c r="H58" s="10">
        <f>H94+1</f>
        <v>12</v>
      </c>
      <c r="I58" s="44"/>
      <c r="J58" s="156">
        <f>E106+1</f>
        <v>11</v>
      </c>
      <c r="K58" s="44"/>
      <c r="L58" s="159"/>
      <c r="M58" s="45"/>
      <c r="N58" s="83">
        <v>81</v>
      </c>
      <c r="O58" s="6">
        <v>82</v>
      </c>
      <c r="P58" s="83">
        <v>83</v>
      </c>
      <c r="Q58" s="83">
        <v>84</v>
      </c>
      <c r="R58" s="83">
        <v>85</v>
      </c>
      <c r="S58" s="83">
        <v>86</v>
      </c>
      <c r="T58" s="83">
        <v>87</v>
      </c>
      <c r="U58" s="83">
        <v>88</v>
      </c>
      <c r="V58" s="83">
        <v>89</v>
      </c>
      <c r="W58" s="84">
        <v>90</v>
      </c>
      <c r="X58" s="44"/>
      <c r="Y58" s="83">
        <v>81</v>
      </c>
      <c r="Z58" s="83">
        <v>82</v>
      </c>
      <c r="AA58" s="83">
        <v>83</v>
      </c>
      <c r="AB58" s="83">
        <v>84</v>
      </c>
      <c r="AC58" s="83">
        <v>85</v>
      </c>
      <c r="AD58" s="83">
        <v>86</v>
      </c>
      <c r="AE58" s="6">
        <v>87</v>
      </c>
      <c r="AF58" s="83">
        <v>88</v>
      </c>
      <c r="AG58" s="83">
        <v>89</v>
      </c>
      <c r="AH58" s="84">
        <v>90</v>
      </c>
      <c r="AI58" s="150"/>
      <c r="AJ58" s="54"/>
      <c r="AK58" s="54"/>
      <c r="AL58" s="97"/>
      <c r="AM58" s="54"/>
      <c r="AN58" s="42"/>
      <c r="AO58" s="54">
        <v>43</v>
      </c>
      <c r="AP58" s="19">
        <v>60</v>
      </c>
      <c r="AQ58" s="97">
        <v>46118</v>
      </c>
      <c r="AR58" s="54">
        <v>16</v>
      </c>
      <c r="AS58" s="42"/>
      <c r="AT58" s="112">
        <v>66</v>
      </c>
      <c r="AU58" s="112">
        <v>64</v>
      </c>
      <c r="AV58" s="108">
        <v>11</v>
      </c>
      <c r="AW58" s="132">
        <v>46130</v>
      </c>
      <c r="AX58" s="111"/>
      <c r="AY58" s="112"/>
      <c r="AZ58" s="112"/>
      <c r="BA58" s="112"/>
      <c r="BB58" s="112"/>
      <c r="BC58" s="111"/>
      <c r="BD58" s="108"/>
      <c r="BE58" s="108"/>
      <c r="BF58" s="108"/>
      <c r="BG58" s="112"/>
      <c r="BH58" s="43"/>
      <c r="BI58" s="53">
        <v>46123</v>
      </c>
      <c r="BJ58" s="64">
        <v>45</v>
      </c>
      <c r="BK58" s="71">
        <v>45</v>
      </c>
      <c r="BL58" s="77">
        <v>14</v>
      </c>
      <c r="BM58" s="77">
        <v>82</v>
      </c>
      <c r="BN58" s="72">
        <v>11</v>
      </c>
      <c r="BO58" s="73">
        <v>12</v>
      </c>
      <c r="BP58" s="73">
        <v>6</v>
      </c>
      <c r="BQ58" s="73">
        <v>2</v>
      </c>
      <c r="BR58" s="73">
        <v>4</v>
      </c>
      <c r="BS58" s="73">
        <v>2</v>
      </c>
      <c r="BT58" s="73">
        <v>5</v>
      </c>
      <c r="BU58" s="73">
        <v>4</v>
      </c>
      <c r="BV58" s="73">
        <v>6</v>
      </c>
      <c r="BW58" s="73">
        <v>2</v>
      </c>
      <c r="BX58" s="73">
        <v>4</v>
      </c>
      <c r="BY58" s="73"/>
      <c r="BZ58" s="73">
        <v>5</v>
      </c>
      <c r="CA58" s="73">
        <v>2</v>
      </c>
      <c r="CB58" s="73">
        <v>3</v>
      </c>
      <c r="CC58" s="73">
        <v>2</v>
      </c>
      <c r="CD58" s="73">
        <v>2</v>
      </c>
      <c r="CE58" s="73">
        <v>4</v>
      </c>
      <c r="CF58" s="73"/>
      <c r="CG58" s="73">
        <v>1</v>
      </c>
      <c r="CH58" s="73">
        <v>2</v>
      </c>
      <c r="CI58" s="73">
        <v>1</v>
      </c>
      <c r="CJ58" s="73"/>
      <c r="CK58" s="73"/>
      <c r="CL58" s="73">
        <v>2</v>
      </c>
      <c r="CM58" s="73"/>
      <c r="CN58" s="73"/>
      <c r="CO58" s="73">
        <v>1</v>
      </c>
      <c r="CP58" s="73">
        <v>1</v>
      </c>
      <c r="CQ58" s="73"/>
      <c r="CR58" s="73"/>
      <c r="CS58" s="73">
        <v>1</v>
      </c>
      <c r="CT58" s="73"/>
      <c r="CU58" s="73"/>
      <c r="CV58" s="73"/>
      <c r="CW58" s="73"/>
      <c r="CX58" s="73">
        <v>1</v>
      </c>
      <c r="CY58" s="73"/>
      <c r="CZ58" s="73">
        <v>1</v>
      </c>
      <c r="DA58" s="73"/>
      <c r="DB58" s="73"/>
      <c r="DC58" s="73"/>
      <c r="DD58" s="73"/>
      <c r="DE58" s="73"/>
      <c r="DF58" s="73"/>
      <c r="DG58" s="73"/>
      <c r="DH58" s="73"/>
      <c r="DI58" s="73"/>
      <c r="DJ58" s="73"/>
      <c r="DK58" s="73"/>
      <c r="DL58" s="73"/>
      <c r="DM58" s="73">
        <v>1</v>
      </c>
      <c r="DN58" s="73"/>
      <c r="DO58" s="73"/>
      <c r="DP58" s="73"/>
      <c r="DQ58" s="73"/>
      <c r="DR58" s="73"/>
      <c r="DS58" s="73"/>
      <c r="DT58" s="73"/>
      <c r="DU58" s="73"/>
      <c r="DV58" s="73"/>
      <c r="DW58" s="73"/>
      <c r="DX58" s="73"/>
      <c r="DY58" s="43"/>
      <c r="EA58" s="29"/>
      <c r="EB58" s="12"/>
      <c r="EC58" s="12"/>
      <c r="EN58" s="12"/>
      <c r="FC58" s="12"/>
      <c r="FD58" s="12"/>
      <c r="FE58" s="12"/>
      <c r="FQ58" s="20"/>
      <c r="FR58" s="20"/>
      <c r="FS58" s="20"/>
      <c r="FT58" s="20"/>
      <c r="FU58" s="20"/>
    </row>
    <row r="59" spans="1:177" s="13" customFormat="1" ht="12.6" customHeight="1" x14ac:dyDescent="0.25">
      <c r="A59" s="177">
        <v>97</v>
      </c>
      <c r="B59" s="180">
        <v>19</v>
      </c>
      <c r="C59" s="14">
        <f>A59-A146-1</f>
        <v>28</v>
      </c>
      <c r="D59" s="14">
        <f>A59-A86-1</f>
        <v>8</v>
      </c>
      <c r="E59" s="14">
        <f>A59-A104-1</f>
        <v>14</v>
      </c>
      <c r="F59" s="14">
        <f>A59-A188-1</f>
        <v>42</v>
      </c>
      <c r="G59" s="14">
        <f>A59-A86-1</f>
        <v>8</v>
      </c>
      <c r="H59" s="14">
        <f>A59-A119-1</f>
        <v>19</v>
      </c>
      <c r="I59" s="44"/>
      <c r="J59" s="156">
        <f>A59-A77-1</f>
        <v>5</v>
      </c>
      <c r="K59" s="44"/>
      <c r="M59" s="45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44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50"/>
      <c r="AJ59" s="54"/>
      <c r="AK59" s="54"/>
      <c r="AL59" s="97"/>
      <c r="AM59" s="54"/>
      <c r="AN59" s="42"/>
      <c r="AO59" s="56">
        <v>68</v>
      </c>
      <c r="AP59" s="9">
        <v>60</v>
      </c>
      <c r="AQ59" s="97">
        <v>46141</v>
      </c>
      <c r="AR59" s="54">
        <v>6</v>
      </c>
      <c r="AS59" s="42"/>
      <c r="AT59" s="112">
        <v>69</v>
      </c>
      <c r="AU59" s="112">
        <v>69</v>
      </c>
      <c r="AV59" s="108">
        <v>11</v>
      </c>
      <c r="AW59" s="132">
        <v>46130</v>
      </c>
      <c r="AX59" s="111"/>
      <c r="AY59" s="112"/>
      <c r="AZ59" s="112"/>
      <c r="BA59" s="112"/>
      <c r="BB59" s="112"/>
      <c r="BC59" s="111"/>
      <c r="BD59" s="108"/>
      <c r="BE59" s="108"/>
      <c r="BF59" s="108"/>
      <c r="BG59" s="112"/>
      <c r="BH59" s="43"/>
      <c r="BI59" s="53">
        <v>46095</v>
      </c>
      <c r="BJ59" s="64">
        <v>46</v>
      </c>
      <c r="BK59" s="66">
        <v>46</v>
      </c>
      <c r="BL59" s="63">
        <v>26</v>
      </c>
      <c r="BM59" s="63">
        <v>67</v>
      </c>
      <c r="BN59" s="64">
        <v>7</v>
      </c>
      <c r="BO59" s="68">
        <v>4</v>
      </c>
      <c r="BP59" s="68">
        <v>5</v>
      </c>
      <c r="BQ59" s="68">
        <v>3</v>
      </c>
      <c r="BR59" s="68">
        <v>6</v>
      </c>
      <c r="BS59" s="68">
        <v>3</v>
      </c>
      <c r="BT59" s="68"/>
      <c r="BU59" s="68">
        <v>5</v>
      </c>
      <c r="BV59" s="68">
        <v>6</v>
      </c>
      <c r="BW59" s="68">
        <v>1</v>
      </c>
      <c r="BX59" s="68">
        <v>1</v>
      </c>
      <c r="BY59" s="68">
        <v>3</v>
      </c>
      <c r="BZ59" s="68">
        <v>1</v>
      </c>
      <c r="CA59" s="68">
        <v>1</v>
      </c>
      <c r="CB59" s="68">
        <v>1</v>
      </c>
      <c r="CC59" s="68"/>
      <c r="CD59" s="68"/>
      <c r="CE59" s="68">
        <v>3</v>
      </c>
      <c r="CF59" s="68"/>
      <c r="CG59" s="68"/>
      <c r="CH59" s="68">
        <v>1</v>
      </c>
      <c r="CI59" s="68">
        <v>1</v>
      </c>
      <c r="CJ59" s="68">
        <v>1</v>
      </c>
      <c r="CK59" s="68">
        <v>1</v>
      </c>
      <c r="CL59" s="68"/>
      <c r="CM59" s="68"/>
      <c r="CN59" s="68">
        <v>4</v>
      </c>
      <c r="CO59" s="68">
        <v>1</v>
      </c>
      <c r="CP59" s="68"/>
      <c r="CQ59" s="68">
        <v>1</v>
      </c>
      <c r="CR59" s="68">
        <v>1</v>
      </c>
      <c r="CS59" s="68"/>
      <c r="CT59" s="68"/>
      <c r="CU59" s="68">
        <v>1</v>
      </c>
      <c r="CV59" s="68"/>
      <c r="CW59" s="68">
        <v>1</v>
      </c>
      <c r="CX59" s="68"/>
      <c r="CY59" s="68"/>
      <c r="CZ59" s="68">
        <v>1</v>
      </c>
      <c r="DA59" s="68"/>
      <c r="DB59" s="68">
        <v>1</v>
      </c>
      <c r="DC59" s="68"/>
      <c r="DD59" s="68"/>
      <c r="DE59" s="68"/>
      <c r="DF59" s="68"/>
      <c r="DG59" s="68">
        <v>1</v>
      </c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>
        <v>1</v>
      </c>
      <c r="DU59" s="68"/>
      <c r="DV59" s="68"/>
      <c r="DW59" s="68"/>
      <c r="DX59" s="68"/>
      <c r="DY59" s="43"/>
      <c r="EA59" s="29"/>
      <c r="EB59" s="12"/>
      <c r="EC59" s="12"/>
      <c r="EN59" s="12"/>
      <c r="FC59" s="12"/>
      <c r="FD59" s="12"/>
      <c r="FE59" s="12"/>
      <c r="FQ59" s="20"/>
      <c r="FR59" s="20"/>
      <c r="FS59" s="20"/>
      <c r="FT59" s="20"/>
      <c r="FU59" s="20"/>
    </row>
    <row r="60" spans="1:177" s="13" customFormat="1" ht="12.6" customHeight="1" x14ac:dyDescent="0.25">
      <c r="A60" s="178"/>
      <c r="B60" s="180"/>
      <c r="C60" s="114">
        <v>9</v>
      </c>
      <c r="D60" s="115">
        <v>29</v>
      </c>
      <c r="E60" s="115">
        <v>33</v>
      </c>
      <c r="F60" s="115">
        <v>56</v>
      </c>
      <c r="G60" s="115">
        <v>64</v>
      </c>
      <c r="H60" s="115">
        <v>74</v>
      </c>
      <c r="I60" s="44"/>
      <c r="J60" s="115">
        <v>12</v>
      </c>
      <c r="K60" s="44"/>
      <c r="L60" s="159">
        <v>46113</v>
      </c>
      <c r="M60" s="45"/>
      <c r="N60" s="174">
        <v>46141</v>
      </c>
      <c r="O60" s="175"/>
      <c r="P60" s="175"/>
      <c r="Q60" s="175"/>
      <c r="R60" s="175"/>
      <c r="S60" s="175"/>
      <c r="T60" s="175"/>
      <c r="U60" s="175"/>
      <c r="V60" s="175"/>
      <c r="W60" s="176"/>
      <c r="X60" s="44"/>
      <c r="Y60" s="174">
        <v>46139</v>
      </c>
      <c r="Z60" s="175"/>
      <c r="AA60" s="175"/>
      <c r="AB60" s="175"/>
      <c r="AC60" s="175"/>
      <c r="AD60" s="175"/>
      <c r="AE60" s="175"/>
      <c r="AF60" s="175"/>
      <c r="AG60" s="175"/>
      <c r="AH60" s="176"/>
      <c r="AI60" s="150"/>
      <c r="AJ60" s="54"/>
      <c r="AK60" s="19"/>
      <c r="AL60" s="97"/>
      <c r="AM60" s="19"/>
      <c r="AN60" s="42"/>
      <c r="AO60" s="54">
        <v>72</v>
      </c>
      <c r="AP60" s="19">
        <v>60</v>
      </c>
      <c r="AQ60" s="97">
        <v>46151</v>
      </c>
      <c r="AR60" s="19">
        <v>2</v>
      </c>
      <c r="AS60" s="42"/>
      <c r="AT60" s="112">
        <v>4</v>
      </c>
      <c r="AU60" s="112">
        <v>56</v>
      </c>
      <c r="AV60" s="108">
        <v>12</v>
      </c>
      <c r="AW60" s="132">
        <v>46127</v>
      </c>
      <c r="AX60" s="111"/>
      <c r="AY60" s="112"/>
      <c r="AZ60" s="112"/>
      <c r="BA60" s="112"/>
      <c r="BB60" s="112"/>
      <c r="BC60" s="111"/>
      <c r="BD60" s="108"/>
      <c r="BE60" s="108"/>
      <c r="BF60" s="108"/>
      <c r="BG60" s="112"/>
      <c r="BH60" s="43"/>
      <c r="BI60" s="53">
        <v>46146</v>
      </c>
      <c r="BJ60" s="64">
        <v>47</v>
      </c>
      <c r="BK60" s="71">
        <v>47</v>
      </c>
      <c r="BL60" s="77">
        <v>4</v>
      </c>
      <c r="BM60" s="77">
        <v>67</v>
      </c>
      <c r="BN60" s="72">
        <v>9</v>
      </c>
      <c r="BO60" s="73">
        <v>5</v>
      </c>
      <c r="BP60" s="73">
        <v>3</v>
      </c>
      <c r="BQ60" s="73">
        <v>4</v>
      </c>
      <c r="BR60" s="73">
        <v>6</v>
      </c>
      <c r="BS60" s="73">
        <v>3</v>
      </c>
      <c r="BT60" s="73">
        <v>2</v>
      </c>
      <c r="BU60" s="73">
        <v>5</v>
      </c>
      <c r="BV60" s="73"/>
      <c r="BW60" s="73">
        <v>2</v>
      </c>
      <c r="BX60" s="73">
        <v>3</v>
      </c>
      <c r="BY60" s="73">
        <v>1</v>
      </c>
      <c r="BZ60" s="73">
        <v>3</v>
      </c>
      <c r="CA60" s="73">
        <v>1</v>
      </c>
      <c r="CB60" s="73">
        <v>4</v>
      </c>
      <c r="CC60" s="73">
        <v>1</v>
      </c>
      <c r="CD60" s="73"/>
      <c r="CE60" s="73">
        <v>2</v>
      </c>
      <c r="CF60" s="73">
        <v>1</v>
      </c>
      <c r="CG60" s="73"/>
      <c r="CH60" s="73">
        <v>5</v>
      </c>
      <c r="CI60" s="73"/>
      <c r="CJ60" s="73"/>
      <c r="CK60" s="73"/>
      <c r="CL60" s="73">
        <v>1</v>
      </c>
      <c r="CM60" s="73"/>
      <c r="CN60" s="73">
        <v>1</v>
      </c>
      <c r="CO60" s="73"/>
      <c r="CP60" s="73"/>
      <c r="CQ60" s="73"/>
      <c r="CR60" s="73">
        <v>1</v>
      </c>
      <c r="CS60" s="73">
        <v>1</v>
      </c>
      <c r="CT60" s="73"/>
      <c r="CU60" s="73"/>
      <c r="CV60" s="73">
        <v>2</v>
      </c>
      <c r="CW60" s="73"/>
      <c r="CX60" s="73"/>
      <c r="CY60" s="73"/>
      <c r="CZ60" s="73"/>
      <c r="DA60" s="73"/>
      <c r="DB60" s="73"/>
      <c r="DC60" s="73"/>
      <c r="DD60" s="73">
        <v>1</v>
      </c>
      <c r="DE60" s="73"/>
      <c r="DF60" s="73"/>
      <c r="DG60" s="73"/>
      <c r="DH60" s="73"/>
      <c r="DI60" s="73"/>
      <c r="DJ60" s="73"/>
      <c r="DK60" s="73"/>
      <c r="DL60" s="73">
        <v>1</v>
      </c>
      <c r="DM60" s="73">
        <v>1</v>
      </c>
      <c r="DN60" s="73"/>
      <c r="DO60" s="73">
        <v>1</v>
      </c>
      <c r="DP60" s="73"/>
      <c r="DQ60" s="73"/>
      <c r="DR60" s="73"/>
      <c r="DS60" s="73"/>
      <c r="DT60" s="73"/>
      <c r="DU60" s="73"/>
      <c r="DV60" s="73"/>
      <c r="DW60" s="73"/>
      <c r="DX60" s="73"/>
      <c r="DY60" s="43"/>
      <c r="EA60" s="29"/>
      <c r="EB60" s="12"/>
      <c r="EC60" s="12"/>
      <c r="EN60" s="12"/>
      <c r="FC60" s="12"/>
      <c r="FD60" s="12"/>
      <c r="FE60" s="12"/>
      <c r="FQ60" s="20"/>
      <c r="FR60" s="20"/>
      <c r="FS60" s="20"/>
      <c r="FT60" s="20"/>
      <c r="FU60" s="20"/>
    </row>
    <row r="61" spans="1:177" s="13" customFormat="1" ht="13.2" customHeight="1" x14ac:dyDescent="0.25">
      <c r="A61" s="179"/>
      <c r="B61" s="180"/>
      <c r="C61" s="10">
        <f>J148+1</f>
        <v>3</v>
      </c>
      <c r="D61" s="10">
        <f>D88+1</f>
        <v>13</v>
      </c>
      <c r="E61" s="10">
        <f>F106+1</f>
        <v>11</v>
      </c>
      <c r="F61" s="10">
        <f>G190+1</f>
        <v>7</v>
      </c>
      <c r="G61" s="10">
        <f>G88+1</f>
        <v>8</v>
      </c>
      <c r="H61" s="10">
        <f>G121+2</f>
        <v>13</v>
      </c>
      <c r="I61" s="44"/>
      <c r="J61" s="156">
        <f>D79+1</f>
        <v>10</v>
      </c>
      <c r="K61" s="44"/>
      <c r="L61" s="159"/>
      <c r="M61" s="45"/>
      <c r="N61" s="119">
        <v>1</v>
      </c>
      <c r="O61" s="119">
        <v>2</v>
      </c>
      <c r="P61" s="119">
        <v>3</v>
      </c>
      <c r="Q61" s="119">
        <v>4</v>
      </c>
      <c r="R61" s="119">
        <v>5</v>
      </c>
      <c r="S61" s="119">
        <v>6</v>
      </c>
      <c r="T61" s="119">
        <v>7</v>
      </c>
      <c r="U61" s="119">
        <v>8</v>
      </c>
      <c r="V61" s="119">
        <v>9</v>
      </c>
      <c r="W61" s="154">
        <v>10</v>
      </c>
      <c r="X61" s="44"/>
      <c r="Y61" s="119">
        <v>3</v>
      </c>
      <c r="Z61" s="119">
        <v>2</v>
      </c>
      <c r="AA61" s="119">
        <v>3</v>
      </c>
      <c r="AB61" s="119">
        <v>4</v>
      </c>
      <c r="AC61" s="119">
        <v>5</v>
      </c>
      <c r="AD61" s="119">
        <v>6</v>
      </c>
      <c r="AE61" s="119">
        <v>7</v>
      </c>
      <c r="AF61" s="119">
        <v>8</v>
      </c>
      <c r="AG61" s="119">
        <v>9</v>
      </c>
      <c r="AH61" s="154">
        <v>10</v>
      </c>
      <c r="AI61" s="150"/>
      <c r="AJ61" s="54"/>
      <c r="AK61" s="19"/>
      <c r="AL61" s="97"/>
      <c r="AM61" s="19"/>
      <c r="AN61" s="42"/>
      <c r="AO61" s="54">
        <v>74</v>
      </c>
      <c r="AP61" s="19">
        <v>60</v>
      </c>
      <c r="AQ61" s="97">
        <v>46113</v>
      </c>
      <c r="AR61" s="19">
        <v>18</v>
      </c>
      <c r="AS61" s="42"/>
      <c r="AT61" s="112">
        <v>56</v>
      </c>
      <c r="AU61" s="112">
        <v>70</v>
      </c>
      <c r="AV61" s="108">
        <v>12</v>
      </c>
      <c r="AW61" s="132">
        <v>46127</v>
      </c>
      <c r="AX61" s="111"/>
      <c r="AY61" s="112"/>
      <c r="AZ61" s="112"/>
      <c r="BA61" s="112"/>
      <c r="BB61" s="112"/>
      <c r="BC61" s="111"/>
      <c r="BD61" s="108"/>
      <c r="BE61" s="108"/>
      <c r="BF61" s="108"/>
      <c r="BG61" s="112"/>
      <c r="BH61" s="43"/>
      <c r="BI61" s="53">
        <v>46153</v>
      </c>
      <c r="BJ61" s="64">
        <v>48</v>
      </c>
      <c r="BK61" s="66">
        <v>48</v>
      </c>
      <c r="BL61" s="63">
        <v>1</v>
      </c>
      <c r="BM61" s="63">
        <v>64</v>
      </c>
      <c r="BN61" s="64">
        <v>10</v>
      </c>
      <c r="BO61" s="68">
        <v>3</v>
      </c>
      <c r="BP61" s="68">
        <v>4</v>
      </c>
      <c r="BQ61" s="68">
        <v>2</v>
      </c>
      <c r="BR61" s="68">
        <v>8</v>
      </c>
      <c r="BS61" s="68">
        <v>2</v>
      </c>
      <c r="BT61" s="68">
        <v>4</v>
      </c>
      <c r="BU61" s="68">
        <v>2</v>
      </c>
      <c r="BV61" s="68">
        <v>2</v>
      </c>
      <c r="BW61" s="68">
        <v>1</v>
      </c>
      <c r="BX61" s="68">
        <v>1</v>
      </c>
      <c r="BY61" s="68">
        <v>2</v>
      </c>
      <c r="BZ61" s="68">
        <v>2</v>
      </c>
      <c r="CA61" s="68">
        <v>1</v>
      </c>
      <c r="CB61" s="68">
        <v>3</v>
      </c>
      <c r="CC61" s="68">
        <v>1</v>
      </c>
      <c r="CD61" s="68"/>
      <c r="CE61" s="68"/>
      <c r="CF61" s="68">
        <v>2</v>
      </c>
      <c r="CG61" s="68">
        <v>1</v>
      </c>
      <c r="CH61" s="68">
        <v>2</v>
      </c>
      <c r="CI61" s="68"/>
      <c r="CJ61" s="68">
        <v>1</v>
      </c>
      <c r="CK61" s="68">
        <v>1</v>
      </c>
      <c r="CL61" s="68"/>
      <c r="CM61" s="68"/>
      <c r="CN61" s="68"/>
      <c r="CO61" s="68">
        <v>1</v>
      </c>
      <c r="CP61" s="68">
        <v>1</v>
      </c>
      <c r="CQ61" s="68">
        <v>3</v>
      </c>
      <c r="CR61" s="68"/>
      <c r="CS61" s="68"/>
      <c r="CT61" s="68">
        <v>1</v>
      </c>
      <c r="CU61" s="68"/>
      <c r="CV61" s="68"/>
      <c r="CW61" s="68"/>
      <c r="CX61" s="68"/>
      <c r="CY61" s="68"/>
      <c r="CZ61" s="68">
        <v>1</v>
      </c>
      <c r="DA61" s="68"/>
      <c r="DB61" s="68"/>
      <c r="DC61" s="68"/>
      <c r="DD61" s="68"/>
      <c r="DE61" s="68">
        <v>1</v>
      </c>
      <c r="DF61" s="68">
        <v>1</v>
      </c>
      <c r="DG61" s="68"/>
      <c r="DH61" s="68"/>
      <c r="DI61" s="68"/>
      <c r="DJ61" s="68"/>
      <c r="DK61" s="68"/>
      <c r="DL61" s="68"/>
      <c r="DM61" s="68"/>
      <c r="DN61" s="68"/>
      <c r="DO61" s="68">
        <v>1</v>
      </c>
      <c r="DP61" s="68"/>
      <c r="DQ61" s="68"/>
      <c r="DR61" s="68"/>
      <c r="DS61" s="68"/>
      <c r="DT61" s="68"/>
      <c r="DU61" s="68"/>
      <c r="DV61" s="68"/>
      <c r="DW61" s="68"/>
      <c r="DX61" s="68">
        <v>1</v>
      </c>
      <c r="DY61" s="43"/>
      <c r="EA61" s="29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FC61" s="12"/>
      <c r="FD61" s="12"/>
      <c r="FE61" s="12"/>
      <c r="FQ61" s="20"/>
      <c r="FR61" s="20"/>
      <c r="FS61" s="20"/>
      <c r="FT61" s="20"/>
      <c r="FU61" s="20"/>
    </row>
    <row r="62" spans="1:177" s="13" customFormat="1" ht="12.6" customHeight="1" x14ac:dyDescent="0.25">
      <c r="A62" s="177">
        <v>96</v>
      </c>
      <c r="B62" s="180">
        <v>20</v>
      </c>
      <c r="C62" s="14">
        <f>A62-A65-1</f>
        <v>0</v>
      </c>
      <c r="D62" s="14">
        <f>A62-A137-1</f>
        <v>24</v>
      </c>
      <c r="E62" s="14">
        <f>A62-A80-1</f>
        <v>5</v>
      </c>
      <c r="F62" s="14">
        <f>A62-A65-1</f>
        <v>0</v>
      </c>
      <c r="G62" s="14">
        <f>A62-A110-1</f>
        <v>15</v>
      </c>
      <c r="H62" s="14">
        <f>A62-A119-1</f>
        <v>18</v>
      </c>
      <c r="I62" s="44"/>
      <c r="J62" s="156">
        <f>A62-A101-1</f>
        <v>12</v>
      </c>
      <c r="K62" s="44"/>
      <c r="M62" s="45"/>
      <c r="N62" s="119">
        <v>11</v>
      </c>
      <c r="O62" s="119">
        <v>12</v>
      </c>
      <c r="P62" s="119">
        <v>13</v>
      </c>
      <c r="Q62" s="119">
        <v>14</v>
      </c>
      <c r="R62" s="119">
        <v>15</v>
      </c>
      <c r="S62" s="119">
        <v>16</v>
      </c>
      <c r="T62" s="119">
        <v>17</v>
      </c>
      <c r="U62" s="119">
        <v>18</v>
      </c>
      <c r="V62" s="119">
        <v>19</v>
      </c>
      <c r="W62" s="119">
        <v>20</v>
      </c>
      <c r="X62" s="44"/>
      <c r="Y62" s="6">
        <v>11</v>
      </c>
      <c r="Z62" s="119">
        <v>12</v>
      </c>
      <c r="AA62" s="119">
        <v>13</v>
      </c>
      <c r="AB62" s="119">
        <v>14</v>
      </c>
      <c r="AC62" s="119">
        <v>15</v>
      </c>
      <c r="AD62" s="119">
        <v>16</v>
      </c>
      <c r="AE62" s="119">
        <v>17</v>
      </c>
      <c r="AF62" s="119">
        <v>18</v>
      </c>
      <c r="AG62" s="6">
        <v>19</v>
      </c>
      <c r="AH62" s="119">
        <v>20</v>
      </c>
      <c r="AI62" s="150"/>
      <c r="AJ62" s="54"/>
      <c r="AK62" s="19"/>
      <c r="AL62" s="97"/>
      <c r="AM62" s="19"/>
      <c r="AN62" s="42"/>
      <c r="AO62" s="54">
        <v>90</v>
      </c>
      <c r="AP62" s="19">
        <v>60</v>
      </c>
      <c r="AQ62" s="97">
        <v>46137</v>
      </c>
      <c r="AR62" s="19">
        <v>8</v>
      </c>
      <c r="AS62" s="42"/>
      <c r="AT62" s="112">
        <v>76</v>
      </c>
      <c r="AU62" s="112">
        <v>52</v>
      </c>
      <c r="AV62" s="108">
        <v>12</v>
      </c>
      <c r="AW62" s="132">
        <v>46127</v>
      </c>
      <c r="AX62" s="111"/>
      <c r="AY62" s="112"/>
      <c r="AZ62" s="112"/>
      <c r="BA62" s="112"/>
      <c r="BB62" s="112"/>
      <c r="BC62" s="111"/>
      <c r="BD62" s="108"/>
      <c r="BE62" s="108"/>
      <c r="BF62" s="108"/>
      <c r="BG62" s="112"/>
      <c r="BH62" s="43"/>
      <c r="BI62" s="53">
        <v>46069</v>
      </c>
      <c r="BJ62" s="64">
        <v>49</v>
      </c>
      <c r="BK62" s="71">
        <v>49</v>
      </c>
      <c r="BL62" s="77">
        <v>37</v>
      </c>
      <c r="BM62" s="77">
        <v>58</v>
      </c>
      <c r="BN62" s="72">
        <v>6</v>
      </c>
      <c r="BO62" s="73">
        <v>1</v>
      </c>
      <c r="BP62" s="73">
        <v>3</v>
      </c>
      <c r="BQ62" s="73">
        <v>5</v>
      </c>
      <c r="BR62" s="73">
        <v>4</v>
      </c>
      <c r="BS62" s="73">
        <v>5</v>
      </c>
      <c r="BT62" s="73">
        <v>3</v>
      </c>
      <c r="BU62" s="73">
        <v>3</v>
      </c>
      <c r="BV62" s="73">
        <v>1</v>
      </c>
      <c r="BW62" s="73">
        <v>1</v>
      </c>
      <c r="BX62" s="73">
        <v>2</v>
      </c>
      <c r="BY62" s="73">
        <v>2</v>
      </c>
      <c r="BZ62" s="73">
        <v>1</v>
      </c>
      <c r="CA62" s="73">
        <v>1</v>
      </c>
      <c r="CB62" s="73">
        <v>1</v>
      </c>
      <c r="CC62" s="73"/>
      <c r="CD62" s="73">
        <v>1</v>
      </c>
      <c r="CE62" s="73">
        <v>2</v>
      </c>
      <c r="CF62" s="73"/>
      <c r="CG62" s="73"/>
      <c r="CH62" s="73">
        <v>5</v>
      </c>
      <c r="CI62" s="73"/>
      <c r="CJ62" s="73"/>
      <c r="CK62" s="73">
        <v>1</v>
      </c>
      <c r="CL62" s="73"/>
      <c r="CM62" s="73">
        <v>1</v>
      </c>
      <c r="CN62" s="73">
        <v>1</v>
      </c>
      <c r="CO62" s="73"/>
      <c r="CP62" s="73">
        <v>1</v>
      </c>
      <c r="CQ62" s="73">
        <v>3</v>
      </c>
      <c r="CR62" s="73"/>
      <c r="CS62" s="73">
        <v>1</v>
      </c>
      <c r="CT62" s="73">
        <v>1</v>
      </c>
      <c r="CU62" s="73"/>
      <c r="CV62" s="73"/>
      <c r="CW62" s="73">
        <v>2</v>
      </c>
      <c r="CX62" s="73"/>
      <c r="CY62" s="73"/>
      <c r="CZ62" s="73"/>
      <c r="DA62" s="73">
        <v>1</v>
      </c>
      <c r="DB62" s="73">
        <v>1</v>
      </c>
      <c r="DC62" s="73"/>
      <c r="DD62" s="73"/>
      <c r="DE62" s="73"/>
      <c r="DF62" s="73"/>
      <c r="DG62" s="73"/>
      <c r="DH62" s="73"/>
      <c r="DI62" s="73"/>
      <c r="DJ62" s="73"/>
      <c r="DK62" s="73"/>
      <c r="DL62" s="73">
        <v>1</v>
      </c>
      <c r="DM62" s="73"/>
      <c r="DN62" s="73"/>
      <c r="DO62" s="73"/>
      <c r="DP62" s="73"/>
      <c r="DQ62" s="73"/>
      <c r="DR62" s="73"/>
      <c r="DS62" s="73"/>
      <c r="DT62" s="73"/>
      <c r="DU62" s="73"/>
      <c r="DV62" s="73"/>
      <c r="DW62" s="73"/>
      <c r="DX62" s="73"/>
      <c r="DY62" s="43"/>
      <c r="EA62" s="29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FC62" s="12"/>
      <c r="FD62" s="12"/>
      <c r="FE62" s="12"/>
      <c r="FQ62" s="20"/>
      <c r="FR62" s="20"/>
      <c r="FS62" s="20"/>
      <c r="FT62" s="20"/>
      <c r="FU62" s="20"/>
    </row>
    <row r="63" spans="1:177" s="13" customFormat="1" ht="12.6" customHeight="1" x14ac:dyDescent="0.25">
      <c r="A63" s="178"/>
      <c r="B63" s="180"/>
      <c r="C63" s="114">
        <v>4</v>
      </c>
      <c r="D63" s="115">
        <v>16</v>
      </c>
      <c r="E63" s="115">
        <v>23</v>
      </c>
      <c r="F63" s="115">
        <v>63</v>
      </c>
      <c r="G63" s="115">
        <v>66</v>
      </c>
      <c r="H63" s="115">
        <v>76</v>
      </c>
      <c r="I63" s="44"/>
      <c r="J63" s="115">
        <v>48</v>
      </c>
      <c r="K63" s="44"/>
      <c r="L63" s="159">
        <v>46111</v>
      </c>
      <c r="M63" s="45"/>
      <c r="N63" s="119">
        <v>21</v>
      </c>
      <c r="O63" s="119">
        <v>22</v>
      </c>
      <c r="P63" s="119">
        <v>23</v>
      </c>
      <c r="Q63" s="119">
        <v>24</v>
      </c>
      <c r="R63" s="119">
        <v>25</v>
      </c>
      <c r="S63" s="119">
        <v>26</v>
      </c>
      <c r="T63" s="119">
        <v>27</v>
      </c>
      <c r="U63" s="119">
        <v>28</v>
      </c>
      <c r="V63" s="119">
        <v>29</v>
      </c>
      <c r="W63" s="154">
        <v>30</v>
      </c>
      <c r="X63" s="44"/>
      <c r="Y63" s="119">
        <v>21</v>
      </c>
      <c r="Z63" s="119">
        <v>22</v>
      </c>
      <c r="AA63" s="119">
        <v>23</v>
      </c>
      <c r="AB63" s="119">
        <v>24</v>
      </c>
      <c r="AC63" s="119">
        <v>25</v>
      </c>
      <c r="AD63" s="119">
        <v>26</v>
      </c>
      <c r="AE63" s="6">
        <v>27</v>
      </c>
      <c r="AF63" s="119">
        <v>28</v>
      </c>
      <c r="AG63" s="119">
        <v>29</v>
      </c>
      <c r="AH63" s="154">
        <v>30</v>
      </c>
      <c r="AI63" s="150"/>
      <c r="AJ63" s="54"/>
      <c r="AK63" s="19"/>
      <c r="AL63" s="97"/>
      <c r="AM63" s="19"/>
      <c r="AN63" s="42"/>
      <c r="AO63" s="54"/>
      <c r="AP63" s="19"/>
      <c r="AQ63" s="97"/>
      <c r="AR63" s="19"/>
      <c r="AS63" s="42"/>
      <c r="AT63" s="112">
        <v>13</v>
      </c>
      <c r="AU63" s="112">
        <v>69</v>
      </c>
      <c r="AV63" s="108">
        <v>13</v>
      </c>
      <c r="AW63" s="132">
        <v>46125</v>
      </c>
      <c r="AX63" s="111"/>
      <c r="AY63" s="112"/>
      <c r="AZ63" s="112"/>
      <c r="BA63" s="112"/>
      <c r="BB63" s="112"/>
      <c r="BC63" s="111"/>
      <c r="BD63" s="108"/>
      <c r="BE63" s="108"/>
      <c r="BF63" s="108"/>
      <c r="BG63" s="112"/>
      <c r="BH63" s="43"/>
      <c r="BI63" s="53">
        <v>46148</v>
      </c>
      <c r="BJ63" s="64">
        <v>50</v>
      </c>
      <c r="BK63" s="65">
        <v>50</v>
      </c>
      <c r="BL63" s="63">
        <v>3</v>
      </c>
      <c r="BM63" s="63">
        <v>63</v>
      </c>
      <c r="BN63" s="64">
        <v>10</v>
      </c>
      <c r="BO63" s="68">
        <v>4</v>
      </c>
      <c r="BP63" s="68">
        <v>3</v>
      </c>
      <c r="BQ63" s="68">
        <v>3</v>
      </c>
      <c r="BR63" s="68">
        <v>6</v>
      </c>
      <c r="BS63" s="68">
        <v>2</v>
      </c>
      <c r="BT63" s="68">
        <v>4</v>
      </c>
      <c r="BU63" s="68">
        <v>5</v>
      </c>
      <c r="BV63" s="68">
        <v>1</v>
      </c>
      <c r="BW63" s="68">
        <v>4</v>
      </c>
      <c r="BX63" s="68">
        <v>1</v>
      </c>
      <c r="BY63" s="68">
        <v>6</v>
      </c>
      <c r="BZ63" s="68"/>
      <c r="CA63" s="68"/>
      <c r="CB63" s="68">
        <v>1</v>
      </c>
      <c r="CC63" s="68"/>
      <c r="CD63" s="68">
        <v>2</v>
      </c>
      <c r="CE63" s="68">
        <v>1</v>
      </c>
      <c r="CF63" s="68"/>
      <c r="CG63" s="68">
        <v>2</v>
      </c>
      <c r="CH63" s="68"/>
      <c r="CI63" s="68">
        <v>2</v>
      </c>
      <c r="CJ63" s="68"/>
      <c r="CK63" s="68"/>
      <c r="CL63" s="68">
        <v>1</v>
      </c>
      <c r="CM63" s="68"/>
      <c r="CN63" s="68">
        <v>1</v>
      </c>
      <c r="CO63" s="68"/>
      <c r="CP63" s="68">
        <v>1</v>
      </c>
      <c r="CQ63" s="68"/>
      <c r="CR63" s="68">
        <v>1</v>
      </c>
      <c r="CS63" s="68">
        <v>1</v>
      </c>
      <c r="CT63" s="68">
        <v>1</v>
      </c>
      <c r="CU63" s="68">
        <v>1</v>
      </c>
      <c r="CV63" s="68">
        <v>2</v>
      </c>
      <c r="CW63" s="68"/>
      <c r="CX63" s="68"/>
      <c r="CY63" s="68"/>
      <c r="CZ63" s="68">
        <v>1</v>
      </c>
      <c r="DA63" s="68"/>
      <c r="DB63" s="68"/>
      <c r="DC63" s="68">
        <v>1</v>
      </c>
      <c r="DD63" s="68"/>
      <c r="DE63" s="68"/>
      <c r="DF63" s="68"/>
      <c r="DG63" s="68">
        <v>1</v>
      </c>
      <c r="DH63" s="68"/>
      <c r="DI63" s="68"/>
      <c r="DJ63" s="68"/>
      <c r="DK63" s="68"/>
      <c r="DL63" s="68"/>
      <c r="DM63" s="68"/>
      <c r="DN63" s="68">
        <v>1</v>
      </c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43"/>
      <c r="EA63" s="29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FC63" s="12"/>
      <c r="FD63" s="12"/>
      <c r="FE63" s="12"/>
      <c r="FQ63" s="20"/>
      <c r="FR63" s="20"/>
      <c r="FS63" s="20"/>
      <c r="FT63" s="20"/>
      <c r="FU63" s="20"/>
    </row>
    <row r="64" spans="1:177" s="13" customFormat="1" ht="13.2" customHeight="1" x14ac:dyDescent="0.25">
      <c r="A64" s="179"/>
      <c r="B64" s="180"/>
      <c r="C64" s="10">
        <f>C67+1</f>
        <v>11</v>
      </c>
      <c r="D64" s="10">
        <f>C139+1</f>
        <v>6</v>
      </c>
      <c r="E64" s="10">
        <f>C82+1</f>
        <v>15</v>
      </c>
      <c r="F64" s="10">
        <f>G67+1</f>
        <v>6</v>
      </c>
      <c r="G64" s="10">
        <f>E112+1</f>
        <v>5</v>
      </c>
      <c r="H64" s="10">
        <f>H121+1</f>
        <v>7</v>
      </c>
      <c r="I64" s="44"/>
      <c r="J64" s="156">
        <f>G103+1</f>
        <v>6</v>
      </c>
      <c r="K64" s="44"/>
      <c r="L64" s="159"/>
      <c r="M64" s="44"/>
      <c r="N64" s="119">
        <v>31</v>
      </c>
      <c r="O64" s="119">
        <v>32</v>
      </c>
      <c r="P64" s="119">
        <v>33</v>
      </c>
      <c r="Q64" s="119">
        <v>34</v>
      </c>
      <c r="R64" s="119">
        <v>35</v>
      </c>
      <c r="S64" s="119">
        <v>36</v>
      </c>
      <c r="T64" s="119">
        <v>37</v>
      </c>
      <c r="U64" s="6">
        <v>38</v>
      </c>
      <c r="V64" s="119">
        <v>39</v>
      </c>
      <c r="W64" s="154">
        <v>40</v>
      </c>
      <c r="X64" s="44"/>
      <c r="Y64" s="119">
        <v>31</v>
      </c>
      <c r="Z64" s="119">
        <v>32</v>
      </c>
      <c r="AA64" s="119">
        <v>33</v>
      </c>
      <c r="AB64" s="6">
        <v>34</v>
      </c>
      <c r="AC64" s="6">
        <v>35</v>
      </c>
      <c r="AD64" s="119">
        <v>36</v>
      </c>
      <c r="AE64" s="119">
        <v>37</v>
      </c>
      <c r="AF64" s="119">
        <v>38</v>
      </c>
      <c r="AG64" s="119">
        <v>39</v>
      </c>
      <c r="AH64" s="154">
        <v>40</v>
      </c>
      <c r="AI64" s="149"/>
      <c r="AJ64" s="54"/>
      <c r="AK64" s="19"/>
      <c r="AL64" s="98"/>
      <c r="AM64" s="19"/>
      <c r="AN64" s="42"/>
      <c r="AO64" s="54"/>
      <c r="AP64" s="19"/>
      <c r="AR64" s="97"/>
      <c r="AS64" s="42"/>
      <c r="AT64" s="112">
        <v>24</v>
      </c>
      <c r="AU64" s="112">
        <v>58</v>
      </c>
      <c r="AV64" s="108">
        <v>13</v>
      </c>
      <c r="AW64" s="132">
        <v>46125</v>
      </c>
      <c r="AX64" s="111"/>
      <c r="AY64" s="112"/>
      <c r="AZ64" s="112"/>
      <c r="BA64" s="112"/>
      <c r="BB64" s="112"/>
      <c r="BC64" s="111"/>
      <c r="BD64" s="108"/>
      <c r="BE64" s="108"/>
      <c r="BF64" s="108"/>
      <c r="BG64" s="112"/>
      <c r="BH64" s="43"/>
      <c r="BI64" s="53">
        <v>46055</v>
      </c>
      <c r="BJ64" s="64">
        <v>51</v>
      </c>
      <c r="BK64" s="71">
        <v>51</v>
      </c>
      <c r="BL64" s="77">
        <v>43</v>
      </c>
      <c r="BM64" s="77">
        <v>46</v>
      </c>
      <c r="BN64" s="72">
        <v>4</v>
      </c>
      <c r="BO64" s="73">
        <v>2</v>
      </c>
      <c r="BP64" s="73">
        <v>1</v>
      </c>
      <c r="BQ64" s="73">
        <v>2</v>
      </c>
      <c r="BR64" s="73">
        <v>1</v>
      </c>
      <c r="BS64" s="73">
        <v>1</v>
      </c>
      <c r="BT64" s="73">
        <v>1</v>
      </c>
      <c r="BU64" s="73">
        <v>3</v>
      </c>
      <c r="BV64" s="73">
        <v>1</v>
      </c>
      <c r="BW64" s="73"/>
      <c r="BX64" s="73">
        <v>2</v>
      </c>
      <c r="BY64" s="73">
        <v>3</v>
      </c>
      <c r="BZ64" s="73"/>
      <c r="CA64" s="73"/>
      <c r="CB64" s="73">
        <v>1</v>
      </c>
      <c r="CC64" s="73">
        <v>3</v>
      </c>
      <c r="CD64" s="73">
        <v>3</v>
      </c>
      <c r="CE64" s="73">
        <v>2</v>
      </c>
      <c r="CF64" s="73">
        <v>2</v>
      </c>
      <c r="CG64" s="73">
        <v>3</v>
      </c>
      <c r="CH64" s="73"/>
      <c r="CI64" s="73">
        <v>1</v>
      </c>
      <c r="CJ64" s="73"/>
      <c r="CK64" s="73"/>
      <c r="CL64" s="73">
        <v>1</v>
      </c>
      <c r="CM64" s="73"/>
      <c r="CN64" s="73">
        <v>1</v>
      </c>
      <c r="CO64" s="73"/>
      <c r="CP64" s="73"/>
      <c r="CQ64" s="73">
        <v>2</v>
      </c>
      <c r="CR64" s="73"/>
      <c r="CS64" s="73">
        <v>1</v>
      </c>
      <c r="CT64" s="73">
        <v>1</v>
      </c>
      <c r="CU64" s="73"/>
      <c r="CV64" s="73">
        <v>1</v>
      </c>
      <c r="CW64" s="73">
        <v>1</v>
      </c>
      <c r="CX64" s="73"/>
      <c r="CY64" s="73"/>
      <c r="CZ64" s="73">
        <v>1</v>
      </c>
      <c r="DA64" s="73">
        <v>1</v>
      </c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>
        <v>1</v>
      </c>
      <c r="DU64" s="73">
        <v>1</v>
      </c>
      <c r="DV64" s="73"/>
      <c r="DW64" s="73"/>
      <c r="DX64" s="73"/>
      <c r="DY64" s="43"/>
      <c r="EA64" s="29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FC64" s="12"/>
      <c r="FD64" s="12"/>
      <c r="FE64" s="12"/>
      <c r="FM64" s="20"/>
      <c r="FN64" s="20"/>
      <c r="FO64" s="20"/>
      <c r="FP64" s="20"/>
      <c r="FQ64" s="20"/>
      <c r="FR64" s="20"/>
      <c r="FS64" s="20"/>
      <c r="FT64" s="20"/>
      <c r="FU64" s="20"/>
    </row>
    <row r="65" spans="1:177" s="13" customFormat="1" ht="12.6" customHeight="1" x14ac:dyDescent="0.25">
      <c r="A65" s="177">
        <v>95</v>
      </c>
      <c r="B65" s="180">
        <v>21</v>
      </c>
      <c r="C65" s="14">
        <f>A65-A104-1</f>
        <v>12</v>
      </c>
      <c r="D65" s="14">
        <f>A65-A158-1</f>
        <v>30</v>
      </c>
      <c r="E65" s="14">
        <f>A65-A89-1</f>
        <v>7</v>
      </c>
      <c r="F65" s="14">
        <f>A65-A197-1</f>
        <v>43</v>
      </c>
      <c r="G65" s="14">
        <f>A65-A146-1</f>
        <v>26</v>
      </c>
      <c r="H65" s="14">
        <f>A65-A128-1</f>
        <v>20</v>
      </c>
      <c r="I65" s="44"/>
      <c r="J65" s="156">
        <f>A65-A77-1</f>
        <v>3</v>
      </c>
      <c r="K65" s="44"/>
      <c r="M65" s="44"/>
      <c r="N65" s="119">
        <v>41</v>
      </c>
      <c r="O65" s="119">
        <v>42</v>
      </c>
      <c r="P65" s="119">
        <v>43</v>
      </c>
      <c r="Q65" s="119">
        <v>44</v>
      </c>
      <c r="R65" s="119">
        <v>45</v>
      </c>
      <c r="S65" s="83">
        <v>46</v>
      </c>
      <c r="T65" s="83">
        <v>47</v>
      </c>
      <c r="U65" s="83">
        <v>48</v>
      </c>
      <c r="V65" s="83">
        <v>49</v>
      </c>
      <c r="W65" s="84">
        <v>50</v>
      </c>
      <c r="X65" s="44"/>
      <c r="Y65" s="119">
        <v>41</v>
      </c>
      <c r="Z65" s="119">
        <v>42</v>
      </c>
      <c r="AA65" s="119">
        <v>43</v>
      </c>
      <c r="AB65" s="119">
        <v>44</v>
      </c>
      <c r="AC65" s="119">
        <v>45</v>
      </c>
      <c r="AD65" s="83">
        <v>46</v>
      </c>
      <c r="AE65" s="83">
        <v>47</v>
      </c>
      <c r="AF65" s="83">
        <v>48</v>
      </c>
      <c r="AG65" s="83">
        <v>49</v>
      </c>
      <c r="AH65" s="84">
        <v>50</v>
      </c>
      <c r="AI65" s="149"/>
      <c r="AJ65" s="19"/>
      <c r="AK65" s="19"/>
      <c r="AL65" s="19"/>
      <c r="AM65" s="19"/>
      <c r="AN65" s="42"/>
      <c r="AO65" s="54"/>
      <c r="AP65" s="19"/>
      <c r="AR65" s="97"/>
      <c r="AS65" s="42"/>
      <c r="AT65" s="112">
        <v>2</v>
      </c>
      <c r="AU65" s="112">
        <v>53</v>
      </c>
      <c r="AV65" s="108">
        <v>14</v>
      </c>
      <c r="AW65" s="132">
        <v>46123</v>
      </c>
      <c r="AX65" s="111"/>
      <c r="AY65" s="112"/>
      <c r="AZ65" s="112"/>
      <c r="BA65" s="112"/>
      <c r="BB65" s="112"/>
      <c r="BC65" s="111"/>
      <c r="BD65" s="108"/>
      <c r="BE65" s="108"/>
      <c r="BF65" s="108"/>
      <c r="BG65" s="112"/>
      <c r="BH65" s="43"/>
      <c r="BI65" s="53">
        <v>46123</v>
      </c>
      <c r="BJ65" s="64">
        <v>52</v>
      </c>
      <c r="BK65" s="66">
        <v>52</v>
      </c>
      <c r="BL65" s="64">
        <v>14</v>
      </c>
      <c r="BM65" s="64">
        <v>56</v>
      </c>
      <c r="BN65" s="64">
        <v>4</v>
      </c>
      <c r="BO65" s="68">
        <v>1</v>
      </c>
      <c r="BP65" s="68">
        <v>6</v>
      </c>
      <c r="BQ65" s="68"/>
      <c r="BR65" s="68"/>
      <c r="BS65" s="68">
        <v>5</v>
      </c>
      <c r="BT65" s="68">
        <v>4</v>
      </c>
      <c r="BU65" s="68"/>
      <c r="BV65" s="68">
        <v>5</v>
      </c>
      <c r="BW65" s="68">
        <v>4</v>
      </c>
      <c r="BX65" s="68">
        <v>1</v>
      </c>
      <c r="BY65" s="68">
        <v>1</v>
      </c>
      <c r="BZ65" s="68">
        <v>2</v>
      </c>
      <c r="CA65" s="68"/>
      <c r="CB65" s="68"/>
      <c r="CC65" s="68">
        <v>3</v>
      </c>
      <c r="CD65" s="68">
        <v>1</v>
      </c>
      <c r="CE65" s="68"/>
      <c r="CF65" s="68"/>
      <c r="CG65" s="68"/>
      <c r="CH65" s="68">
        <v>1</v>
      </c>
      <c r="CI65" s="68"/>
      <c r="CJ65" s="68">
        <v>1</v>
      </c>
      <c r="CK65" s="68"/>
      <c r="CL65" s="68"/>
      <c r="CM65" s="68">
        <v>1</v>
      </c>
      <c r="CN65" s="68"/>
      <c r="CO65" s="68"/>
      <c r="CP65" s="68"/>
      <c r="CQ65" s="68"/>
      <c r="CR65" s="68"/>
      <c r="CS65" s="68"/>
      <c r="CT65" s="68"/>
      <c r="CU65" s="68">
        <v>4</v>
      </c>
      <c r="CV65" s="68"/>
      <c r="CW65" s="68"/>
      <c r="CX65" s="68"/>
      <c r="CY65" s="68"/>
      <c r="CZ65" s="68">
        <v>1</v>
      </c>
      <c r="DA65" s="68"/>
      <c r="DB65" s="68">
        <v>1</v>
      </c>
      <c r="DC65" s="68"/>
      <c r="DD65" s="68"/>
      <c r="DE65" s="68"/>
      <c r="DF65" s="68"/>
      <c r="DG65" s="68"/>
      <c r="DH65" s="68"/>
      <c r="DI65" s="68"/>
      <c r="DJ65" s="68"/>
      <c r="DK65" s="68"/>
      <c r="DL65" s="68">
        <v>1</v>
      </c>
      <c r="DM65" s="68"/>
      <c r="DN65" s="68"/>
      <c r="DO65" s="68">
        <v>1</v>
      </c>
      <c r="DP65" s="68"/>
      <c r="DQ65" s="68">
        <v>1</v>
      </c>
      <c r="DR65" s="68">
        <v>1</v>
      </c>
      <c r="DS65" s="68"/>
      <c r="DT65" s="68"/>
      <c r="DU65" s="68"/>
      <c r="DV65" s="68"/>
      <c r="DW65" s="68"/>
      <c r="DX65" s="68">
        <v>1</v>
      </c>
      <c r="DY65" s="43"/>
      <c r="EA65" s="29"/>
      <c r="EB65" s="9"/>
      <c r="EC65" s="29"/>
      <c r="ED65" s="21"/>
      <c r="FM65" s="20"/>
      <c r="FN65" s="20"/>
      <c r="FO65" s="20"/>
      <c r="FP65" s="20"/>
      <c r="FQ65" s="20"/>
      <c r="FR65" s="20"/>
      <c r="FS65" s="20"/>
      <c r="FT65" s="20"/>
      <c r="FU65" s="20"/>
    </row>
    <row r="66" spans="1:177" s="13" customFormat="1" ht="12.6" customHeight="1" x14ac:dyDescent="0.25">
      <c r="A66" s="178"/>
      <c r="B66" s="180"/>
      <c r="C66" s="114">
        <v>4</v>
      </c>
      <c r="D66" s="115">
        <v>5</v>
      </c>
      <c r="E66" s="115">
        <v>7</v>
      </c>
      <c r="F66" s="115">
        <v>17</v>
      </c>
      <c r="G66" s="115">
        <v>63</v>
      </c>
      <c r="H66" s="115">
        <v>72</v>
      </c>
      <c r="I66" s="44"/>
      <c r="J66" s="115">
        <v>86</v>
      </c>
      <c r="K66" s="44"/>
      <c r="L66" s="159">
        <v>46109</v>
      </c>
      <c r="M66" s="44"/>
      <c r="N66" s="83">
        <v>51</v>
      </c>
      <c r="O66" s="83">
        <v>52</v>
      </c>
      <c r="P66" s="83">
        <v>53</v>
      </c>
      <c r="Q66" s="83">
        <v>54</v>
      </c>
      <c r="R66" s="83">
        <v>55</v>
      </c>
      <c r="S66" s="83">
        <v>56</v>
      </c>
      <c r="T66" s="83">
        <v>57</v>
      </c>
      <c r="U66" s="83">
        <v>58</v>
      </c>
      <c r="V66" s="83">
        <v>59</v>
      </c>
      <c r="W66" s="84">
        <v>60</v>
      </c>
      <c r="X66" s="44"/>
      <c r="Y66" s="83">
        <v>51</v>
      </c>
      <c r="Z66" s="83">
        <v>52</v>
      </c>
      <c r="AA66" s="83">
        <v>53</v>
      </c>
      <c r="AB66" s="83">
        <v>54</v>
      </c>
      <c r="AC66" s="83">
        <v>55</v>
      </c>
      <c r="AD66" s="83">
        <v>56</v>
      </c>
      <c r="AE66" s="83">
        <v>57</v>
      </c>
      <c r="AF66" s="83">
        <v>58</v>
      </c>
      <c r="AG66" s="83">
        <v>59</v>
      </c>
      <c r="AH66" s="84">
        <v>60</v>
      </c>
      <c r="AI66" s="149"/>
      <c r="AJ66" s="19"/>
      <c r="AK66" s="19"/>
      <c r="AL66" s="19"/>
      <c r="AM66" s="19"/>
      <c r="AN66" s="42"/>
      <c r="AO66" s="54"/>
      <c r="AP66" s="19"/>
      <c r="AR66" s="97"/>
      <c r="AS66" s="42"/>
      <c r="AT66" s="112">
        <v>9</v>
      </c>
      <c r="AU66" s="112">
        <v>50</v>
      </c>
      <c r="AV66" s="108">
        <v>14</v>
      </c>
      <c r="AW66" s="132">
        <v>46123</v>
      </c>
      <c r="AX66" s="111"/>
      <c r="AY66" s="112"/>
      <c r="AZ66" s="112"/>
      <c r="BA66" s="112"/>
      <c r="BB66" s="112"/>
      <c r="BC66" s="111"/>
      <c r="BD66" s="108"/>
      <c r="BE66" s="108"/>
      <c r="BF66" s="108"/>
      <c r="BG66" s="112"/>
      <c r="BH66" s="43"/>
      <c r="BI66" s="53">
        <v>46153</v>
      </c>
      <c r="BJ66" s="64">
        <v>53</v>
      </c>
      <c r="BK66" s="71">
        <v>53</v>
      </c>
      <c r="BL66" s="77">
        <v>1</v>
      </c>
      <c r="BM66" s="77">
        <v>59</v>
      </c>
      <c r="BN66" s="72">
        <v>11</v>
      </c>
      <c r="BO66" s="73">
        <v>2</v>
      </c>
      <c r="BP66" s="73">
        <v>2</v>
      </c>
      <c r="BQ66" s="73">
        <v>9</v>
      </c>
      <c r="BR66" s="73">
        <v>4</v>
      </c>
      <c r="BS66" s="73"/>
      <c r="BT66" s="73">
        <v>1</v>
      </c>
      <c r="BU66" s="73">
        <v>2</v>
      </c>
      <c r="BV66" s="73">
        <v>2</v>
      </c>
      <c r="BW66" s="73">
        <v>2</v>
      </c>
      <c r="BX66" s="73">
        <v>3</v>
      </c>
      <c r="BY66" s="73">
        <v>1</v>
      </c>
      <c r="BZ66" s="73">
        <v>1</v>
      </c>
      <c r="CA66" s="73"/>
      <c r="CB66" s="73">
        <v>1</v>
      </c>
      <c r="CC66" s="73">
        <v>3</v>
      </c>
      <c r="CD66" s="73">
        <v>1</v>
      </c>
      <c r="CE66" s="73"/>
      <c r="CF66" s="73">
        <v>2</v>
      </c>
      <c r="CG66" s="73">
        <v>3</v>
      </c>
      <c r="CH66" s="73"/>
      <c r="CI66" s="73">
        <v>1</v>
      </c>
      <c r="CJ66" s="73"/>
      <c r="CK66" s="73"/>
      <c r="CL66" s="73"/>
      <c r="CM66" s="73"/>
      <c r="CN66" s="73">
        <v>1</v>
      </c>
      <c r="CO66" s="73"/>
      <c r="CP66" s="73">
        <v>1</v>
      </c>
      <c r="CQ66" s="73"/>
      <c r="CR66" s="73">
        <v>3</v>
      </c>
      <c r="CS66" s="73"/>
      <c r="CT66" s="73">
        <v>2</v>
      </c>
      <c r="CU66" s="73"/>
      <c r="CV66" s="73"/>
      <c r="CW66" s="73"/>
      <c r="CX66" s="73"/>
      <c r="CY66" s="73">
        <v>1</v>
      </c>
      <c r="CZ66" s="73"/>
      <c r="DA66" s="73"/>
      <c r="DB66" s="73"/>
      <c r="DC66" s="73"/>
      <c r="DD66" s="73"/>
      <c r="DE66" s="73"/>
      <c r="DF66" s="73"/>
      <c r="DG66" s="73"/>
      <c r="DH66" s="73"/>
      <c r="DI66" s="73"/>
      <c r="DJ66" s="73"/>
      <c r="DK66" s="73"/>
      <c r="DL66" s="73"/>
      <c r="DM66" s="73"/>
      <c r="DN66" s="73"/>
      <c r="DO66" s="73">
        <v>1</v>
      </c>
      <c r="DP66" s="73"/>
      <c r="DQ66" s="73"/>
      <c r="DR66" s="73"/>
      <c r="DS66" s="73"/>
      <c r="DT66" s="73"/>
      <c r="DU66" s="73">
        <v>1</v>
      </c>
      <c r="DV66" s="73"/>
      <c r="DW66" s="73"/>
      <c r="DX66" s="73">
        <v>1</v>
      </c>
      <c r="DY66" s="43"/>
      <c r="EA66" s="29"/>
      <c r="FR66" s="20"/>
      <c r="FS66" s="20"/>
      <c r="FT66" s="20"/>
    </row>
    <row r="67" spans="1:177" s="13" customFormat="1" ht="13.2" customHeight="1" x14ac:dyDescent="0.25">
      <c r="A67" s="179"/>
      <c r="B67" s="180"/>
      <c r="C67" s="10">
        <f>C106+1</f>
        <v>10</v>
      </c>
      <c r="D67" s="10">
        <f>J160+1</f>
        <v>9</v>
      </c>
      <c r="E67" s="10">
        <f>C91+1</f>
        <v>11</v>
      </c>
      <c r="F67" s="10">
        <f>J85+1</f>
        <v>5</v>
      </c>
      <c r="G67" s="10">
        <f>G148+1</f>
        <v>5</v>
      </c>
      <c r="H67" s="10">
        <f>G130+1</f>
        <v>8</v>
      </c>
      <c r="I67" s="44"/>
      <c r="J67" s="156">
        <f>H79+1</f>
        <v>7</v>
      </c>
      <c r="K67" s="44"/>
      <c r="L67" s="159"/>
      <c r="M67" s="44"/>
      <c r="N67" s="83">
        <v>61</v>
      </c>
      <c r="O67" s="83">
        <v>62</v>
      </c>
      <c r="P67" s="83">
        <v>63</v>
      </c>
      <c r="Q67" s="6">
        <v>64</v>
      </c>
      <c r="R67" s="83">
        <v>65</v>
      </c>
      <c r="S67" s="83">
        <v>66</v>
      </c>
      <c r="T67" s="83">
        <v>67</v>
      </c>
      <c r="U67" s="6">
        <v>68</v>
      </c>
      <c r="V67" s="83">
        <v>69</v>
      </c>
      <c r="W67" s="84">
        <v>70</v>
      </c>
      <c r="X67" s="45"/>
      <c r="Y67" s="83">
        <v>61</v>
      </c>
      <c r="Z67" s="83">
        <v>62</v>
      </c>
      <c r="AA67" s="83">
        <v>63</v>
      </c>
      <c r="AB67" s="83">
        <v>64</v>
      </c>
      <c r="AC67" s="83">
        <v>65</v>
      </c>
      <c r="AD67" s="83">
        <v>66</v>
      </c>
      <c r="AE67" s="83">
        <v>67</v>
      </c>
      <c r="AF67" s="83">
        <v>68</v>
      </c>
      <c r="AG67" s="83">
        <v>69</v>
      </c>
      <c r="AH67" s="84">
        <v>70</v>
      </c>
      <c r="AI67" s="149"/>
      <c r="AJ67" s="19"/>
      <c r="AK67" s="19"/>
      <c r="AL67" s="19"/>
      <c r="AM67" s="19"/>
      <c r="AN67" s="42"/>
      <c r="AO67" s="54"/>
      <c r="AP67" s="19"/>
      <c r="AR67" s="97"/>
      <c r="AS67" s="42"/>
      <c r="AT67" s="112">
        <v>45</v>
      </c>
      <c r="AU67" s="112">
        <v>82</v>
      </c>
      <c r="AV67" s="108">
        <v>14</v>
      </c>
      <c r="AW67" s="132">
        <v>46123</v>
      </c>
      <c r="AX67" s="111"/>
      <c r="AY67" s="112"/>
      <c r="AZ67" s="112"/>
      <c r="BA67" s="112"/>
      <c r="BB67" s="112"/>
      <c r="BC67" s="111"/>
      <c r="BD67" s="108"/>
      <c r="BE67" s="108"/>
      <c r="BF67" s="108"/>
      <c r="BG67" s="112"/>
      <c r="BH67" s="43"/>
      <c r="BI67" s="53">
        <v>46001</v>
      </c>
      <c r="BJ67" s="64">
        <v>54</v>
      </c>
      <c r="BK67" s="66">
        <v>54</v>
      </c>
      <c r="BL67" s="64">
        <v>66</v>
      </c>
      <c r="BM67" s="64">
        <v>43</v>
      </c>
      <c r="BN67" s="64">
        <v>2</v>
      </c>
      <c r="BO67" s="68">
        <v>2</v>
      </c>
      <c r="BP67" s="68">
        <v>3</v>
      </c>
      <c r="BQ67" s="68">
        <v>2</v>
      </c>
      <c r="BR67" s="68">
        <v>3</v>
      </c>
      <c r="BS67" s="68">
        <v>3</v>
      </c>
      <c r="BT67" s="68">
        <v>2</v>
      </c>
      <c r="BU67" s="68">
        <v>1</v>
      </c>
      <c r="BV67" s="68">
        <v>1</v>
      </c>
      <c r="BW67" s="68"/>
      <c r="BX67" s="68"/>
      <c r="BY67" s="68">
        <v>1</v>
      </c>
      <c r="BZ67" s="68"/>
      <c r="CA67" s="68">
        <v>1</v>
      </c>
      <c r="CB67" s="68"/>
      <c r="CC67" s="68"/>
      <c r="CD67" s="68"/>
      <c r="CE67" s="68">
        <v>1</v>
      </c>
      <c r="CF67" s="68">
        <v>1</v>
      </c>
      <c r="CG67" s="68">
        <v>1</v>
      </c>
      <c r="CH67" s="68"/>
      <c r="CI67" s="68">
        <v>2</v>
      </c>
      <c r="CJ67" s="68">
        <v>1</v>
      </c>
      <c r="CK67" s="68"/>
      <c r="CL67" s="68">
        <v>2</v>
      </c>
      <c r="CM67" s="68"/>
      <c r="CN67" s="68"/>
      <c r="CO67" s="68"/>
      <c r="CP67" s="68">
        <v>1</v>
      </c>
      <c r="CQ67" s="68">
        <v>1</v>
      </c>
      <c r="CR67" s="68">
        <v>1</v>
      </c>
      <c r="CS67" s="68"/>
      <c r="CT67" s="68"/>
      <c r="CU67" s="68"/>
      <c r="CV67" s="68"/>
      <c r="CW67" s="68">
        <v>1</v>
      </c>
      <c r="CX67" s="68"/>
      <c r="CY67" s="68"/>
      <c r="CZ67" s="68"/>
      <c r="DA67" s="68"/>
      <c r="DB67" s="68"/>
      <c r="DC67" s="68"/>
      <c r="DD67" s="68">
        <v>1</v>
      </c>
      <c r="DE67" s="68"/>
      <c r="DF67" s="68">
        <v>1</v>
      </c>
      <c r="DG67" s="68"/>
      <c r="DH67" s="68">
        <v>1</v>
      </c>
      <c r="DI67" s="68"/>
      <c r="DJ67" s="68"/>
      <c r="DK67" s="68"/>
      <c r="DL67" s="68">
        <v>1</v>
      </c>
      <c r="DM67" s="68"/>
      <c r="DN67" s="68"/>
      <c r="DO67" s="68"/>
      <c r="DP67" s="68"/>
      <c r="DQ67" s="68"/>
      <c r="DR67" s="68"/>
      <c r="DS67" s="68"/>
      <c r="DT67" s="68">
        <v>1</v>
      </c>
      <c r="DU67" s="68"/>
      <c r="DV67" s="68"/>
      <c r="DW67" s="68"/>
      <c r="DX67" s="68">
        <v>2</v>
      </c>
      <c r="DY67" s="43"/>
      <c r="EA67" s="29"/>
      <c r="FR67" s="20"/>
      <c r="FS67" s="20"/>
      <c r="FT67" s="20"/>
    </row>
    <row r="68" spans="1:177" s="13" customFormat="1" ht="12.6" customHeight="1" x14ac:dyDescent="0.25">
      <c r="A68" s="177">
        <v>94</v>
      </c>
      <c r="B68" s="180">
        <v>22</v>
      </c>
      <c r="C68" s="14">
        <f>A68-A104-1</f>
        <v>11</v>
      </c>
      <c r="D68" s="14">
        <f>A68-A113-1</f>
        <v>14</v>
      </c>
      <c r="E68" s="14">
        <f>A68-A83-1</f>
        <v>4</v>
      </c>
      <c r="F68" s="14">
        <f>A68-A104-1</f>
        <v>11</v>
      </c>
      <c r="G68" s="14">
        <f>A68-A83-1</f>
        <v>4</v>
      </c>
      <c r="H68" s="14">
        <f>A68-A80-1</f>
        <v>3</v>
      </c>
      <c r="I68" s="44"/>
      <c r="J68" s="156">
        <f>A68-A83-1</f>
        <v>4</v>
      </c>
      <c r="K68" s="44"/>
      <c r="M68" s="44"/>
      <c r="N68" s="83">
        <v>71</v>
      </c>
      <c r="O68" s="83">
        <v>72</v>
      </c>
      <c r="P68" s="83">
        <v>73</v>
      </c>
      <c r="Q68" s="83">
        <v>74</v>
      </c>
      <c r="R68" s="83">
        <v>75</v>
      </c>
      <c r="S68" s="83">
        <v>76</v>
      </c>
      <c r="T68" s="83">
        <v>77</v>
      </c>
      <c r="U68" s="6">
        <v>78</v>
      </c>
      <c r="V68" s="83">
        <v>79</v>
      </c>
      <c r="W68" s="84">
        <v>80</v>
      </c>
      <c r="X68" s="45"/>
      <c r="Y68" s="83">
        <v>71</v>
      </c>
      <c r="Z68" s="83">
        <v>72</v>
      </c>
      <c r="AA68" s="83">
        <v>73</v>
      </c>
      <c r="AB68" s="83">
        <v>74</v>
      </c>
      <c r="AC68" s="83">
        <v>75</v>
      </c>
      <c r="AD68" s="83">
        <v>76</v>
      </c>
      <c r="AE68" s="83">
        <v>77</v>
      </c>
      <c r="AF68" s="83">
        <v>78</v>
      </c>
      <c r="AG68" s="83">
        <v>79</v>
      </c>
      <c r="AH68" s="84">
        <v>80</v>
      </c>
      <c r="AI68" s="149"/>
      <c r="AJ68" s="19"/>
      <c r="AK68" s="19"/>
      <c r="AL68" s="19"/>
      <c r="AM68" s="19"/>
      <c r="AN68" s="42"/>
      <c r="AO68" s="54"/>
      <c r="AP68" s="19"/>
      <c r="AR68" s="97"/>
      <c r="AS68" s="42"/>
      <c r="AT68" s="112">
        <v>52</v>
      </c>
      <c r="AU68" s="112">
        <v>56</v>
      </c>
      <c r="AV68" s="108">
        <v>14</v>
      </c>
      <c r="AW68" s="132">
        <v>46123</v>
      </c>
      <c r="AX68" s="111"/>
      <c r="AY68" s="112"/>
      <c r="AZ68" s="112"/>
      <c r="BA68" s="112"/>
      <c r="BB68" s="112"/>
      <c r="BC68" s="111"/>
      <c r="BD68" s="108"/>
      <c r="BE68" s="108"/>
      <c r="BF68" s="108"/>
      <c r="BG68" s="112"/>
      <c r="BH68" s="43"/>
      <c r="BI68" s="53">
        <v>46148</v>
      </c>
      <c r="BJ68" s="64">
        <v>55</v>
      </c>
      <c r="BK68" s="71">
        <v>55</v>
      </c>
      <c r="BL68" s="77">
        <v>3</v>
      </c>
      <c r="BM68" s="77">
        <v>57</v>
      </c>
      <c r="BN68" s="72">
        <v>8</v>
      </c>
      <c r="BO68" s="73">
        <v>1</v>
      </c>
      <c r="BP68" s="73">
        <v>5</v>
      </c>
      <c r="BQ68" s="73">
        <v>2</v>
      </c>
      <c r="BR68" s="73">
        <v>2</v>
      </c>
      <c r="BS68" s="73">
        <v>3</v>
      </c>
      <c r="BT68" s="73">
        <v>2</v>
      </c>
      <c r="BU68" s="73">
        <v>3</v>
      </c>
      <c r="BV68" s="73">
        <v>4</v>
      </c>
      <c r="BW68" s="73"/>
      <c r="BX68" s="73">
        <v>1</v>
      </c>
      <c r="BY68" s="73">
        <v>1</v>
      </c>
      <c r="BZ68" s="73">
        <v>1</v>
      </c>
      <c r="CA68" s="73">
        <v>1</v>
      </c>
      <c r="CB68" s="73">
        <v>5</v>
      </c>
      <c r="CC68" s="73">
        <v>1</v>
      </c>
      <c r="CD68" s="73">
        <v>1</v>
      </c>
      <c r="CE68" s="73">
        <v>2</v>
      </c>
      <c r="CF68" s="73">
        <v>1</v>
      </c>
      <c r="CG68" s="73"/>
      <c r="CH68" s="73"/>
      <c r="CI68" s="73">
        <v>1</v>
      </c>
      <c r="CJ68" s="73"/>
      <c r="CK68" s="73">
        <v>2</v>
      </c>
      <c r="CL68" s="73"/>
      <c r="CM68" s="73"/>
      <c r="CN68" s="73">
        <v>1</v>
      </c>
      <c r="CO68" s="73"/>
      <c r="CP68" s="73"/>
      <c r="CQ68" s="73">
        <v>2</v>
      </c>
      <c r="CR68" s="73">
        <v>1</v>
      </c>
      <c r="CS68" s="73"/>
      <c r="CT68" s="73">
        <v>1</v>
      </c>
      <c r="CU68" s="73"/>
      <c r="CV68" s="73"/>
      <c r="CW68" s="73"/>
      <c r="CX68" s="73"/>
      <c r="CY68" s="73">
        <v>1</v>
      </c>
      <c r="CZ68" s="73"/>
      <c r="DA68" s="73"/>
      <c r="DB68" s="73"/>
      <c r="DC68" s="73"/>
      <c r="DD68" s="73">
        <v>1</v>
      </c>
      <c r="DE68" s="73">
        <v>1</v>
      </c>
      <c r="DF68" s="73"/>
      <c r="DG68" s="73">
        <v>1</v>
      </c>
      <c r="DH68" s="73"/>
      <c r="DI68" s="73"/>
      <c r="DJ68" s="73"/>
      <c r="DK68" s="73"/>
      <c r="DL68" s="73"/>
      <c r="DM68" s="73">
        <v>1</v>
      </c>
      <c r="DN68" s="73"/>
      <c r="DO68" s="73"/>
      <c r="DP68" s="73"/>
      <c r="DQ68" s="73"/>
      <c r="DR68" s="73"/>
      <c r="DS68" s="73"/>
      <c r="DT68" s="73"/>
      <c r="DU68" s="73"/>
      <c r="DV68" s="73"/>
      <c r="DW68" s="73"/>
      <c r="DX68" s="73">
        <v>1</v>
      </c>
      <c r="DY68" s="43"/>
      <c r="EA68" s="29"/>
      <c r="FR68" s="20"/>
      <c r="FS68" s="20"/>
      <c r="FT68" s="20"/>
    </row>
    <row r="69" spans="1:177" s="13" customFormat="1" ht="12.6" customHeight="1" x14ac:dyDescent="0.25">
      <c r="A69" s="178"/>
      <c r="B69" s="180"/>
      <c r="C69" s="114">
        <v>14</v>
      </c>
      <c r="D69" s="115">
        <v>19</v>
      </c>
      <c r="E69" s="115">
        <v>40</v>
      </c>
      <c r="F69" s="115">
        <v>41</v>
      </c>
      <c r="G69" s="115">
        <v>43</v>
      </c>
      <c r="H69" s="115">
        <v>78</v>
      </c>
      <c r="I69" s="44"/>
      <c r="J69" s="115">
        <v>46</v>
      </c>
      <c r="K69" s="44"/>
      <c r="L69" s="159">
        <v>46106</v>
      </c>
      <c r="M69" s="44"/>
      <c r="N69" s="83">
        <v>81</v>
      </c>
      <c r="O69" s="83">
        <v>82</v>
      </c>
      <c r="P69" s="83">
        <v>83</v>
      </c>
      <c r="Q69" s="6">
        <v>84</v>
      </c>
      <c r="R69" s="83">
        <v>85</v>
      </c>
      <c r="S69" s="83">
        <v>86</v>
      </c>
      <c r="T69" s="83">
        <v>87</v>
      </c>
      <c r="U69" s="6">
        <v>88</v>
      </c>
      <c r="V69" s="83">
        <v>89</v>
      </c>
      <c r="W69" s="84">
        <v>90</v>
      </c>
      <c r="X69" s="45"/>
      <c r="Y69" s="6">
        <v>81</v>
      </c>
      <c r="Z69" s="83">
        <v>82</v>
      </c>
      <c r="AA69" s="83">
        <v>83</v>
      </c>
      <c r="AB69" s="83">
        <v>84</v>
      </c>
      <c r="AC69" s="83">
        <v>85</v>
      </c>
      <c r="AD69" s="83">
        <v>86</v>
      </c>
      <c r="AE69" s="83">
        <v>87</v>
      </c>
      <c r="AF69" s="83">
        <v>88</v>
      </c>
      <c r="AG69" s="83">
        <v>89</v>
      </c>
      <c r="AH69" s="84">
        <v>90</v>
      </c>
      <c r="AI69" s="149"/>
      <c r="AJ69" s="19"/>
      <c r="AK69" s="19"/>
      <c r="AL69" s="19"/>
      <c r="AM69" s="19"/>
      <c r="AN69" s="42"/>
      <c r="AO69" s="54"/>
      <c r="AP69" s="19"/>
      <c r="AR69" s="97"/>
      <c r="AS69" s="42"/>
      <c r="AT69" s="112"/>
      <c r="AU69" s="112"/>
      <c r="AV69" s="108"/>
      <c r="AW69" s="132"/>
      <c r="AX69" s="111"/>
      <c r="AY69" s="112"/>
      <c r="AZ69" s="112"/>
      <c r="BA69" s="112"/>
      <c r="BB69" s="112"/>
      <c r="BC69" s="111"/>
      <c r="BD69" s="108"/>
      <c r="BE69" s="108"/>
      <c r="BF69" s="108"/>
      <c r="BG69" s="112"/>
      <c r="BH69" s="43"/>
      <c r="BI69" s="53">
        <v>46127</v>
      </c>
      <c r="BJ69" s="64">
        <v>56</v>
      </c>
      <c r="BK69" s="66">
        <v>56</v>
      </c>
      <c r="BL69" s="64">
        <v>12</v>
      </c>
      <c r="BM69" s="64">
        <v>70</v>
      </c>
      <c r="BN69" s="64">
        <v>8</v>
      </c>
      <c r="BO69" s="68">
        <v>6</v>
      </c>
      <c r="BP69" s="68">
        <v>7</v>
      </c>
      <c r="BQ69" s="68">
        <v>2</v>
      </c>
      <c r="BR69" s="68">
        <v>6</v>
      </c>
      <c r="BS69" s="68">
        <v>3</v>
      </c>
      <c r="BT69" s="68">
        <v>2</v>
      </c>
      <c r="BU69" s="68">
        <v>5</v>
      </c>
      <c r="BV69" s="68">
        <v>4</v>
      </c>
      <c r="BW69" s="68">
        <v>1</v>
      </c>
      <c r="BX69" s="68"/>
      <c r="BY69" s="68">
        <v>4</v>
      </c>
      <c r="BZ69" s="68"/>
      <c r="CA69" s="68"/>
      <c r="CB69" s="68">
        <v>2</v>
      </c>
      <c r="CC69" s="68">
        <v>1</v>
      </c>
      <c r="CD69" s="68">
        <v>2</v>
      </c>
      <c r="CE69" s="68">
        <v>1</v>
      </c>
      <c r="CF69" s="68">
        <v>2</v>
      </c>
      <c r="CG69" s="68">
        <v>3</v>
      </c>
      <c r="CH69" s="68">
        <v>1</v>
      </c>
      <c r="CI69" s="68"/>
      <c r="CJ69" s="68">
        <v>1</v>
      </c>
      <c r="CK69" s="68"/>
      <c r="CL69" s="68">
        <v>2</v>
      </c>
      <c r="CM69" s="68">
        <v>1</v>
      </c>
      <c r="CN69" s="68"/>
      <c r="CO69" s="68"/>
      <c r="CP69" s="68">
        <v>1</v>
      </c>
      <c r="CQ69" s="68">
        <v>1</v>
      </c>
      <c r="CR69" s="68">
        <v>3</v>
      </c>
      <c r="CS69" s="68"/>
      <c r="CT69" s="68"/>
      <c r="CU69" s="68"/>
      <c r="CV69" s="68"/>
      <c r="CW69" s="68"/>
      <c r="CX69" s="68"/>
      <c r="CY69" s="68"/>
      <c r="CZ69" s="68"/>
      <c r="DA69" s="68"/>
      <c r="DB69" s="68"/>
      <c r="DC69" s="68">
        <v>1</v>
      </c>
      <c r="DD69" s="68"/>
      <c r="DE69" s="68"/>
      <c r="DF69" s="68">
        <v>1</v>
      </c>
      <c r="DG69" s="68"/>
      <c r="DH69" s="68">
        <v>1</v>
      </c>
      <c r="DI69" s="68"/>
      <c r="DJ69" s="68"/>
      <c r="DK69" s="68"/>
      <c r="DL69" s="68"/>
      <c r="DM69" s="68"/>
      <c r="DN69" s="68"/>
      <c r="DO69" s="68"/>
      <c r="DP69" s="68"/>
      <c r="DQ69" s="68"/>
      <c r="DR69" s="68"/>
      <c r="DS69" s="68"/>
      <c r="DT69" s="68"/>
      <c r="DU69" s="68"/>
      <c r="DV69" s="68"/>
      <c r="DW69" s="68"/>
      <c r="DX69" s="68"/>
      <c r="DY69" s="43"/>
      <c r="EA69" s="29"/>
      <c r="EB69" s="9"/>
      <c r="EC69" s="29"/>
      <c r="ED69" s="21"/>
      <c r="EE69" s="21"/>
      <c r="EF69" s="21"/>
      <c r="EG69" s="161"/>
      <c r="EH69" s="30"/>
      <c r="EI69" s="51"/>
      <c r="EJ69" s="49"/>
      <c r="EK69" s="50"/>
      <c r="EL69" s="50"/>
      <c r="EM69" s="50"/>
      <c r="EN69" s="50"/>
      <c r="EO69" s="28"/>
      <c r="EP69" s="27"/>
      <c r="EQ69" s="27"/>
      <c r="ER69" s="20"/>
      <c r="ES69" s="23"/>
      <c r="ET69" s="23"/>
      <c r="EU69" s="23"/>
      <c r="EV69" s="23"/>
      <c r="EW69" s="23"/>
      <c r="EX69" s="23"/>
      <c r="EY69" s="23"/>
      <c r="EZ69" s="23"/>
      <c r="FA69" s="20"/>
      <c r="FB69" s="23"/>
      <c r="FC69" s="23"/>
      <c r="FD69" s="23"/>
      <c r="FE69" s="23"/>
      <c r="FF69" s="23"/>
      <c r="FG69" s="23"/>
      <c r="FH69" s="23"/>
      <c r="FI69" s="23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</row>
    <row r="70" spans="1:177" s="13" customFormat="1" ht="13.2" customHeight="1" x14ac:dyDescent="0.25">
      <c r="A70" s="179"/>
      <c r="B70" s="180"/>
      <c r="C70" s="10">
        <f>D106+1</f>
        <v>14</v>
      </c>
      <c r="D70" s="10">
        <f>D115+1</f>
        <v>7</v>
      </c>
      <c r="E70" s="10">
        <f>E85+1</f>
        <v>10</v>
      </c>
      <c r="F70" s="10">
        <f>G106+1</f>
        <v>12</v>
      </c>
      <c r="G70" s="10">
        <f>F85+1</f>
        <v>8</v>
      </c>
      <c r="H70" s="10">
        <f>G82+1</f>
        <v>5</v>
      </c>
      <c r="I70" s="44"/>
      <c r="J70" s="156">
        <f>G85+1</f>
        <v>6</v>
      </c>
      <c r="K70" s="44"/>
      <c r="L70" s="159"/>
      <c r="M70" s="44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45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49"/>
      <c r="AJ70" s="19"/>
      <c r="AK70" s="19"/>
      <c r="AL70" s="19"/>
      <c r="AM70" s="19"/>
      <c r="AN70" s="42"/>
      <c r="AO70" s="54"/>
      <c r="AP70" s="19"/>
      <c r="AR70" s="97"/>
      <c r="AS70" s="42"/>
      <c r="AT70" s="112"/>
      <c r="AU70" s="112"/>
      <c r="AV70" s="108"/>
      <c r="AW70" s="132"/>
      <c r="AX70" s="111"/>
      <c r="AY70" s="112"/>
      <c r="AZ70" s="112"/>
      <c r="BA70" s="112"/>
      <c r="BB70" s="112"/>
      <c r="BC70" s="111"/>
      <c r="BD70" s="108"/>
      <c r="BE70" s="108"/>
      <c r="BF70" s="108"/>
      <c r="BG70" s="112"/>
      <c r="BH70" s="43"/>
      <c r="BI70" s="53">
        <v>46092</v>
      </c>
      <c r="BJ70" s="64">
        <v>57</v>
      </c>
      <c r="BK70" s="71">
        <v>57</v>
      </c>
      <c r="BL70" s="77">
        <v>27</v>
      </c>
      <c r="BM70" s="77">
        <v>62</v>
      </c>
      <c r="BN70" s="72">
        <v>13</v>
      </c>
      <c r="BO70" s="73">
        <v>8</v>
      </c>
      <c r="BP70" s="73">
        <v>3</v>
      </c>
      <c r="BQ70" s="73">
        <v>2</v>
      </c>
      <c r="BR70" s="73">
        <v>4</v>
      </c>
      <c r="BS70" s="73">
        <v>2</v>
      </c>
      <c r="BT70" s="73"/>
      <c r="BU70" s="73">
        <v>3</v>
      </c>
      <c r="BV70" s="73">
        <v>5</v>
      </c>
      <c r="BW70" s="73"/>
      <c r="BX70" s="73">
        <v>2</v>
      </c>
      <c r="BY70" s="73">
        <v>2</v>
      </c>
      <c r="BZ70" s="73">
        <v>2</v>
      </c>
      <c r="CA70" s="73">
        <v>1</v>
      </c>
      <c r="CB70" s="73">
        <v>2</v>
      </c>
      <c r="CC70" s="73">
        <v>3</v>
      </c>
      <c r="CD70" s="73">
        <v>1</v>
      </c>
      <c r="CE70" s="73"/>
      <c r="CF70" s="73">
        <v>1</v>
      </c>
      <c r="CG70" s="73">
        <v>2</v>
      </c>
      <c r="CH70" s="73">
        <v>1</v>
      </c>
      <c r="CI70" s="73">
        <v>2</v>
      </c>
      <c r="CJ70" s="73"/>
      <c r="CK70" s="73">
        <v>1</v>
      </c>
      <c r="CL70" s="73">
        <v>2</v>
      </c>
      <c r="CM70" s="73"/>
      <c r="CN70" s="73">
        <v>1</v>
      </c>
      <c r="CO70" s="73"/>
      <c r="CP70" s="73">
        <v>1</v>
      </c>
      <c r="CQ70" s="73">
        <v>1</v>
      </c>
      <c r="CR70" s="73"/>
      <c r="CS70" s="73"/>
      <c r="CT70" s="73"/>
      <c r="CU70" s="73">
        <v>1</v>
      </c>
      <c r="CV70" s="73"/>
      <c r="CW70" s="73"/>
      <c r="CX70" s="73"/>
      <c r="CY70" s="73"/>
      <c r="CZ70" s="73"/>
      <c r="DA70" s="73"/>
      <c r="DB70" s="73">
        <v>1</v>
      </c>
      <c r="DC70" s="73"/>
      <c r="DD70" s="73">
        <v>1</v>
      </c>
      <c r="DE70" s="73"/>
      <c r="DF70" s="73"/>
      <c r="DG70" s="73">
        <v>1</v>
      </c>
      <c r="DH70" s="73"/>
      <c r="DI70" s="73"/>
      <c r="DJ70" s="73"/>
      <c r="DK70" s="73">
        <v>1</v>
      </c>
      <c r="DL70" s="73"/>
      <c r="DM70" s="73"/>
      <c r="DN70" s="73"/>
      <c r="DO70" s="73"/>
      <c r="DP70" s="73"/>
      <c r="DQ70" s="73"/>
      <c r="DR70" s="73">
        <v>1</v>
      </c>
      <c r="DS70" s="73"/>
      <c r="DT70" s="73"/>
      <c r="DU70" s="73"/>
      <c r="DV70" s="73"/>
      <c r="DW70" s="73"/>
      <c r="DX70" s="73"/>
      <c r="DY70" s="43"/>
      <c r="EA70" s="29"/>
    </row>
    <row r="71" spans="1:177" s="13" customFormat="1" ht="13.2" customHeight="1" x14ac:dyDescent="0.25">
      <c r="A71" s="177">
        <v>93</v>
      </c>
      <c r="B71" s="180">
        <v>23</v>
      </c>
      <c r="C71" s="14">
        <f>A71-A218-1</f>
        <v>48</v>
      </c>
      <c r="D71" s="14">
        <f>A71-A137-1</f>
        <v>21</v>
      </c>
      <c r="E71" s="14">
        <f>A71-A137-1</f>
        <v>21</v>
      </c>
      <c r="F71" s="14">
        <f>A71-A122-1</f>
        <v>16</v>
      </c>
      <c r="G71" s="14">
        <f>A71-A74-1</f>
        <v>0</v>
      </c>
      <c r="H71" s="14">
        <f>A71-A110-1</f>
        <v>12</v>
      </c>
      <c r="I71" s="44"/>
      <c r="J71" s="156">
        <f>A71-A83-1</f>
        <v>3</v>
      </c>
      <c r="K71" s="44"/>
      <c r="L71" s="188">
        <v>46104</v>
      </c>
      <c r="M71" s="44"/>
      <c r="N71" s="174">
        <v>46137</v>
      </c>
      <c r="O71" s="175"/>
      <c r="P71" s="175"/>
      <c r="Q71" s="175"/>
      <c r="R71" s="175"/>
      <c r="S71" s="175"/>
      <c r="T71" s="175"/>
      <c r="U71" s="175"/>
      <c r="V71" s="175"/>
      <c r="W71" s="176"/>
      <c r="X71" s="44"/>
      <c r="Y71" s="174">
        <v>46134</v>
      </c>
      <c r="Z71" s="175"/>
      <c r="AA71" s="175"/>
      <c r="AB71" s="175"/>
      <c r="AC71" s="175"/>
      <c r="AD71" s="175"/>
      <c r="AE71" s="175"/>
      <c r="AF71" s="175"/>
      <c r="AG71" s="175"/>
      <c r="AH71" s="176"/>
      <c r="AI71" s="149"/>
      <c r="AJ71" s="19"/>
      <c r="AK71" s="19"/>
      <c r="AL71" s="19"/>
      <c r="AM71" s="19"/>
      <c r="AN71" s="42"/>
      <c r="AO71" s="54"/>
      <c r="AP71" s="19"/>
      <c r="AR71" s="97"/>
      <c r="AS71" s="42"/>
      <c r="AT71" s="112"/>
      <c r="AU71" s="112"/>
      <c r="AV71" s="108"/>
      <c r="AW71" s="132"/>
      <c r="AX71" s="111"/>
      <c r="AY71" s="112"/>
      <c r="AZ71" s="112"/>
      <c r="BA71" s="112"/>
      <c r="BB71" s="112"/>
      <c r="BC71" s="111"/>
      <c r="BD71" s="108"/>
      <c r="BE71" s="108"/>
      <c r="BF71" s="108"/>
      <c r="BG71" s="112"/>
      <c r="BH71" s="43"/>
      <c r="BI71" s="53">
        <v>46083</v>
      </c>
      <c r="BJ71" s="64">
        <v>58</v>
      </c>
      <c r="BK71" s="66">
        <v>58</v>
      </c>
      <c r="BL71" s="63">
        <v>31</v>
      </c>
      <c r="BM71" s="63">
        <v>56</v>
      </c>
      <c r="BN71" s="64">
        <v>5</v>
      </c>
      <c r="BO71" s="68">
        <v>1</v>
      </c>
      <c r="BP71" s="68">
        <v>2</v>
      </c>
      <c r="BQ71" s="68">
        <v>5</v>
      </c>
      <c r="BR71" s="68"/>
      <c r="BS71" s="68">
        <v>1</v>
      </c>
      <c r="BT71" s="68">
        <v>5</v>
      </c>
      <c r="BU71" s="68">
        <v>1</v>
      </c>
      <c r="BV71" s="68">
        <v>3</v>
      </c>
      <c r="BW71" s="68">
        <v>2</v>
      </c>
      <c r="BX71" s="68">
        <v>2</v>
      </c>
      <c r="BY71" s="68">
        <v>1</v>
      </c>
      <c r="BZ71" s="68">
        <v>1</v>
      </c>
      <c r="CA71" s="68"/>
      <c r="CB71" s="68">
        <v>1</v>
      </c>
      <c r="CC71" s="68">
        <v>2</v>
      </c>
      <c r="CD71" s="68"/>
      <c r="CE71" s="68">
        <v>2</v>
      </c>
      <c r="CF71" s="68">
        <v>4</v>
      </c>
      <c r="CG71" s="68">
        <v>2</v>
      </c>
      <c r="CH71" s="68">
        <v>2</v>
      </c>
      <c r="CI71" s="68">
        <v>1</v>
      </c>
      <c r="CJ71" s="68">
        <v>1</v>
      </c>
      <c r="CK71" s="68">
        <v>2</v>
      </c>
      <c r="CL71" s="68">
        <v>2</v>
      </c>
      <c r="CM71" s="68">
        <v>1</v>
      </c>
      <c r="CN71" s="68"/>
      <c r="CO71" s="68">
        <v>1</v>
      </c>
      <c r="CP71" s="68">
        <v>1</v>
      </c>
      <c r="CQ71" s="68"/>
      <c r="CR71" s="68"/>
      <c r="CS71" s="68"/>
      <c r="CT71" s="68"/>
      <c r="CU71" s="68"/>
      <c r="CV71" s="68"/>
      <c r="CW71" s="68"/>
      <c r="CX71" s="68"/>
      <c r="CY71" s="68">
        <v>2</v>
      </c>
      <c r="CZ71" s="68">
        <v>1</v>
      </c>
      <c r="DA71" s="68"/>
      <c r="DB71" s="68"/>
      <c r="DC71" s="68"/>
      <c r="DD71" s="68"/>
      <c r="DE71" s="68"/>
      <c r="DF71" s="68"/>
      <c r="DG71" s="68"/>
      <c r="DH71" s="68"/>
      <c r="DI71" s="68"/>
      <c r="DJ71" s="68">
        <v>1</v>
      </c>
      <c r="DK71" s="68"/>
      <c r="DL71" s="68"/>
      <c r="DM71" s="68"/>
      <c r="DN71" s="68"/>
      <c r="DO71" s="68"/>
      <c r="DP71" s="68"/>
      <c r="DQ71" s="68">
        <v>1</v>
      </c>
      <c r="DR71" s="68"/>
      <c r="DS71" s="68"/>
      <c r="DT71" s="68"/>
      <c r="DU71" s="68"/>
      <c r="DV71" s="68"/>
      <c r="DW71" s="68"/>
      <c r="DX71" s="68"/>
      <c r="DY71" s="43"/>
      <c r="EA71" s="29"/>
      <c r="EB71" s="12"/>
      <c r="EC71" s="12"/>
      <c r="ED71" s="174" t="s">
        <v>84</v>
      </c>
      <c r="EE71" s="183"/>
      <c r="EF71" s="183"/>
      <c r="EG71" s="183"/>
      <c r="EH71" s="183"/>
      <c r="EI71" s="183"/>
      <c r="EJ71" s="183"/>
      <c r="EK71" s="183"/>
      <c r="EL71" s="183"/>
      <c r="EM71" s="184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</row>
    <row r="72" spans="1:177" s="13" customFormat="1" ht="13.2" customHeight="1" x14ac:dyDescent="0.25">
      <c r="A72" s="178"/>
      <c r="B72" s="180"/>
      <c r="C72" s="114">
        <v>20</v>
      </c>
      <c r="D72" s="115">
        <v>28</v>
      </c>
      <c r="E72" s="115">
        <v>31</v>
      </c>
      <c r="F72" s="115">
        <v>45</v>
      </c>
      <c r="G72" s="115">
        <v>67</v>
      </c>
      <c r="H72" s="115">
        <v>68</v>
      </c>
      <c r="I72" s="44"/>
      <c r="J72" s="115">
        <v>24</v>
      </c>
      <c r="K72" s="44"/>
      <c r="L72" s="188"/>
      <c r="M72" s="44"/>
      <c r="N72" s="119">
        <v>1</v>
      </c>
      <c r="O72" s="119">
        <v>2</v>
      </c>
      <c r="P72" s="119">
        <v>3</v>
      </c>
      <c r="Q72" s="119">
        <v>4</v>
      </c>
      <c r="R72" s="119">
        <v>5</v>
      </c>
      <c r="S72" s="119">
        <v>6</v>
      </c>
      <c r="T72" s="119">
        <v>7</v>
      </c>
      <c r="U72" s="119">
        <v>8</v>
      </c>
      <c r="V72" s="119">
        <v>9</v>
      </c>
      <c r="W72" s="70">
        <v>10</v>
      </c>
      <c r="X72" s="44"/>
      <c r="Y72" s="119">
        <v>3</v>
      </c>
      <c r="Z72" s="119">
        <v>2</v>
      </c>
      <c r="AA72" s="119">
        <v>3</v>
      </c>
      <c r="AB72" s="119">
        <v>4</v>
      </c>
      <c r="AC72" s="119">
        <v>5</v>
      </c>
      <c r="AD72" s="119">
        <v>6</v>
      </c>
      <c r="AE72" s="119">
        <v>7</v>
      </c>
      <c r="AF72" s="119">
        <v>8</v>
      </c>
      <c r="AG72" s="119">
        <v>9</v>
      </c>
      <c r="AH72" s="154">
        <v>10</v>
      </c>
      <c r="AI72" s="149"/>
      <c r="AJ72" s="19"/>
      <c r="AK72" s="19"/>
      <c r="AL72" s="19"/>
      <c r="AM72" s="19"/>
      <c r="AN72" s="42"/>
      <c r="AO72" s="54"/>
      <c r="AP72" s="19"/>
      <c r="AR72" s="98"/>
      <c r="AS72" s="42"/>
      <c r="AT72" s="112"/>
      <c r="AU72" s="112"/>
      <c r="AV72" s="108"/>
      <c r="AW72" s="132"/>
      <c r="AX72" s="111"/>
      <c r="AY72" s="112"/>
      <c r="AZ72" s="112"/>
      <c r="BA72" s="112"/>
      <c r="BB72" s="112"/>
      <c r="BC72" s="111"/>
      <c r="BD72" s="108"/>
      <c r="BE72" s="108"/>
      <c r="BF72" s="108"/>
      <c r="BG72" s="112"/>
      <c r="BH72" s="43"/>
      <c r="BI72" s="53">
        <v>46155</v>
      </c>
      <c r="BJ72" s="64">
        <v>59</v>
      </c>
      <c r="BK72" s="71">
        <v>59</v>
      </c>
      <c r="BL72" s="77" t="s">
        <v>0</v>
      </c>
      <c r="BM72" s="77">
        <v>57</v>
      </c>
      <c r="BN72" s="72">
        <v>8</v>
      </c>
      <c r="BO72" s="73">
        <v>2</v>
      </c>
      <c r="BP72" s="73">
        <v>5</v>
      </c>
      <c r="BQ72" s="73">
        <v>4</v>
      </c>
      <c r="BR72" s="73">
        <v>2</v>
      </c>
      <c r="BS72" s="73">
        <v>3</v>
      </c>
      <c r="BT72" s="73">
        <v>3</v>
      </c>
      <c r="BU72" s="73"/>
      <c r="BV72" s="73">
        <v>3</v>
      </c>
      <c r="BW72" s="73">
        <v>4</v>
      </c>
      <c r="BX72" s="73"/>
      <c r="BY72" s="73">
        <v>1</v>
      </c>
      <c r="BZ72" s="73">
        <v>2</v>
      </c>
      <c r="CA72" s="73">
        <v>1</v>
      </c>
      <c r="CB72" s="73"/>
      <c r="CC72" s="73">
        <v>3</v>
      </c>
      <c r="CD72" s="73">
        <v>2</v>
      </c>
      <c r="CE72" s="73">
        <v>1</v>
      </c>
      <c r="CF72" s="73"/>
      <c r="CG72" s="73">
        <v>2</v>
      </c>
      <c r="CH72" s="73">
        <v>1</v>
      </c>
      <c r="CI72" s="73">
        <v>2</v>
      </c>
      <c r="CJ72" s="73">
        <v>2</v>
      </c>
      <c r="CK72" s="73"/>
      <c r="CL72" s="73">
        <v>1</v>
      </c>
      <c r="CM72" s="73">
        <v>2</v>
      </c>
      <c r="CN72" s="73"/>
      <c r="CO72" s="73">
        <v>1</v>
      </c>
      <c r="CP72" s="73"/>
      <c r="CQ72" s="73"/>
      <c r="CR72" s="73"/>
      <c r="CS72" s="73"/>
      <c r="CT72" s="73"/>
      <c r="CU72" s="73"/>
      <c r="CV72" s="73"/>
      <c r="CW72" s="73"/>
      <c r="CX72" s="73"/>
      <c r="CY72" s="73"/>
      <c r="CZ72" s="73"/>
      <c r="DA72" s="73"/>
      <c r="DB72" s="73">
        <v>1</v>
      </c>
      <c r="DC72" s="73"/>
      <c r="DD72" s="73"/>
      <c r="DE72" s="73">
        <v>1</v>
      </c>
      <c r="DF72" s="73"/>
      <c r="DG72" s="73"/>
      <c r="DH72" s="73"/>
      <c r="DI72" s="73"/>
      <c r="DJ72" s="73"/>
      <c r="DK72" s="73"/>
      <c r="DL72" s="73"/>
      <c r="DM72" s="73"/>
      <c r="DN72" s="73"/>
      <c r="DO72" s="73"/>
      <c r="DP72" s="73"/>
      <c r="DQ72" s="73"/>
      <c r="DR72" s="73"/>
      <c r="DS72" s="73"/>
      <c r="DT72" s="73"/>
      <c r="DU72" s="73"/>
      <c r="DV72" s="73"/>
      <c r="DW72" s="73"/>
      <c r="DX72" s="73">
        <v>3</v>
      </c>
      <c r="DY72" s="43"/>
      <c r="EA72" s="29"/>
      <c r="EB72" s="12"/>
      <c r="EC72" s="12"/>
      <c r="ED72" s="4">
        <v>1</v>
      </c>
      <c r="EE72" s="6">
        <v>2</v>
      </c>
      <c r="EF72" s="121">
        <v>3</v>
      </c>
      <c r="EG72" s="6">
        <v>4</v>
      </c>
      <c r="EH72" s="6">
        <v>5</v>
      </c>
      <c r="EI72" s="6">
        <v>6</v>
      </c>
      <c r="EJ72" s="4">
        <v>7</v>
      </c>
      <c r="EK72" s="6">
        <v>8</v>
      </c>
      <c r="EL72" s="121">
        <v>9</v>
      </c>
      <c r="EM72" s="41">
        <v>10</v>
      </c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</row>
    <row r="73" spans="1:177" s="13" customFormat="1" ht="13.2" customHeight="1" x14ac:dyDescent="0.25">
      <c r="A73" s="179"/>
      <c r="B73" s="180"/>
      <c r="C73" s="10">
        <f>D220+2</f>
        <v>5</v>
      </c>
      <c r="D73" s="10">
        <f>D139+1</f>
        <v>5</v>
      </c>
      <c r="E73" s="10">
        <f>E139+1</f>
        <v>7</v>
      </c>
      <c r="F73" s="10">
        <f>D124+1</f>
        <v>8</v>
      </c>
      <c r="G73" s="10">
        <f>G76+1</f>
        <v>10</v>
      </c>
      <c r="H73" s="10">
        <f>F112+1</f>
        <v>10</v>
      </c>
      <c r="I73" s="44"/>
      <c r="J73" s="156">
        <f>C85+1</f>
        <v>12</v>
      </c>
      <c r="K73" s="44"/>
      <c r="L73" s="188"/>
      <c r="M73" s="44"/>
      <c r="N73" s="119">
        <v>11</v>
      </c>
      <c r="O73" s="119">
        <v>12</v>
      </c>
      <c r="P73" s="119">
        <v>13</v>
      </c>
      <c r="Q73" s="119">
        <v>14</v>
      </c>
      <c r="R73" s="119">
        <v>15</v>
      </c>
      <c r="S73" s="119">
        <v>16</v>
      </c>
      <c r="T73" s="119">
        <v>17</v>
      </c>
      <c r="U73" s="119">
        <v>18</v>
      </c>
      <c r="V73" s="119">
        <v>19</v>
      </c>
      <c r="W73" s="119">
        <v>20</v>
      </c>
      <c r="X73" s="44"/>
      <c r="Y73" s="119">
        <v>11</v>
      </c>
      <c r="Z73" s="6">
        <v>12</v>
      </c>
      <c r="AA73" s="119">
        <v>13</v>
      </c>
      <c r="AB73" s="119">
        <v>14</v>
      </c>
      <c r="AC73" s="119">
        <v>15</v>
      </c>
      <c r="AD73" s="119">
        <v>16</v>
      </c>
      <c r="AE73" s="6">
        <v>17</v>
      </c>
      <c r="AF73" s="119">
        <v>18</v>
      </c>
      <c r="AG73" s="119">
        <v>19</v>
      </c>
      <c r="AH73" s="119">
        <v>20</v>
      </c>
      <c r="AI73" s="149"/>
      <c r="AJ73" s="19"/>
      <c r="AK73" s="19"/>
      <c r="AL73" s="19"/>
      <c r="AM73" s="19"/>
      <c r="AN73" s="42"/>
      <c r="AO73" s="54"/>
      <c r="AP73" s="19"/>
      <c r="AR73" s="74"/>
      <c r="AS73" s="42"/>
      <c r="AT73" s="54"/>
      <c r="AU73" s="54"/>
      <c r="AV73" s="19"/>
      <c r="AW73" s="113"/>
      <c r="AX73" s="57"/>
      <c r="AY73" s="54"/>
      <c r="AZ73" s="54"/>
      <c r="BA73" s="54"/>
      <c r="BB73" s="54"/>
      <c r="BC73" s="57"/>
      <c r="BD73" s="19"/>
      <c r="BE73" s="19"/>
      <c r="BF73" s="19"/>
      <c r="BG73" s="54"/>
      <c r="BH73" s="43"/>
      <c r="BI73" s="53">
        <v>46146</v>
      </c>
      <c r="BJ73" s="64">
        <v>60</v>
      </c>
      <c r="BK73" s="66">
        <v>60</v>
      </c>
      <c r="BL73" s="63">
        <v>4</v>
      </c>
      <c r="BM73" s="63">
        <v>73</v>
      </c>
      <c r="BN73" s="64">
        <v>9</v>
      </c>
      <c r="BO73" s="68">
        <v>6</v>
      </c>
      <c r="BP73" s="68">
        <v>5</v>
      </c>
      <c r="BQ73" s="68">
        <v>5</v>
      </c>
      <c r="BR73" s="68">
        <v>2</v>
      </c>
      <c r="BS73" s="68">
        <v>5</v>
      </c>
      <c r="BT73" s="68">
        <v>2</v>
      </c>
      <c r="BU73" s="68">
        <v>5</v>
      </c>
      <c r="BV73" s="68">
        <v>3</v>
      </c>
      <c r="BW73" s="68"/>
      <c r="BX73" s="68">
        <v>3</v>
      </c>
      <c r="BY73" s="68">
        <v>3</v>
      </c>
      <c r="BZ73" s="68">
        <v>4</v>
      </c>
      <c r="CA73" s="68">
        <v>5</v>
      </c>
      <c r="CB73" s="68">
        <v>2</v>
      </c>
      <c r="CC73" s="68">
        <v>4</v>
      </c>
      <c r="CD73" s="68">
        <v>1</v>
      </c>
      <c r="CE73" s="68">
        <v>2</v>
      </c>
      <c r="CF73" s="68">
        <v>3</v>
      </c>
      <c r="CG73" s="68">
        <v>1</v>
      </c>
      <c r="CH73" s="68"/>
      <c r="CI73" s="68"/>
      <c r="CJ73" s="68"/>
      <c r="CK73" s="68"/>
      <c r="CL73" s="68">
        <v>1</v>
      </c>
      <c r="CM73" s="68"/>
      <c r="CN73" s="68"/>
      <c r="CO73" s="68"/>
      <c r="CP73" s="68">
        <v>1</v>
      </c>
      <c r="CQ73" s="68"/>
      <c r="CR73" s="68">
        <v>1</v>
      </c>
      <c r="CS73" s="68"/>
      <c r="CT73" s="68"/>
      <c r="CU73" s="68">
        <v>1</v>
      </c>
      <c r="CV73" s="68"/>
      <c r="CW73" s="68"/>
      <c r="CX73" s="68">
        <v>1</v>
      </c>
      <c r="CY73" s="68">
        <v>1</v>
      </c>
      <c r="CZ73" s="68"/>
      <c r="DA73" s="68"/>
      <c r="DB73" s="68"/>
      <c r="DC73" s="68"/>
      <c r="DD73" s="68"/>
      <c r="DE73" s="68"/>
      <c r="DF73" s="68">
        <v>1</v>
      </c>
      <c r="DG73" s="68"/>
      <c r="DH73" s="68"/>
      <c r="DI73" s="68"/>
      <c r="DJ73" s="68"/>
      <c r="DK73" s="68"/>
      <c r="DL73" s="68"/>
      <c r="DM73" s="68"/>
      <c r="DN73" s="68"/>
      <c r="DO73" s="68">
        <v>1</v>
      </c>
      <c r="DP73" s="68"/>
      <c r="DQ73" s="68"/>
      <c r="DR73" s="68"/>
      <c r="DS73" s="68"/>
      <c r="DT73" s="68"/>
      <c r="DU73" s="68"/>
      <c r="DV73" s="68"/>
      <c r="DW73" s="68"/>
      <c r="DX73" s="68"/>
      <c r="DY73" s="43"/>
      <c r="EA73" s="29"/>
      <c r="EB73" s="12"/>
      <c r="EC73" s="12"/>
      <c r="ED73" s="83">
        <v>11</v>
      </c>
      <c r="EE73" s="121">
        <v>12</v>
      </c>
      <c r="EF73" s="121">
        <v>13</v>
      </c>
      <c r="EG73" s="4">
        <v>14</v>
      </c>
      <c r="EH73" s="6">
        <v>15</v>
      </c>
      <c r="EI73" s="4">
        <v>16</v>
      </c>
      <c r="EJ73" s="6">
        <v>17</v>
      </c>
      <c r="EK73" s="4">
        <v>18</v>
      </c>
      <c r="EL73" s="6">
        <v>19</v>
      </c>
      <c r="EM73" s="4">
        <v>20</v>
      </c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</row>
    <row r="74" spans="1:177" s="13" customFormat="1" ht="13.2" customHeight="1" x14ac:dyDescent="0.25">
      <c r="A74" s="177">
        <v>92</v>
      </c>
      <c r="B74" s="180">
        <v>24</v>
      </c>
      <c r="C74" s="14">
        <f>A74-A107-1</f>
        <v>10</v>
      </c>
      <c r="D74" s="14">
        <f>A74-A113-1</f>
        <v>12</v>
      </c>
      <c r="E74" s="14">
        <f>A74-A98-1</f>
        <v>7</v>
      </c>
      <c r="F74" s="14">
        <f>A74-A80-1</f>
        <v>1</v>
      </c>
      <c r="G74" s="14">
        <f>A74-A92-1</f>
        <v>5</v>
      </c>
      <c r="H74" s="14">
        <f>A74-A86-1</f>
        <v>3</v>
      </c>
      <c r="I74" s="44"/>
      <c r="J74" s="156">
        <f>A74-A77-1</f>
        <v>0</v>
      </c>
      <c r="K74" s="44"/>
      <c r="L74" s="188">
        <v>46102</v>
      </c>
      <c r="M74" s="44"/>
      <c r="N74" s="119">
        <v>21</v>
      </c>
      <c r="O74" s="119">
        <v>22</v>
      </c>
      <c r="P74" s="119">
        <v>23</v>
      </c>
      <c r="Q74" s="119">
        <v>24</v>
      </c>
      <c r="R74" s="119">
        <v>25</v>
      </c>
      <c r="S74" s="119">
        <v>26</v>
      </c>
      <c r="T74" s="6">
        <v>27</v>
      </c>
      <c r="U74" s="119">
        <v>28</v>
      </c>
      <c r="V74" s="119">
        <v>29</v>
      </c>
      <c r="W74" s="154">
        <v>30</v>
      </c>
      <c r="X74" s="44"/>
      <c r="Y74" s="119">
        <v>21</v>
      </c>
      <c r="Z74" s="119">
        <v>22</v>
      </c>
      <c r="AA74" s="119">
        <v>23</v>
      </c>
      <c r="AB74" s="119">
        <v>24</v>
      </c>
      <c r="AC74" s="119">
        <v>25</v>
      </c>
      <c r="AD74" s="119">
        <v>26</v>
      </c>
      <c r="AE74" s="119">
        <v>27</v>
      </c>
      <c r="AF74" s="119">
        <v>28</v>
      </c>
      <c r="AG74" s="119">
        <v>29</v>
      </c>
      <c r="AH74" s="154">
        <v>30</v>
      </c>
      <c r="AI74" s="149"/>
      <c r="AJ74" s="19"/>
      <c r="AK74" s="19"/>
      <c r="AL74" s="19"/>
      <c r="AM74" s="19"/>
      <c r="AN74" s="42"/>
      <c r="AO74" s="54"/>
      <c r="AP74" s="19"/>
      <c r="AR74" s="74"/>
      <c r="AS74" s="42"/>
      <c r="AT74" s="54"/>
      <c r="AU74" s="54"/>
      <c r="AV74" s="19"/>
      <c r="AW74" s="113"/>
      <c r="AX74" s="57"/>
      <c r="AY74" s="54"/>
      <c r="AZ74" s="54"/>
      <c r="BA74" s="54"/>
      <c r="BB74" s="54"/>
      <c r="BC74" s="57"/>
      <c r="BD74" s="19"/>
      <c r="BE74" s="19"/>
      <c r="BF74" s="19"/>
      <c r="BG74" s="54"/>
      <c r="BH74" s="43"/>
      <c r="BI74" s="53">
        <v>46097</v>
      </c>
      <c r="BJ74" s="64">
        <v>61</v>
      </c>
      <c r="BK74" s="71">
        <v>61</v>
      </c>
      <c r="BL74" s="77">
        <v>25</v>
      </c>
      <c r="BM74" s="77">
        <v>62</v>
      </c>
      <c r="BN74" s="72">
        <v>9</v>
      </c>
      <c r="BO74" s="73">
        <v>1</v>
      </c>
      <c r="BP74" s="73">
        <v>5</v>
      </c>
      <c r="BQ74" s="73">
        <v>5</v>
      </c>
      <c r="BR74" s="73">
        <v>5</v>
      </c>
      <c r="BS74" s="73">
        <v>2</v>
      </c>
      <c r="BT74" s="73">
        <v>3</v>
      </c>
      <c r="BU74" s="73">
        <v>2</v>
      </c>
      <c r="BV74" s="73">
        <v>1</v>
      </c>
      <c r="BW74" s="73">
        <v>3</v>
      </c>
      <c r="BX74" s="73">
        <v>2</v>
      </c>
      <c r="BY74" s="73">
        <v>3</v>
      </c>
      <c r="BZ74" s="73"/>
      <c r="CA74" s="73">
        <v>5</v>
      </c>
      <c r="CB74" s="73">
        <v>1</v>
      </c>
      <c r="CC74" s="73">
        <v>1</v>
      </c>
      <c r="CD74" s="73">
        <v>2</v>
      </c>
      <c r="CE74" s="73">
        <v>1</v>
      </c>
      <c r="CF74" s="73"/>
      <c r="CG74" s="73">
        <v>2</v>
      </c>
      <c r="CH74" s="73"/>
      <c r="CI74" s="73"/>
      <c r="CJ74" s="73"/>
      <c r="CK74" s="73">
        <v>2</v>
      </c>
      <c r="CL74" s="73">
        <v>3</v>
      </c>
      <c r="CM74" s="73"/>
      <c r="CN74" s="73"/>
      <c r="CO74" s="73">
        <v>1</v>
      </c>
      <c r="CP74" s="73"/>
      <c r="CQ74" s="73"/>
      <c r="CR74" s="73">
        <v>1</v>
      </c>
      <c r="CS74" s="73"/>
      <c r="CT74" s="73"/>
      <c r="CU74" s="73"/>
      <c r="CV74" s="73">
        <v>1</v>
      </c>
      <c r="CW74" s="73"/>
      <c r="CX74" s="73"/>
      <c r="CY74" s="73"/>
      <c r="CZ74" s="73"/>
      <c r="DA74" s="73">
        <v>1</v>
      </c>
      <c r="DB74" s="73">
        <v>1</v>
      </c>
      <c r="DC74" s="73"/>
      <c r="DD74" s="73"/>
      <c r="DE74" s="73"/>
      <c r="DF74" s="73"/>
      <c r="DG74" s="73">
        <v>1</v>
      </c>
      <c r="DH74" s="73"/>
      <c r="DI74" s="73"/>
      <c r="DJ74" s="73"/>
      <c r="DK74" s="73"/>
      <c r="DL74" s="73"/>
      <c r="DM74" s="73"/>
      <c r="DN74" s="73"/>
      <c r="DO74" s="73"/>
      <c r="DP74" s="73"/>
      <c r="DQ74" s="73"/>
      <c r="DR74" s="73"/>
      <c r="DS74" s="73">
        <v>1</v>
      </c>
      <c r="DT74" s="73"/>
      <c r="DU74" s="73"/>
      <c r="DV74" s="73"/>
      <c r="DW74" s="73"/>
      <c r="DX74" s="73">
        <v>1</v>
      </c>
      <c r="DY74" s="43"/>
      <c r="EA74" s="29"/>
      <c r="EB74" s="12"/>
      <c r="EC74" s="12"/>
      <c r="ED74" s="6">
        <v>21</v>
      </c>
      <c r="EE74" s="6">
        <v>22</v>
      </c>
      <c r="EF74" s="4">
        <v>23</v>
      </c>
      <c r="EG74" s="6">
        <v>24</v>
      </c>
      <c r="EH74" s="4">
        <v>25</v>
      </c>
      <c r="EI74" s="6">
        <v>26</v>
      </c>
      <c r="EJ74" s="6">
        <v>27</v>
      </c>
      <c r="EK74" s="6">
        <v>28</v>
      </c>
      <c r="EL74" s="121">
        <v>29</v>
      </c>
      <c r="EM74" s="70">
        <v>30</v>
      </c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</row>
    <row r="75" spans="1:177" s="13" customFormat="1" ht="13.2" customHeight="1" x14ac:dyDescent="0.25">
      <c r="A75" s="178"/>
      <c r="B75" s="180"/>
      <c r="C75" s="114">
        <v>6</v>
      </c>
      <c r="D75" s="115">
        <v>13</v>
      </c>
      <c r="E75" s="115">
        <v>26</v>
      </c>
      <c r="F75" s="115">
        <v>47</v>
      </c>
      <c r="G75" s="115">
        <v>67</v>
      </c>
      <c r="H75" s="115">
        <v>71</v>
      </c>
      <c r="I75" s="44"/>
      <c r="J75" s="115">
        <v>89</v>
      </c>
      <c r="K75" s="44"/>
      <c r="L75" s="188"/>
      <c r="M75" s="44"/>
      <c r="N75" s="119">
        <v>31</v>
      </c>
      <c r="O75" s="119">
        <v>32</v>
      </c>
      <c r="P75" s="119">
        <v>33</v>
      </c>
      <c r="Q75" s="119">
        <v>34</v>
      </c>
      <c r="R75" s="119">
        <v>35</v>
      </c>
      <c r="S75" s="119">
        <v>36</v>
      </c>
      <c r="T75" s="119">
        <v>37</v>
      </c>
      <c r="U75" s="119">
        <v>38</v>
      </c>
      <c r="V75" s="119">
        <v>39</v>
      </c>
      <c r="W75" s="154">
        <v>40</v>
      </c>
      <c r="X75" s="44"/>
      <c r="Y75" s="119">
        <v>31</v>
      </c>
      <c r="Z75" s="119">
        <v>32</v>
      </c>
      <c r="AA75" s="119">
        <v>33</v>
      </c>
      <c r="AB75" s="119">
        <v>34</v>
      </c>
      <c r="AC75" s="119">
        <v>35</v>
      </c>
      <c r="AD75" s="119">
        <v>36</v>
      </c>
      <c r="AE75" s="119">
        <v>37</v>
      </c>
      <c r="AF75" s="6">
        <v>38</v>
      </c>
      <c r="AG75" s="119">
        <v>39</v>
      </c>
      <c r="AH75" s="154">
        <v>40</v>
      </c>
      <c r="AI75" s="149"/>
      <c r="AJ75" s="19"/>
      <c r="AK75" s="19"/>
      <c r="AL75" s="19"/>
      <c r="AM75" s="19"/>
      <c r="AN75" s="42"/>
      <c r="AO75" s="54"/>
      <c r="AP75" s="19"/>
      <c r="AR75" s="74"/>
      <c r="AS75" s="42"/>
      <c r="AT75" s="75"/>
      <c r="AU75" s="54"/>
      <c r="AV75" s="19"/>
      <c r="AW75" s="113"/>
      <c r="AX75" s="57"/>
      <c r="AY75" s="54"/>
      <c r="AZ75" s="54"/>
      <c r="BA75" s="54"/>
      <c r="BB75" s="54"/>
      <c r="BC75" s="57"/>
      <c r="BD75" s="19"/>
      <c r="BE75" s="19"/>
      <c r="BF75" s="19"/>
      <c r="BG75" s="54"/>
      <c r="BH75" s="43"/>
      <c r="BI75" s="53">
        <v>46144</v>
      </c>
      <c r="BJ75" s="64">
        <v>62</v>
      </c>
      <c r="BK75" s="65">
        <v>62</v>
      </c>
      <c r="BL75" s="63">
        <v>5</v>
      </c>
      <c r="BM75" s="63">
        <v>73</v>
      </c>
      <c r="BN75" s="64">
        <v>12</v>
      </c>
      <c r="BO75" s="68">
        <v>7</v>
      </c>
      <c r="BP75" s="68">
        <v>5</v>
      </c>
      <c r="BQ75" s="68">
        <v>6</v>
      </c>
      <c r="BR75" s="68">
        <v>5</v>
      </c>
      <c r="BS75" s="68">
        <v>5</v>
      </c>
      <c r="BT75" s="68">
        <v>5</v>
      </c>
      <c r="BU75" s="68">
        <v>2</v>
      </c>
      <c r="BV75" s="68">
        <v>2</v>
      </c>
      <c r="BW75" s="68">
        <v>1</v>
      </c>
      <c r="BX75" s="68">
        <v>1</v>
      </c>
      <c r="BY75" s="68">
        <v>1</v>
      </c>
      <c r="BZ75" s="68">
        <v>1</v>
      </c>
      <c r="CA75" s="68">
        <v>2</v>
      </c>
      <c r="CB75" s="68">
        <v>1</v>
      </c>
      <c r="CC75" s="68">
        <v>2</v>
      </c>
      <c r="CD75" s="68">
        <v>1</v>
      </c>
      <c r="CE75" s="68">
        <v>3</v>
      </c>
      <c r="CF75" s="68">
        <v>1</v>
      </c>
      <c r="CG75" s="68">
        <v>2</v>
      </c>
      <c r="CH75" s="68"/>
      <c r="CI75" s="68">
        <v>1</v>
      </c>
      <c r="CJ75" s="68">
        <v>2</v>
      </c>
      <c r="CK75" s="68">
        <v>2</v>
      </c>
      <c r="CL75" s="68">
        <v>1</v>
      </c>
      <c r="CM75" s="68"/>
      <c r="CN75" s="68"/>
      <c r="CO75" s="68"/>
      <c r="CP75" s="68"/>
      <c r="CQ75" s="68">
        <v>1</v>
      </c>
      <c r="CR75" s="68"/>
      <c r="CS75" s="68"/>
      <c r="CT75" s="68">
        <v>1</v>
      </c>
      <c r="CU75" s="68">
        <v>2</v>
      </c>
      <c r="CV75" s="68">
        <v>1</v>
      </c>
      <c r="CW75" s="68"/>
      <c r="CX75" s="68"/>
      <c r="CY75" s="68">
        <v>1</v>
      </c>
      <c r="CZ75" s="68"/>
      <c r="DA75" s="68"/>
      <c r="DB75" s="68"/>
      <c r="DC75" s="68"/>
      <c r="DD75" s="68">
        <v>1</v>
      </c>
      <c r="DE75" s="68"/>
      <c r="DF75" s="68"/>
      <c r="DG75" s="68"/>
      <c r="DH75" s="68"/>
      <c r="DI75" s="68"/>
      <c r="DJ75" s="68"/>
      <c r="DK75" s="68"/>
      <c r="DL75" s="68"/>
      <c r="DM75" s="68">
        <v>1</v>
      </c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43"/>
      <c r="EA75" s="29"/>
      <c r="EB75" s="12"/>
      <c r="EC75" s="12"/>
      <c r="ED75" s="6">
        <v>31</v>
      </c>
      <c r="EE75" s="4">
        <v>32</v>
      </c>
      <c r="EF75" s="121">
        <v>33</v>
      </c>
      <c r="EG75" s="4">
        <v>34</v>
      </c>
      <c r="EH75" s="6">
        <v>35</v>
      </c>
      <c r="EI75" s="4">
        <v>36</v>
      </c>
      <c r="EJ75" s="6">
        <v>37</v>
      </c>
      <c r="EK75" s="121">
        <v>38</v>
      </c>
      <c r="EL75" s="4">
        <v>39</v>
      </c>
      <c r="EM75" s="70">
        <v>40</v>
      </c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</row>
    <row r="76" spans="1:177" s="13" customFormat="1" ht="13.2" customHeight="1" x14ac:dyDescent="0.25">
      <c r="A76" s="179"/>
      <c r="B76" s="180"/>
      <c r="C76" s="10">
        <f>C109+1</f>
        <v>14</v>
      </c>
      <c r="D76" s="10">
        <f>C115+2</f>
        <v>8</v>
      </c>
      <c r="E76" s="10">
        <f>D100+2</f>
        <v>7</v>
      </c>
      <c r="F76" s="10">
        <f>E82+1</f>
        <v>7</v>
      </c>
      <c r="G76" s="10">
        <f>F94+1</f>
        <v>9</v>
      </c>
      <c r="H76" s="10">
        <f>H88+1</f>
        <v>10</v>
      </c>
      <c r="I76" s="44"/>
      <c r="J76" s="156">
        <f>J79+3</f>
        <v>8</v>
      </c>
      <c r="K76" s="44"/>
      <c r="L76" s="188"/>
      <c r="M76" s="44"/>
      <c r="N76" s="119">
        <v>41</v>
      </c>
      <c r="O76" s="119">
        <v>42</v>
      </c>
      <c r="P76" s="119">
        <v>43</v>
      </c>
      <c r="Q76" s="119">
        <v>44</v>
      </c>
      <c r="R76" s="119">
        <v>45</v>
      </c>
      <c r="S76" s="83">
        <v>46</v>
      </c>
      <c r="T76" s="83">
        <v>47</v>
      </c>
      <c r="U76" s="83">
        <v>48</v>
      </c>
      <c r="V76" s="83">
        <v>49</v>
      </c>
      <c r="W76" s="84">
        <v>50</v>
      </c>
      <c r="X76" s="44"/>
      <c r="Y76" s="119">
        <v>41</v>
      </c>
      <c r="Z76" s="119">
        <v>42</v>
      </c>
      <c r="AA76" s="119">
        <v>43</v>
      </c>
      <c r="AB76" s="119">
        <v>44</v>
      </c>
      <c r="AC76" s="119">
        <v>45</v>
      </c>
      <c r="AD76" s="83">
        <v>46</v>
      </c>
      <c r="AE76" s="83">
        <v>47</v>
      </c>
      <c r="AF76" s="6">
        <v>48</v>
      </c>
      <c r="AG76" s="83">
        <v>49</v>
      </c>
      <c r="AH76" s="84">
        <v>50</v>
      </c>
      <c r="AI76" s="149"/>
      <c r="AJ76" s="19"/>
      <c r="AK76" s="19"/>
      <c r="AL76" s="19"/>
      <c r="AM76" s="19"/>
      <c r="AN76" s="42"/>
      <c r="AO76" s="54"/>
      <c r="AP76" s="19"/>
      <c r="AR76" s="74"/>
      <c r="AS76" s="42"/>
      <c r="AT76" s="54"/>
      <c r="AU76" s="54"/>
      <c r="AV76" s="19"/>
      <c r="AW76" s="54"/>
      <c r="AX76" s="57"/>
      <c r="AY76" s="54"/>
      <c r="AZ76" s="54"/>
      <c r="BA76" s="54"/>
      <c r="BB76" s="54"/>
      <c r="BC76" s="57"/>
      <c r="BD76" s="19"/>
      <c r="BE76" s="19"/>
      <c r="BF76" s="19"/>
      <c r="BG76" s="54"/>
      <c r="BH76" s="43"/>
      <c r="BI76" s="53">
        <v>46137</v>
      </c>
      <c r="BJ76" s="64">
        <v>63</v>
      </c>
      <c r="BK76" s="71">
        <v>63</v>
      </c>
      <c r="BL76" s="77">
        <v>8</v>
      </c>
      <c r="BM76" s="77">
        <v>67</v>
      </c>
      <c r="BN76" s="72">
        <v>7</v>
      </c>
      <c r="BO76" s="73">
        <v>7</v>
      </c>
      <c r="BP76" s="73">
        <v>5</v>
      </c>
      <c r="BQ76" s="73">
        <v>3</v>
      </c>
      <c r="BR76" s="73">
        <v>4</v>
      </c>
      <c r="BS76" s="73">
        <v>2</v>
      </c>
      <c r="BT76" s="73">
        <v>4</v>
      </c>
      <c r="BU76" s="73">
        <v>1</v>
      </c>
      <c r="BV76" s="73">
        <v>3</v>
      </c>
      <c r="BW76" s="73">
        <v>2</v>
      </c>
      <c r="BX76" s="73">
        <v>4</v>
      </c>
      <c r="BY76" s="73">
        <v>1</v>
      </c>
      <c r="BZ76" s="73"/>
      <c r="CA76" s="73">
        <v>1</v>
      </c>
      <c r="CB76" s="73">
        <v>1</v>
      </c>
      <c r="CC76" s="73">
        <v>2</v>
      </c>
      <c r="CD76" s="73">
        <v>1</v>
      </c>
      <c r="CE76" s="73">
        <v>1</v>
      </c>
      <c r="CF76" s="73">
        <v>1</v>
      </c>
      <c r="CG76" s="73">
        <v>1</v>
      </c>
      <c r="CH76" s="73">
        <v>1</v>
      </c>
      <c r="CI76" s="73">
        <v>2</v>
      </c>
      <c r="CJ76" s="73">
        <v>2</v>
      </c>
      <c r="CK76" s="73">
        <v>2</v>
      </c>
      <c r="CL76" s="73"/>
      <c r="CM76" s="73">
        <v>1</v>
      </c>
      <c r="CN76" s="73">
        <v>1</v>
      </c>
      <c r="CO76" s="73"/>
      <c r="CP76" s="73">
        <v>1</v>
      </c>
      <c r="CQ76" s="73"/>
      <c r="CR76" s="73"/>
      <c r="CS76" s="73"/>
      <c r="CT76" s="73"/>
      <c r="CU76" s="73"/>
      <c r="CV76" s="73"/>
      <c r="CW76" s="73">
        <v>1</v>
      </c>
      <c r="CX76" s="73">
        <v>1</v>
      </c>
      <c r="CY76" s="73"/>
      <c r="CZ76" s="73"/>
      <c r="DA76" s="73">
        <v>1</v>
      </c>
      <c r="DB76" s="73"/>
      <c r="DC76" s="73">
        <v>1</v>
      </c>
      <c r="DD76" s="73"/>
      <c r="DE76" s="73"/>
      <c r="DF76" s="73"/>
      <c r="DG76" s="73"/>
      <c r="DH76" s="73"/>
      <c r="DI76" s="73">
        <v>1</v>
      </c>
      <c r="DJ76" s="73"/>
      <c r="DK76" s="73"/>
      <c r="DL76" s="73"/>
      <c r="DM76" s="73"/>
      <c r="DN76" s="73"/>
      <c r="DO76" s="73"/>
      <c r="DP76" s="73"/>
      <c r="DQ76" s="73"/>
      <c r="DR76" s="73"/>
      <c r="DS76" s="73"/>
      <c r="DT76" s="73"/>
      <c r="DU76" s="73"/>
      <c r="DV76" s="73"/>
      <c r="DW76" s="73">
        <v>1</v>
      </c>
      <c r="DX76" s="73"/>
      <c r="DY76" s="43"/>
      <c r="EA76" s="29"/>
      <c r="EB76" s="12"/>
      <c r="EC76" s="12"/>
      <c r="ED76" s="4">
        <v>41</v>
      </c>
      <c r="EE76" s="121">
        <v>42</v>
      </c>
      <c r="EF76" s="6">
        <v>43</v>
      </c>
      <c r="EG76" s="6">
        <v>44</v>
      </c>
      <c r="EH76" s="6">
        <v>45</v>
      </c>
      <c r="EI76" s="6">
        <v>46</v>
      </c>
      <c r="EJ76" s="4">
        <v>47</v>
      </c>
      <c r="EK76" s="127">
        <v>48</v>
      </c>
      <c r="EL76" s="6">
        <v>49</v>
      </c>
      <c r="EM76" s="122">
        <v>50</v>
      </c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</row>
    <row r="77" spans="1:177" s="13" customFormat="1" ht="13.2" customHeight="1" x14ac:dyDescent="0.25">
      <c r="A77" s="177">
        <v>91</v>
      </c>
      <c r="B77" s="180">
        <v>25</v>
      </c>
      <c r="C77" s="14">
        <f>A77-A107-1</f>
        <v>9</v>
      </c>
      <c r="D77" s="14">
        <f>A77-A92-1</f>
        <v>4</v>
      </c>
      <c r="E77" s="14">
        <f>A77-A110-1</f>
        <v>10</v>
      </c>
      <c r="F77" s="14">
        <f>A77-A86-1</f>
        <v>2</v>
      </c>
      <c r="G77" s="14">
        <f>A77-A89-1</f>
        <v>3</v>
      </c>
      <c r="H77" s="14">
        <f>A77-A200-1</f>
        <v>40</v>
      </c>
      <c r="I77" s="44"/>
      <c r="J77" s="156">
        <f>A77-A125-1</f>
        <v>15</v>
      </c>
      <c r="K77" s="44"/>
      <c r="L77" s="188">
        <v>46099</v>
      </c>
      <c r="M77" s="44"/>
      <c r="N77" s="83">
        <v>51</v>
      </c>
      <c r="O77" s="83">
        <v>52</v>
      </c>
      <c r="P77" s="83">
        <v>53</v>
      </c>
      <c r="Q77" s="83">
        <v>54</v>
      </c>
      <c r="R77" s="83">
        <v>55</v>
      </c>
      <c r="S77" s="83">
        <v>56</v>
      </c>
      <c r="T77" s="83">
        <v>57</v>
      </c>
      <c r="U77" s="83">
        <v>58</v>
      </c>
      <c r="V77" s="83">
        <v>59</v>
      </c>
      <c r="W77" s="84">
        <v>60</v>
      </c>
      <c r="X77" s="44"/>
      <c r="Y77" s="83">
        <v>51</v>
      </c>
      <c r="Z77" s="83">
        <v>52</v>
      </c>
      <c r="AA77" s="83">
        <v>53</v>
      </c>
      <c r="AB77" s="83">
        <v>54</v>
      </c>
      <c r="AC77" s="83">
        <v>55</v>
      </c>
      <c r="AD77" s="83">
        <v>56</v>
      </c>
      <c r="AE77" s="83">
        <v>57</v>
      </c>
      <c r="AF77" s="83">
        <v>58</v>
      </c>
      <c r="AG77" s="83">
        <v>59</v>
      </c>
      <c r="AH77" s="84">
        <v>60</v>
      </c>
      <c r="AI77" s="149"/>
      <c r="AJ77" s="19"/>
      <c r="AK77" s="19"/>
      <c r="AL77" s="19"/>
      <c r="AM77" s="19"/>
      <c r="AN77" s="42"/>
      <c r="AO77" s="54"/>
      <c r="AP77" s="19"/>
      <c r="AR77" s="74"/>
      <c r="AS77" s="42"/>
      <c r="AT77" s="54"/>
      <c r="AU77" s="54"/>
      <c r="AV77" s="19"/>
      <c r="AW77" s="54"/>
      <c r="AX77" s="57"/>
      <c r="AY77" s="54"/>
      <c r="AZ77" s="54"/>
      <c r="BA77" s="54"/>
      <c r="BB77" s="54"/>
      <c r="BC77" s="57"/>
      <c r="BD77" s="19"/>
      <c r="BE77" s="19"/>
      <c r="BF77" s="19"/>
      <c r="BG77" s="54"/>
      <c r="BH77" s="43"/>
      <c r="BI77" s="53">
        <v>46144</v>
      </c>
      <c r="BJ77" s="64">
        <v>64</v>
      </c>
      <c r="BK77" s="66">
        <v>64</v>
      </c>
      <c r="BL77" s="64">
        <v>5</v>
      </c>
      <c r="BM77" s="64">
        <v>67</v>
      </c>
      <c r="BN77" s="64">
        <v>9</v>
      </c>
      <c r="BO77" s="68">
        <v>7</v>
      </c>
      <c r="BP77" s="68">
        <v>3</v>
      </c>
      <c r="BQ77" s="68">
        <v>3</v>
      </c>
      <c r="BR77" s="68">
        <v>4</v>
      </c>
      <c r="BS77" s="68">
        <v>3</v>
      </c>
      <c r="BT77" s="68">
        <v>5</v>
      </c>
      <c r="BU77" s="68">
        <v>1</v>
      </c>
      <c r="BV77" s="68">
        <v>2</v>
      </c>
      <c r="BW77" s="68">
        <v>2</v>
      </c>
      <c r="BX77" s="68">
        <v>1</v>
      </c>
      <c r="BY77" s="68">
        <v>2</v>
      </c>
      <c r="BZ77" s="68">
        <v>3</v>
      </c>
      <c r="CA77" s="68">
        <v>1</v>
      </c>
      <c r="CB77" s="68">
        <v>2</v>
      </c>
      <c r="CC77" s="68">
        <v>1</v>
      </c>
      <c r="CD77" s="68"/>
      <c r="CE77" s="68">
        <v>3</v>
      </c>
      <c r="CF77" s="68"/>
      <c r="CG77" s="68">
        <v>2</v>
      </c>
      <c r="CH77" s="68"/>
      <c r="CI77" s="68"/>
      <c r="CJ77" s="68">
        <v>2</v>
      </c>
      <c r="CK77" s="68"/>
      <c r="CL77" s="68"/>
      <c r="CM77" s="68"/>
      <c r="CN77" s="68">
        <v>1</v>
      </c>
      <c r="CO77" s="68"/>
      <c r="CP77" s="68">
        <v>2</v>
      </c>
      <c r="CQ77" s="68">
        <v>1</v>
      </c>
      <c r="CR77" s="68">
        <v>1</v>
      </c>
      <c r="CS77" s="68">
        <v>1</v>
      </c>
      <c r="CT77" s="68"/>
      <c r="CU77" s="68">
        <v>1</v>
      </c>
      <c r="CV77" s="68"/>
      <c r="CW77" s="68"/>
      <c r="CX77" s="68">
        <v>1</v>
      </c>
      <c r="CY77" s="68">
        <v>1</v>
      </c>
      <c r="CZ77" s="68"/>
      <c r="DA77" s="68"/>
      <c r="DB77" s="68">
        <v>1</v>
      </c>
      <c r="DC77" s="68"/>
      <c r="DD77" s="68"/>
      <c r="DE77" s="68"/>
      <c r="DF77" s="68"/>
      <c r="DG77" s="68"/>
      <c r="DH77" s="68"/>
      <c r="DI77" s="68"/>
      <c r="DJ77" s="68">
        <v>1</v>
      </c>
      <c r="DK77" s="68"/>
      <c r="DL77" s="68"/>
      <c r="DM77" s="68"/>
      <c r="DN77" s="68"/>
      <c r="DO77" s="68"/>
      <c r="DP77" s="68"/>
      <c r="DQ77" s="68"/>
      <c r="DR77" s="68"/>
      <c r="DS77" s="68">
        <v>1</v>
      </c>
      <c r="DT77" s="68"/>
      <c r="DU77" s="68"/>
      <c r="DV77" s="68"/>
      <c r="DW77" s="68"/>
      <c r="DX77" s="68"/>
      <c r="DY77" s="43"/>
      <c r="EA77" s="29"/>
      <c r="EB77" s="12"/>
      <c r="EC77" s="12"/>
      <c r="ED77" s="4">
        <v>51</v>
      </c>
      <c r="EE77" s="6">
        <v>52</v>
      </c>
      <c r="EF77" s="6">
        <v>53</v>
      </c>
      <c r="EG77" s="83">
        <v>54</v>
      </c>
      <c r="EH77" s="6">
        <v>55</v>
      </c>
      <c r="EI77" s="6">
        <v>56</v>
      </c>
      <c r="EJ77" s="4">
        <v>57</v>
      </c>
      <c r="EK77" s="6">
        <v>58</v>
      </c>
      <c r="EL77" s="6">
        <v>59</v>
      </c>
      <c r="EM77" s="41">
        <v>60</v>
      </c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</row>
    <row r="78" spans="1:177" s="13" customFormat="1" ht="13.2" customHeight="1" x14ac:dyDescent="0.25">
      <c r="A78" s="178"/>
      <c r="B78" s="180"/>
      <c r="C78" s="114">
        <v>10</v>
      </c>
      <c r="D78" s="115">
        <v>12</v>
      </c>
      <c r="E78" s="115">
        <v>35</v>
      </c>
      <c r="F78" s="115">
        <v>53</v>
      </c>
      <c r="G78" s="115">
        <v>55</v>
      </c>
      <c r="H78" s="115">
        <v>86</v>
      </c>
      <c r="I78" s="44"/>
      <c r="J78" s="115">
        <v>89</v>
      </c>
      <c r="K78" s="44"/>
      <c r="L78" s="188"/>
      <c r="M78" s="44"/>
      <c r="N78" s="83">
        <v>61</v>
      </c>
      <c r="O78" s="83">
        <v>62</v>
      </c>
      <c r="P78" s="6">
        <v>63</v>
      </c>
      <c r="Q78" s="6">
        <v>64</v>
      </c>
      <c r="R78" s="83">
        <v>65</v>
      </c>
      <c r="S78" s="83">
        <v>66</v>
      </c>
      <c r="T78" s="83">
        <v>67</v>
      </c>
      <c r="U78" s="83">
        <v>68</v>
      </c>
      <c r="V78" s="83">
        <v>69</v>
      </c>
      <c r="W78" s="70">
        <v>70</v>
      </c>
      <c r="X78" s="45"/>
      <c r="Y78" s="83">
        <v>61</v>
      </c>
      <c r="Z78" s="83">
        <v>62</v>
      </c>
      <c r="AA78" s="83">
        <v>63</v>
      </c>
      <c r="AB78" s="83">
        <v>64</v>
      </c>
      <c r="AC78" s="83">
        <v>65</v>
      </c>
      <c r="AD78" s="6">
        <v>66</v>
      </c>
      <c r="AE78" s="83">
        <v>67</v>
      </c>
      <c r="AF78" s="83">
        <v>68</v>
      </c>
      <c r="AG78" s="6">
        <v>69</v>
      </c>
      <c r="AH78" s="84">
        <v>70</v>
      </c>
      <c r="AI78" s="149"/>
      <c r="AJ78" s="1"/>
      <c r="AK78" s="1"/>
      <c r="AL78" s="54"/>
      <c r="AM78" s="1"/>
      <c r="AN78" s="43"/>
      <c r="AO78" s="1"/>
      <c r="AP78" s="1"/>
      <c r="AR78" s="54"/>
      <c r="AS78" s="43"/>
      <c r="AT78" s="1"/>
      <c r="AU78" s="1"/>
      <c r="AV78" s="1"/>
      <c r="AW78" s="54"/>
      <c r="AX78" s="57"/>
      <c r="AY78" s="54"/>
      <c r="AZ78" s="54"/>
      <c r="BA78" s="54"/>
      <c r="BB78" s="54"/>
      <c r="BC78" s="57"/>
      <c r="BD78" s="1"/>
      <c r="BE78" s="1"/>
      <c r="BF78" s="1"/>
      <c r="BG78" s="54"/>
      <c r="BH78" s="43"/>
      <c r="BI78" s="53">
        <v>46083</v>
      </c>
      <c r="BJ78" s="64">
        <v>65</v>
      </c>
      <c r="BK78" s="71">
        <v>65</v>
      </c>
      <c r="BL78" s="77">
        <v>31</v>
      </c>
      <c r="BM78" s="77">
        <v>50</v>
      </c>
      <c r="BN78" s="72">
        <v>8</v>
      </c>
      <c r="BO78" s="73">
        <v>1</v>
      </c>
      <c r="BP78" s="73">
        <v>1</v>
      </c>
      <c r="BQ78" s="73">
        <v>4</v>
      </c>
      <c r="BR78" s="73">
        <v>2</v>
      </c>
      <c r="BS78" s="73">
        <v>3</v>
      </c>
      <c r="BT78" s="73">
        <v>1</v>
      </c>
      <c r="BU78" s="73">
        <v>1</v>
      </c>
      <c r="BV78" s="73">
        <v>2</v>
      </c>
      <c r="BW78" s="73">
        <v>3</v>
      </c>
      <c r="BX78" s="73">
        <v>1</v>
      </c>
      <c r="BY78" s="73">
        <v>2</v>
      </c>
      <c r="BZ78" s="73">
        <v>1</v>
      </c>
      <c r="CA78" s="73">
        <v>1</v>
      </c>
      <c r="CB78" s="73">
        <v>2</v>
      </c>
      <c r="CC78" s="73">
        <v>1</v>
      </c>
      <c r="CD78" s="73"/>
      <c r="CE78" s="73">
        <v>1</v>
      </c>
      <c r="CF78" s="73">
        <v>1</v>
      </c>
      <c r="CG78" s="73">
        <v>1</v>
      </c>
      <c r="CH78" s="73"/>
      <c r="CI78" s="73">
        <v>2</v>
      </c>
      <c r="CJ78" s="73">
        <v>1</v>
      </c>
      <c r="CK78" s="73">
        <v>1</v>
      </c>
      <c r="CL78" s="73"/>
      <c r="CM78" s="73">
        <v>1</v>
      </c>
      <c r="CN78" s="73">
        <v>1</v>
      </c>
      <c r="CO78" s="73"/>
      <c r="CP78" s="73"/>
      <c r="CQ78" s="73">
        <v>1</v>
      </c>
      <c r="CR78" s="73">
        <v>1</v>
      </c>
      <c r="CS78" s="73"/>
      <c r="CT78" s="73"/>
      <c r="CU78" s="73"/>
      <c r="CV78" s="73">
        <v>1</v>
      </c>
      <c r="CW78" s="73"/>
      <c r="CX78" s="73"/>
      <c r="CY78" s="73"/>
      <c r="CZ78" s="73"/>
      <c r="DA78" s="73"/>
      <c r="DB78" s="73"/>
      <c r="DC78" s="73">
        <v>2</v>
      </c>
      <c r="DD78" s="73">
        <v>1</v>
      </c>
      <c r="DE78" s="73"/>
      <c r="DF78" s="73"/>
      <c r="DG78" s="73"/>
      <c r="DH78" s="73"/>
      <c r="DI78" s="73"/>
      <c r="DJ78" s="73"/>
      <c r="DK78" s="73"/>
      <c r="DL78" s="73"/>
      <c r="DM78" s="73"/>
      <c r="DN78" s="73">
        <v>1</v>
      </c>
      <c r="DO78" s="73"/>
      <c r="DP78" s="73"/>
      <c r="DQ78" s="73"/>
      <c r="DR78" s="73"/>
      <c r="DS78" s="73"/>
      <c r="DT78" s="73"/>
      <c r="DU78" s="73"/>
      <c r="DV78" s="73"/>
      <c r="DW78" s="73"/>
      <c r="DX78" s="73">
        <v>2</v>
      </c>
      <c r="DY78" s="43"/>
      <c r="EA78" s="29"/>
      <c r="EB78" s="12"/>
      <c r="EC78" s="12"/>
      <c r="ED78" s="4">
        <v>61</v>
      </c>
      <c r="EE78" s="121">
        <v>62</v>
      </c>
      <c r="EF78" s="4">
        <v>63</v>
      </c>
      <c r="EG78" s="121">
        <v>64</v>
      </c>
      <c r="EH78" s="4">
        <v>65</v>
      </c>
      <c r="EI78" s="121">
        <v>66</v>
      </c>
      <c r="EJ78" s="4">
        <v>67</v>
      </c>
      <c r="EK78" s="6">
        <v>68</v>
      </c>
      <c r="EL78" s="121">
        <v>69</v>
      </c>
      <c r="EM78" s="41">
        <v>70</v>
      </c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</row>
    <row r="79" spans="1:177" s="13" customFormat="1" ht="13.2" customHeight="1" x14ac:dyDescent="0.25">
      <c r="A79" s="179"/>
      <c r="B79" s="180"/>
      <c r="C79" s="10">
        <f>E109+2</f>
        <v>8</v>
      </c>
      <c r="D79" s="10">
        <f>C94+3</f>
        <v>9</v>
      </c>
      <c r="E79" s="10">
        <f>D112+1</f>
        <v>8</v>
      </c>
      <c r="F79" s="10">
        <f>J88</f>
        <v>9</v>
      </c>
      <c r="G79" s="10">
        <f>F91+1</f>
        <v>7</v>
      </c>
      <c r="H79" s="10">
        <f>H202+1</f>
        <v>6</v>
      </c>
      <c r="I79" s="44"/>
      <c r="J79" s="156">
        <f>H127+1</f>
        <v>5</v>
      </c>
      <c r="K79" s="44"/>
      <c r="L79" s="188"/>
      <c r="M79" s="44"/>
      <c r="N79" s="83">
        <v>71</v>
      </c>
      <c r="O79" s="83">
        <v>72</v>
      </c>
      <c r="P79" s="83">
        <v>73</v>
      </c>
      <c r="Q79" s="83">
        <v>74</v>
      </c>
      <c r="R79" s="83">
        <v>75</v>
      </c>
      <c r="S79" s="83">
        <v>76</v>
      </c>
      <c r="T79" s="83">
        <v>77</v>
      </c>
      <c r="U79" s="83">
        <v>78</v>
      </c>
      <c r="V79" s="83">
        <v>79</v>
      </c>
      <c r="W79" s="84">
        <v>80</v>
      </c>
      <c r="X79" s="45"/>
      <c r="Y79" s="83">
        <v>71</v>
      </c>
      <c r="Z79" s="83">
        <v>72</v>
      </c>
      <c r="AA79" s="83">
        <v>73</v>
      </c>
      <c r="AB79" s="83">
        <v>74</v>
      </c>
      <c r="AC79" s="83">
        <v>75</v>
      </c>
      <c r="AD79" s="83">
        <v>76</v>
      </c>
      <c r="AE79" s="83">
        <v>77</v>
      </c>
      <c r="AF79" s="83">
        <v>78</v>
      </c>
      <c r="AG79" s="83">
        <v>79</v>
      </c>
      <c r="AH79" s="84">
        <v>80</v>
      </c>
      <c r="AI79" s="149"/>
      <c r="AJ79" s="19"/>
      <c r="AK79" s="19"/>
      <c r="AL79" s="19"/>
      <c r="AM79" s="19"/>
      <c r="AN79" s="42"/>
      <c r="AO79" s="54"/>
      <c r="AP79" s="19"/>
      <c r="AR79" s="74"/>
      <c r="AS79" s="42"/>
      <c r="AT79" s="54"/>
      <c r="AU79" s="54"/>
      <c r="AV79" s="19"/>
      <c r="AW79" s="54"/>
      <c r="AX79" s="57"/>
      <c r="AY79" s="54"/>
      <c r="AZ79" s="54"/>
      <c r="BA79" s="54"/>
      <c r="BB79" s="54"/>
      <c r="BC79" s="57"/>
      <c r="BD79" s="19"/>
      <c r="BE79" s="19"/>
      <c r="BF79" s="19"/>
      <c r="BG79" s="54"/>
      <c r="BH79" s="43"/>
      <c r="BI79" s="53">
        <v>46130</v>
      </c>
      <c r="BJ79" s="64">
        <v>66</v>
      </c>
      <c r="BK79" s="66">
        <v>66</v>
      </c>
      <c r="BL79" s="64">
        <v>11</v>
      </c>
      <c r="BM79" s="64">
        <v>64</v>
      </c>
      <c r="BN79" s="64">
        <v>6</v>
      </c>
      <c r="BO79" s="68">
        <v>4</v>
      </c>
      <c r="BP79" s="68">
        <v>4</v>
      </c>
      <c r="BQ79" s="68">
        <v>2</v>
      </c>
      <c r="BR79" s="68">
        <v>6</v>
      </c>
      <c r="BS79" s="68">
        <v>7</v>
      </c>
      <c r="BT79" s="68">
        <v>4</v>
      </c>
      <c r="BU79" s="68">
        <v>1</v>
      </c>
      <c r="BV79" s="68">
        <v>5</v>
      </c>
      <c r="BW79" s="68">
        <v>1</v>
      </c>
      <c r="BX79" s="68">
        <v>2</v>
      </c>
      <c r="BY79" s="68">
        <v>1</v>
      </c>
      <c r="BZ79" s="68"/>
      <c r="CA79" s="68">
        <v>2</v>
      </c>
      <c r="CB79" s="68">
        <v>1</v>
      </c>
      <c r="CC79" s="68"/>
      <c r="CD79" s="68"/>
      <c r="CE79" s="68">
        <v>1</v>
      </c>
      <c r="CF79" s="68">
        <v>2</v>
      </c>
      <c r="CG79" s="68">
        <v>1</v>
      </c>
      <c r="CH79" s="68">
        <v>1</v>
      </c>
      <c r="CI79" s="68">
        <v>1</v>
      </c>
      <c r="CJ79" s="68">
        <v>1</v>
      </c>
      <c r="CK79" s="68"/>
      <c r="CL79" s="68">
        <v>1</v>
      </c>
      <c r="CM79" s="68">
        <v>2</v>
      </c>
      <c r="CN79" s="68"/>
      <c r="CO79" s="68"/>
      <c r="CP79" s="68"/>
      <c r="CQ79" s="68"/>
      <c r="CR79" s="68"/>
      <c r="CS79" s="68"/>
      <c r="CT79" s="68">
        <v>1</v>
      </c>
      <c r="CU79" s="68"/>
      <c r="CV79" s="68">
        <v>2</v>
      </c>
      <c r="CW79" s="68"/>
      <c r="CX79" s="68"/>
      <c r="CY79" s="68"/>
      <c r="CZ79" s="68"/>
      <c r="DA79" s="68">
        <v>2</v>
      </c>
      <c r="DB79" s="68"/>
      <c r="DC79" s="68"/>
      <c r="DD79" s="68"/>
      <c r="DE79" s="68"/>
      <c r="DF79" s="68"/>
      <c r="DG79" s="68"/>
      <c r="DH79" s="68"/>
      <c r="DI79" s="68">
        <v>1</v>
      </c>
      <c r="DJ79" s="68"/>
      <c r="DK79" s="68"/>
      <c r="DL79" s="68"/>
      <c r="DM79" s="68"/>
      <c r="DN79" s="68"/>
      <c r="DO79" s="68"/>
      <c r="DP79" s="68"/>
      <c r="DQ79" s="68"/>
      <c r="DR79" s="68"/>
      <c r="DS79" s="68"/>
      <c r="DT79" s="68"/>
      <c r="DU79" s="68">
        <v>1</v>
      </c>
      <c r="DV79" s="68"/>
      <c r="DW79" s="68"/>
      <c r="DX79" s="68">
        <v>1</v>
      </c>
      <c r="DY79" s="43"/>
      <c r="EA79" s="29"/>
      <c r="EB79" s="12"/>
      <c r="EC79" s="12"/>
      <c r="ED79" s="6">
        <v>71</v>
      </c>
      <c r="EE79" s="6">
        <v>72</v>
      </c>
      <c r="EF79" s="4">
        <v>73</v>
      </c>
      <c r="EG79" s="121">
        <v>74</v>
      </c>
      <c r="EH79" s="6">
        <v>75</v>
      </c>
      <c r="EI79" s="121">
        <v>76</v>
      </c>
      <c r="EJ79" s="6">
        <v>77</v>
      </c>
      <c r="EK79" s="6">
        <v>78</v>
      </c>
      <c r="EL79" s="4">
        <v>79</v>
      </c>
      <c r="EM79" s="70">
        <v>80</v>
      </c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</row>
    <row r="80" spans="1:177" s="13" customFormat="1" ht="13.2" customHeight="1" x14ac:dyDescent="0.25">
      <c r="A80" s="177">
        <v>90</v>
      </c>
      <c r="B80" s="180">
        <v>26</v>
      </c>
      <c r="C80" s="14">
        <f>A80-A89-1</f>
        <v>2</v>
      </c>
      <c r="D80" s="14">
        <f>A80-A89-1</f>
        <v>2</v>
      </c>
      <c r="E80" s="14">
        <f>A80-A173-1</f>
        <v>30</v>
      </c>
      <c r="F80" s="14">
        <f>A80-A215-1</f>
        <v>44</v>
      </c>
      <c r="G80" s="14">
        <f>A80-A140-1</f>
        <v>19</v>
      </c>
      <c r="H80" s="14">
        <f>A80-A140-1</f>
        <v>19</v>
      </c>
      <c r="I80" s="44"/>
      <c r="J80" s="156">
        <f>A80-A101-1</f>
        <v>6</v>
      </c>
      <c r="K80" s="44"/>
      <c r="L80" s="188">
        <v>46097</v>
      </c>
      <c r="M80" s="44"/>
      <c r="N80" s="83">
        <v>81</v>
      </c>
      <c r="O80" s="83">
        <v>82</v>
      </c>
      <c r="P80" s="83">
        <v>83</v>
      </c>
      <c r="Q80" s="83">
        <v>84</v>
      </c>
      <c r="R80" s="83">
        <v>85</v>
      </c>
      <c r="S80" s="83">
        <v>86</v>
      </c>
      <c r="T80" s="83">
        <v>87</v>
      </c>
      <c r="U80" s="83">
        <v>88</v>
      </c>
      <c r="V80" s="83">
        <v>89</v>
      </c>
      <c r="W80" s="70">
        <v>90</v>
      </c>
      <c r="X80" s="45"/>
      <c r="Y80" s="83">
        <v>81</v>
      </c>
      <c r="Z80" s="83">
        <v>82</v>
      </c>
      <c r="AA80" s="83">
        <v>83</v>
      </c>
      <c r="AB80" s="83">
        <v>84</v>
      </c>
      <c r="AC80" s="83">
        <v>85</v>
      </c>
      <c r="AD80" s="83">
        <v>86</v>
      </c>
      <c r="AE80" s="83">
        <v>87</v>
      </c>
      <c r="AF80" s="83">
        <v>88</v>
      </c>
      <c r="AG80" s="83">
        <v>89</v>
      </c>
      <c r="AH80" s="84">
        <v>90</v>
      </c>
      <c r="AI80" s="149"/>
      <c r="AJ80" s="19"/>
      <c r="AK80" s="19"/>
      <c r="AL80" s="19"/>
      <c r="AM80" s="19"/>
      <c r="AN80" s="42"/>
      <c r="AO80" s="54"/>
      <c r="AP80" s="19"/>
      <c r="AR80" s="74"/>
      <c r="AS80" s="42"/>
      <c r="AT80" s="54"/>
      <c r="AU80" s="54"/>
      <c r="AV80" s="19"/>
      <c r="AW80" s="54"/>
      <c r="AX80" s="57"/>
      <c r="AY80" s="54"/>
      <c r="AZ80" s="54"/>
      <c r="BA80" s="54"/>
      <c r="BB80" s="54"/>
      <c r="BC80" s="57"/>
      <c r="BD80" s="19"/>
      <c r="BE80" s="19"/>
      <c r="BF80" s="19"/>
      <c r="BG80" s="54"/>
      <c r="BH80" s="43"/>
      <c r="BI80" s="53">
        <v>46104</v>
      </c>
      <c r="BJ80" s="64">
        <v>67</v>
      </c>
      <c r="BK80" s="71">
        <v>67</v>
      </c>
      <c r="BL80" s="77">
        <v>22</v>
      </c>
      <c r="BM80" s="77">
        <v>62</v>
      </c>
      <c r="BN80" s="72">
        <v>10</v>
      </c>
      <c r="BO80" s="73">
        <v>6</v>
      </c>
      <c r="BP80" s="73">
        <v>1</v>
      </c>
      <c r="BQ80" s="73">
        <v>4</v>
      </c>
      <c r="BR80" s="73">
        <v>1</v>
      </c>
      <c r="BS80" s="73">
        <v>5</v>
      </c>
      <c r="BT80" s="73">
        <v>6</v>
      </c>
      <c r="BU80" s="73">
        <v>1</v>
      </c>
      <c r="BV80" s="73">
        <v>5</v>
      </c>
      <c r="BW80" s="73">
        <v>1</v>
      </c>
      <c r="BX80" s="73">
        <v>3</v>
      </c>
      <c r="BY80" s="73">
        <v>5</v>
      </c>
      <c r="BZ80" s="73">
        <v>2</v>
      </c>
      <c r="CA80" s="73">
        <v>2</v>
      </c>
      <c r="CB80" s="73">
        <v>6</v>
      </c>
      <c r="CC80" s="73">
        <v>1</v>
      </c>
      <c r="CD80" s="73">
        <v>1</v>
      </c>
      <c r="CE80" s="73">
        <v>2</v>
      </c>
      <c r="CF80" s="73"/>
      <c r="CG80" s="73"/>
      <c r="CH80" s="73">
        <v>1</v>
      </c>
      <c r="CI80" s="73"/>
      <c r="CJ80" s="73"/>
      <c r="CK80" s="73"/>
      <c r="CL80" s="73">
        <v>1</v>
      </c>
      <c r="CM80" s="73"/>
      <c r="CN80" s="73">
        <v>1</v>
      </c>
      <c r="CO80" s="73"/>
      <c r="CP80" s="73"/>
      <c r="CQ80" s="73"/>
      <c r="CR80" s="73"/>
      <c r="CS80" s="73"/>
      <c r="CT80" s="73"/>
      <c r="CU80" s="73"/>
      <c r="CV80" s="73">
        <v>1</v>
      </c>
      <c r="CW80" s="73"/>
      <c r="CX80" s="73"/>
      <c r="CY80" s="73"/>
      <c r="CZ80" s="73">
        <v>1</v>
      </c>
      <c r="DA80" s="73"/>
      <c r="DB80" s="73"/>
      <c r="DC80" s="73"/>
      <c r="DD80" s="73"/>
      <c r="DE80" s="73"/>
      <c r="DF80" s="73">
        <v>1</v>
      </c>
      <c r="DG80" s="73"/>
      <c r="DH80" s="73"/>
      <c r="DI80" s="73"/>
      <c r="DJ80" s="73"/>
      <c r="DK80" s="73"/>
      <c r="DL80" s="73"/>
      <c r="DM80" s="73"/>
      <c r="DN80" s="73">
        <v>2</v>
      </c>
      <c r="DO80" s="73"/>
      <c r="DP80" s="73"/>
      <c r="DQ80" s="73"/>
      <c r="DR80" s="73"/>
      <c r="DS80" s="73"/>
      <c r="DT80" s="73">
        <v>1</v>
      </c>
      <c r="DU80" s="73"/>
      <c r="DV80" s="73"/>
      <c r="DW80" s="73"/>
      <c r="DX80" s="73">
        <v>1</v>
      </c>
      <c r="DY80" s="43"/>
      <c r="EA80" s="29"/>
      <c r="EB80" s="12"/>
      <c r="EC80" s="12"/>
      <c r="ED80" s="6">
        <v>81</v>
      </c>
      <c r="EE80" s="6">
        <v>82</v>
      </c>
      <c r="EF80" s="6">
        <v>83</v>
      </c>
      <c r="EG80" s="6">
        <v>84</v>
      </c>
      <c r="EH80" s="4">
        <v>85</v>
      </c>
      <c r="EI80" s="4">
        <v>86</v>
      </c>
      <c r="EJ80" s="6">
        <v>87</v>
      </c>
      <c r="EK80" s="6">
        <v>88</v>
      </c>
      <c r="EL80" s="6">
        <v>89</v>
      </c>
      <c r="EM80" s="41">
        <v>90</v>
      </c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</row>
    <row r="81" spans="1:177" s="13" customFormat="1" ht="13.2" customHeight="1" x14ac:dyDescent="0.25">
      <c r="A81" s="178"/>
      <c r="B81" s="180"/>
      <c r="C81" s="114">
        <v>23</v>
      </c>
      <c r="D81" s="115">
        <v>38</v>
      </c>
      <c r="E81" s="115">
        <v>47</v>
      </c>
      <c r="F81" s="115">
        <v>61</v>
      </c>
      <c r="G81" s="115">
        <v>78</v>
      </c>
      <c r="H81" s="115">
        <v>83</v>
      </c>
      <c r="I81" s="44"/>
      <c r="J81" s="115">
        <v>81</v>
      </c>
      <c r="K81" s="44"/>
      <c r="L81" s="188"/>
      <c r="M81" s="44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44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49"/>
      <c r="AJ81" s="19"/>
      <c r="AK81" s="19"/>
      <c r="AL81" s="19"/>
      <c r="AM81" s="19"/>
      <c r="AN81" s="42"/>
      <c r="AO81" s="54"/>
      <c r="AP81" s="19"/>
      <c r="AR81" s="74"/>
      <c r="AS81" s="42"/>
      <c r="AT81" s="75"/>
      <c r="AU81" s="54"/>
      <c r="AV81" s="19"/>
      <c r="AW81" s="113"/>
      <c r="AX81" s="57"/>
      <c r="AY81" s="54"/>
      <c r="AZ81" s="54"/>
      <c r="BA81" s="54"/>
      <c r="BB81" s="54"/>
      <c r="BC81" s="57"/>
      <c r="BD81" s="19"/>
      <c r="BE81" s="19"/>
      <c r="BF81" s="19"/>
      <c r="BG81" s="54"/>
      <c r="BH81" s="43"/>
      <c r="BI81" s="53">
        <v>46141</v>
      </c>
      <c r="BJ81" s="64">
        <v>68</v>
      </c>
      <c r="BK81" s="66">
        <v>68</v>
      </c>
      <c r="BL81" s="64">
        <v>6</v>
      </c>
      <c r="BM81" s="64">
        <v>60</v>
      </c>
      <c r="BN81" s="64">
        <v>12</v>
      </c>
      <c r="BO81" s="68">
        <v>2</v>
      </c>
      <c r="BP81" s="68">
        <v>1</v>
      </c>
      <c r="BQ81" s="68">
        <v>7</v>
      </c>
      <c r="BR81" s="68">
        <v>5</v>
      </c>
      <c r="BS81" s="68">
        <v>2</v>
      </c>
      <c r="BT81" s="68">
        <v>2</v>
      </c>
      <c r="BU81" s="68">
        <v>1</v>
      </c>
      <c r="BV81" s="68">
        <v>8</v>
      </c>
      <c r="BW81" s="68">
        <v>2</v>
      </c>
      <c r="BX81" s="68">
        <v>3</v>
      </c>
      <c r="BY81" s="68">
        <v>2</v>
      </c>
      <c r="BZ81" s="68"/>
      <c r="CA81" s="68">
        <v>2</v>
      </c>
      <c r="CB81" s="68"/>
      <c r="CC81" s="68">
        <v>1</v>
      </c>
      <c r="CD81" s="68">
        <v>3</v>
      </c>
      <c r="CE81" s="68">
        <v>1</v>
      </c>
      <c r="CF81" s="68"/>
      <c r="CG81" s="68">
        <v>1</v>
      </c>
      <c r="CH81" s="68"/>
      <c r="CI81" s="68"/>
      <c r="CJ81" s="68">
        <v>1</v>
      </c>
      <c r="CK81" s="68">
        <v>2</v>
      </c>
      <c r="CL81" s="68"/>
      <c r="CM81" s="68">
        <v>1</v>
      </c>
      <c r="CN81" s="68"/>
      <c r="CO81" s="68">
        <v>1</v>
      </c>
      <c r="CP81" s="68">
        <v>1</v>
      </c>
      <c r="CQ81" s="68"/>
      <c r="CR81" s="68"/>
      <c r="CS81" s="68"/>
      <c r="CT81" s="68">
        <v>1</v>
      </c>
      <c r="CU81" s="68">
        <v>1</v>
      </c>
      <c r="CV81" s="68"/>
      <c r="CW81" s="68"/>
      <c r="CX81" s="68"/>
      <c r="CY81" s="68">
        <v>1</v>
      </c>
      <c r="CZ81" s="68"/>
      <c r="DA81" s="68"/>
      <c r="DB81" s="68"/>
      <c r="DC81" s="68"/>
      <c r="DD81" s="68"/>
      <c r="DE81" s="68"/>
      <c r="DF81" s="68">
        <v>1</v>
      </c>
      <c r="DG81" s="68"/>
      <c r="DH81" s="68"/>
      <c r="DI81" s="68"/>
      <c r="DJ81" s="68"/>
      <c r="DK81" s="68"/>
      <c r="DL81" s="68"/>
      <c r="DM81" s="68"/>
      <c r="DN81" s="68"/>
      <c r="DO81" s="68"/>
      <c r="DP81" s="68">
        <v>1</v>
      </c>
      <c r="DQ81" s="68"/>
      <c r="DR81" s="68"/>
      <c r="DS81" s="68"/>
      <c r="DT81" s="68"/>
      <c r="DU81" s="68"/>
      <c r="DV81" s="68"/>
      <c r="DW81" s="68"/>
      <c r="DX81" s="68">
        <v>2</v>
      </c>
      <c r="DY81" s="43"/>
      <c r="EA81" s="29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</row>
    <row r="82" spans="1:177" s="13" customFormat="1" ht="13.2" customHeight="1" x14ac:dyDescent="0.25">
      <c r="A82" s="179"/>
      <c r="B82" s="180"/>
      <c r="C82" s="10">
        <f>D91+1</f>
        <v>14</v>
      </c>
      <c r="D82" s="10">
        <f>E91+1</f>
        <v>7</v>
      </c>
      <c r="E82" s="10">
        <f>D175+1</f>
        <v>6</v>
      </c>
      <c r="F82" s="10">
        <f>E217+1</f>
        <v>7</v>
      </c>
      <c r="G82" s="10">
        <f>G142+1</f>
        <v>4</v>
      </c>
      <c r="H82" s="10">
        <f>H142+1</f>
        <v>7</v>
      </c>
      <c r="I82" s="44"/>
      <c r="J82" s="156">
        <f>H103+2</f>
        <v>5</v>
      </c>
      <c r="K82" s="44"/>
      <c r="L82" s="188"/>
      <c r="M82" s="44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44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49"/>
      <c r="AL82" s="56"/>
      <c r="AN82" s="44"/>
      <c r="AR82" s="56"/>
      <c r="AS82" s="44"/>
      <c r="AW82" s="56"/>
      <c r="AX82" s="94"/>
      <c r="AY82" s="56"/>
      <c r="AZ82" s="56"/>
      <c r="BA82" s="56"/>
      <c r="BB82" s="56"/>
      <c r="BC82" s="94"/>
      <c r="BG82" s="56"/>
      <c r="BH82" s="43"/>
      <c r="BI82" s="53">
        <v>46130</v>
      </c>
      <c r="BJ82" s="64">
        <v>69</v>
      </c>
      <c r="BK82" s="71">
        <v>69</v>
      </c>
      <c r="BL82" s="77">
        <v>11</v>
      </c>
      <c r="BM82" s="77">
        <v>69</v>
      </c>
      <c r="BN82" s="72">
        <v>6</v>
      </c>
      <c r="BO82" s="73">
        <v>2</v>
      </c>
      <c r="BP82" s="73">
        <v>7</v>
      </c>
      <c r="BQ82" s="73">
        <v>7</v>
      </c>
      <c r="BR82" s="73">
        <v>4</v>
      </c>
      <c r="BS82" s="73">
        <v>1</v>
      </c>
      <c r="BT82" s="73">
        <v>1</v>
      </c>
      <c r="BU82" s="73">
        <v>3</v>
      </c>
      <c r="BV82" s="73">
        <v>5</v>
      </c>
      <c r="BW82" s="73">
        <v>5</v>
      </c>
      <c r="BX82" s="73">
        <v>3</v>
      </c>
      <c r="BY82" s="73">
        <v>5</v>
      </c>
      <c r="BZ82" s="73">
        <v>1</v>
      </c>
      <c r="CA82" s="73"/>
      <c r="CB82" s="73"/>
      <c r="CC82" s="73">
        <v>2</v>
      </c>
      <c r="CD82" s="73">
        <v>1</v>
      </c>
      <c r="CE82" s="73">
        <v>2</v>
      </c>
      <c r="CF82" s="73"/>
      <c r="CG82" s="73">
        <v>3</v>
      </c>
      <c r="CH82" s="73">
        <v>1</v>
      </c>
      <c r="CI82" s="73">
        <v>2</v>
      </c>
      <c r="CJ82" s="73">
        <v>1</v>
      </c>
      <c r="CK82" s="73">
        <v>2</v>
      </c>
      <c r="CL82" s="73">
        <v>1</v>
      </c>
      <c r="CM82" s="73"/>
      <c r="CN82" s="73"/>
      <c r="CO82" s="73">
        <v>1</v>
      </c>
      <c r="CP82" s="73"/>
      <c r="CQ82" s="73">
        <v>1</v>
      </c>
      <c r="CR82" s="73">
        <v>1</v>
      </c>
      <c r="CS82" s="73"/>
      <c r="CT82" s="73"/>
      <c r="CU82" s="73"/>
      <c r="CV82" s="73">
        <v>1</v>
      </c>
      <c r="CW82" s="73"/>
      <c r="CX82" s="73"/>
      <c r="CY82" s="73"/>
      <c r="CZ82" s="73"/>
      <c r="DA82" s="73">
        <v>1</v>
      </c>
      <c r="DB82" s="73"/>
      <c r="DC82" s="73"/>
      <c r="DD82" s="73"/>
      <c r="DE82" s="73"/>
      <c r="DF82" s="73"/>
      <c r="DG82" s="73"/>
      <c r="DH82" s="73"/>
      <c r="DI82" s="73"/>
      <c r="DJ82" s="73"/>
      <c r="DK82" s="73"/>
      <c r="DL82" s="73"/>
      <c r="DM82" s="73"/>
      <c r="DN82" s="73"/>
      <c r="DO82" s="73"/>
      <c r="DP82" s="73"/>
      <c r="DQ82" s="73"/>
      <c r="DR82" s="73"/>
      <c r="DS82" s="73"/>
      <c r="DT82" s="73"/>
      <c r="DU82" s="73"/>
      <c r="DV82" s="73"/>
      <c r="DW82" s="73"/>
      <c r="DX82" s="73">
        <v>1</v>
      </c>
      <c r="DY82" s="43"/>
      <c r="EA82" s="29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</row>
    <row r="83" spans="1:177" s="13" customFormat="1" ht="13.2" customHeight="1" x14ac:dyDescent="0.25">
      <c r="A83" s="177">
        <v>89</v>
      </c>
      <c r="B83" s="180">
        <v>25</v>
      </c>
      <c r="C83" s="14">
        <f>A83-A86-1</f>
        <v>0</v>
      </c>
      <c r="D83" s="14">
        <f>A83-A92-1</f>
        <v>2</v>
      </c>
      <c r="E83" s="14">
        <f>A83-A143-1</f>
        <v>19</v>
      </c>
      <c r="F83" s="14">
        <f>A83-A203-1</f>
        <v>39</v>
      </c>
      <c r="G83" s="14">
        <f>A83-A95-1</f>
        <v>3</v>
      </c>
      <c r="H83" s="14">
        <f>A83-A125-1</f>
        <v>13</v>
      </c>
      <c r="I83" s="44"/>
      <c r="J83" s="156">
        <f>A83-A194-1</f>
        <v>36</v>
      </c>
      <c r="K83" s="44"/>
      <c r="L83" s="188">
        <v>46095</v>
      </c>
      <c r="M83" s="44"/>
      <c r="N83" s="174">
        <v>46132</v>
      </c>
      <c r="O83" s="175"/>
      <c r="P83" s="175"/>
      <c r="Q83" s="175"/>
      <c r="R83" s="175"/>
      <c r="S83" s="175"/>
      <c r="T83" s="175"/>
      <c r="U83" s="175"/>
      <c r="V83" s="175"/>
      <c r="W83" s="176"/>
      <c r="X83" s="44"/>
      <c r="Y83" s="174">
        <v>46130</v>
      </c>
      <c r="Z83" s="175"/>
      <c r="AA83" s="175"/>
      <c r="AB83" s="175"/>
      <c r="AC83" s="175"/>
      <c r="AD83" s="175"/>
      <c r="AE83" s="175"/>
      <c r="AF83" s="175"/>
      <c r="AG83" s="175"/>
      <c r="AH83" s="176"/>
      <c r="AI83" s="149"/>
      <c r="AL83" s="56"/>
      <c r="AN83" s="44"/>
      <c r="AR83" s="56"/>
      <c r="AS83" s="44"/>
      <c r="AW83" s="56"/>
      <c r="AX83" s="94"/>
      <c r="AY83" s="56"/>
      <c r="AZ83" s="56"/>
      <c r="BA83" s="56"/>
      <c r="BB83" s="56"/>
      <c r="BC83" s="94"/>
      <c r="BG83" s="56"/>
      <c r="BH83" s="43"/>
      <c r="BI83" s="53">
        <v>46155</v>
      </c>
      <c r="BJ83" s="64">
        <v>70</v>
      </c>
      <c r="BK83" s="66">
        <v>70</v>
      </c>
      <c r="BL83" s="63" t="s">
        <v>0</v>
      </c>
      <c r="BM83" s="63">
        <v>52</v>
      </c>
      <c r="BN83" s="64">
        <v>10</v>
      </c>
      <c r="BO83" s="68">
        <v>3</v>
      </c>
      <c r="BP83" s="68"/>
      <c r="BQ83" s="68">
        <v>3</v>
      </c>
      <c r="BR83" s="68">
        <v>3</v>
      </c>
      <c r="BS83" s="68"/>
      <c r="BT83" s="68">
        <v>1</v>
      </c>
      <c r="BU83" s="68">
        <v>2</v>
      </c>
      <c r="BV83" s="68">
        <v>3</v>
      </c>
      <c r="BW83" s="68">
        <v>4</v>
      </c>
      <c r="BX83" s="68">
        <v>1</v>
      </c>
      <c r="BY83" s="68"/>
      <c r="BZ83" s="68">
        <v>1</v>
      </c>
      <c r="CA83" s="68">
        <v>2</v>
      </c>
      <c r="CB83" s="68"/>
      <c r="CC83" s="68">
        <v>1</v>
      </c>
      <c r="CD83" s="68"/>
      <c r="CE83" s="68">
        <v>1</v>
      </c>
      <c r="CF83" s="68">
        <v>1</v>
      </c>
      <c r="CG83" s="68"/>
      <c r="CH83" s="68">
        <v>1</v>
      </c>
      <c r="CI83" s="68"/>
      <c r="CJ83" s="68">
        <v>1</v>
      </c>
      <c r="CK83" s="68"/>
      <c r="CL83" s="68">
        <v>1</v>
      </c>
      <c r="CM83" s="68">
        <v>1</v>
      </c>
      <c r="CN83" s="68"/>
      <c r="CO83" s="68"/>
      <c r="CP83" s="68">
        <v>2</v>
      </c>
      <c r="CQ83" s="68">
        <v>2</v>
      </c>
      <c r="CR83" s="68">
        <v>2</v>
      </c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>
        <v>1</v>
      </c>
      <c r="DH83" s="68"/>
      <c r="DI83" s="68">
        <v>1</v>
      </c>
      <c r="DJ83" s="68"/>
      <c r="DK83" s="68"/>
      <c r="DL83" s="68">
        <v>1</v>
      </c>
      <c r="DM83" s="68"/>
      <c r="DN83" s="68"/>
      <c r="DO83" s="68"/>
      <c r="DP83" s="68"/>
      <c r="DQ83" s="68">
        <v>1</v>
      </c>
      <c r="DR83" s="68">
        <v>1</v>
      </c>
      <c r="DS83" s="68"/>
      <c r="DT83" s="68"/>
      <c r="DU83" s="68">
        <v>1</v>
      </c>
      <c r="DV83" s="68"/>
      <c r="DW83" s="68"/>
      <c r="DX83" s="68"/>
      <c r="DY83" s="43"/>
      <c r="EA83" s="29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23"/>
      <c r="FE83" s="23"/>
      <c r="FF83" s="23"/>
      <c r="FG83" s="23"/>
      <c r="FH83" s="23"/>
      <c r="FI83" s="23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</row>
    <row r="84" spans="1:177" s="13" customFormat="1" ht="13.2" customHeight="1" x14ac:dyDescent="0.25">
      <c r="A84" s="178"/>
      <c r="B84" s="180"/>
      <c r="C84" s="114">
        <v>24</v>
      </c>
      <c r="D84" s="115">
        <v>32</v>
      </c>
      <c r="E84" s="115">
        <v>40</v>
      </c>
      <c r="F84" s="115">
        <v>43</v>
      </c>
      <c r="G84" s="115">
        <v>46</v>
      </c>
      <c r="H84" s="115">
        <v>77</v>
      </c>
      <c r="I84" s="44"/>
      <c r="J84" s="115">
        <v>17</v>
      </c>
      <c r="K84" s="44"/>
      <c r="L84" s="188"/>
      <c r="M84" s="44"/>
      <c r="N84" s="119">
        <v>1</v>
      </c>
      <c r="O84" s="119">
        <v>2</v>
      </c>
      <c r="P84" s="119">
        <v>3</v>
      </c>
      <c r="Q84" s="119">
        <v>4</v>
      </c>
      <c r="R84" s="119">
        <v>5</v>
      </c>
      <c r="S84" s="119">
        <v>6</v>
      </c>
      <c r="T84" s="119">
        <v>7</v>
      </c>
      <c r="U84" s="119">
        <v>8</v>
      </c>
      <c r="V84" s="119">
        <v>9</v>
      </c>
      <c r="W84" s="154">
        <v>10</v>
      </c>
      <c r="X84" s="44"/>
      <c r="Y84" s="119">
        <v>1</v>
      </c>
      <c r="Z84" s="119">
        <v>2</v>
      </c>
      <c r="AA84" s="6">
        <v>3</v>
      </c>
      <c r="AB84" s="119">
        <v>4</v>
      </c>
      <c r="AC84" s="119">
        <v>5</v>
      </c>
      <c r="AD84" s="6">
        <v>6</v>
      </c>
      <c r="AE84" s="119">
        <v>7</v>
      </c>
      <c r="AF84" s="119">
        <v>8</v>
      </c>
      <c r="AG84" s="119">
        <v>9</v>
      </c>
      <c r="AH84" s="154">
        <v>10</v>
      </c>
      <c r="AI84" s="149"/>
      <c r="AL84" s="56"/>
      <c r="AN84" s="44"/>
      <c r="AR84" s="56"/>
      <c r="AS84" s="44"/>
      <c r="AW84" s="56"/>
      <c r="AX84" s="94"/>
      <c r="AY84" s="56"/>
      <c r="AZ84" s="56"/>
      <c r="BA84" s="56"/>
      <c r="BB84" s="56"/>
      <c r="BC84" s="94"/>
      <c r="BG84" s="56"/>
      <c r="BH84" s="43"/>
      <c r="BI84" s="53">
        <v>46102</v>
      </c>
      <c r="BJ84" s="64">
        <v>71</v>
      </c>
      <c r="BK84" s="71">
        <v>71</v>
      </c>
      <c r="BL84" s="77">
        <v>23</v>
      </c>
      <c r="BM84" s="77">
        <v>79</v>
      </c>
      <c r="BN84" s="72">
        <v>10</v>
      </c>
      <c r="BO84" s="73">
        <v>4</v>
      </c>
      <c r="BP84" s="73">
        <v>7</v>
      </c>
      <c r="BQ84" s="73">
        <v>5</v>
      </c>
      <c r="BR84" s="73">
        <v>4</v>
      </c>
      <c r="BS84" s="73">
        <v>4</v>
      </c>
      <c r="BT84" s="73">
        <v>8</v>
      </c>
      <c r="BU84" s="73"/>
      <c r="BV84" s="73">
        <v>3</v>
      </c>
      <c r="BW84" s="73">
        <v>6</v>
      </c>
      <c r="BX84" s="73">
        <v>2</v>
      </c>
      <c r="BY84" s="73">
        <v>2</v>
      </c>
      <c r="BZ84" s="73">
        <v>2</v>
      </c>
      <c r="CA84" s="73">
        <v>4</v>
      </c>
      <c r="CB84" s="73">
        <v>1</v>
      </c>
      <c r="CC84" s="73">
        <v>2</v>
      </c>
      <c r="CD84" s="73">
        <v>2</v>
      </c>
      <c r="CE84" s="73"/>
      <c r="CF84" s="73">
        <v>2</v>
      </c>
      <c r="CG84" s="73">
        <v>1</v>
      </c>
      <c r="CH84" s="73">
        <v>1</v>
      </c>
      <c r="CI84" s="73">
        <v>1</v>
      </c>
      <c r="CJ84" s="73">
        <v>2</v>
      </c>
      <c r="CK84" s="73"/>
      <c r="CL84" s="73">
        <v>1</v>
      </c>
      <c r="CM84" s="73"/>
      <c r="CN84" s="73"/>
      <c r="CO84" s="73"/>
      <c r="CP84" s="73"/>
      <c r="CQ84" s="73">
        <v>1</v>
      </c>
      <c r="CR84" s="73"/>
      <c r="CS84" s="73">
        <v>2</v>
      </c>
      <c r="CT84" s="73"/>
      <c r="CU84" s="73"/>
      <c r="CV84" s="73"/>
      <c r="CW84" s="73">
        <v>1</v>
      </c>
      <c r="CX84" s="73"/>
      <c r="CY84" s="73"/>
      <c r="CZ84" s="73">
        <v>1</v>
      </c>
      <c r="DA84" s="73"/>
      <c r="DB84" s="73"/>
      <c r="DC84" s="73"/>
      <c r="DD84" s="73"/>
      <c r="DE84" s="73"/>
      <c r="DF84" s="73"/>
      <c r="DG84" s="73"/>
      <c r="DH84" s="73"/>
      <c r="DI84" s="73"/>
      <c r="DJ84" s="73">
        <v>2</v>
      </c>
      <c r="DK84" s="73"/>
      <c r="DL84" s="73"/>
      <c r="DM84" s="73"/>
      <c r="DN84" s="73"/>
      <c r="DO84" s="73"/>
      <c r="DP84" s="73"/>
      <c r="DQ84" s="73"/>
      <c r="DR84" s="73"/>
      <c r="DS84" s="73"/>
      <c r="DT84" s="73"/>
      <c r="DU84" s="73"/>
      <c r="DV84" s="73"/>
      <c r="DW84" s="73"/>
      <c r="DX84" s="73"/>
      <c r="DY84" s="43"/>
      <c r="EA84" s="29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23"/>
      <c r="FE84" s="23"/>
      <c r="FF84" s="23"/>
      <c r="FG84" s="23"/>
      <c r="FH84" s="23"/>
      <c r="FI84" s="23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</row>
    <row r="85" spans="1:177" s="13" customFormat="1" ht="13.2" customHeight="1" x14ac:dyDescent="0.25">
      <c r="A85" s="179"/>
      <c r="B85" s="180"/>
      <c r="C85" s="10">
        <f>C88+1</f>
        <v>11</v>
      </c>
      <c r="D85" s="10">
        <f>D94+1</f>
        <v>11</v>
      </c>
      <c r="E85" s="10">
        <f>F145+3</f>
        <v>9</v>
      </c>
      <c r="F85" s="10">
        <f>E205+2</f>
        <v>7</v>
      </c>
      <c r="G85" s="10">
        <f>D97+1</f>
        <v>5</v>
      </c>
      <c r="H85" s="10">
        <f>F127+1</f>
        <v>6</v>
      </c>
      <c r="I85" s="44"/>
      <c r="J85" s="156">
        <f>J196+1</f>
        <v>4</v>
      </c>
      <c r="K85" s="44"/>
      <c r="L85" s="188"/>
      <c r="M85" s="44"/>
      <c r="N85" s="119">
        <v>11</v>
      </c>
      <c r="O85" s="119">
        <v>12</v>
      </c>
      <c r="P85" s="119">
        <v>13</v>
      </c>
      <c r="Q85" s="119">
        <v>14</v>
      </c>
      <c r="R85" s="119">
        <v>15</v>
      </c>
      <c r="S85" s="119">
        <v>16</v>
      </c>
      <c r="T85" s="119">
        <v>17</v>
      </c>
      <c r="U85" s="119">
        <v>18</v>
      </c>
      <c r="V85" s="119">
        <v>19</v>
      </c>
      <c r="W85" s="119">
        <v>20</v>
      </c>
      <c r="X85" s="44"/>
      <c r="Y85" s="119">
        <v>11</v>
      </c>
      <c r="Z85" s="119">
        <v>12</v>
      </c>
      <c r="AA85" s="119">
        <v>13</v>
      </c>
      <c r="AB85" s="119">
        <v>14</v>
      </c>
      <c r="AC85" s="119">
        <v>15</v>
      </c>
      <c r="AD85" s="119">
        <v>16</v>
      </c>
      <c r="AE85" s="119">
        <v>17</v>
      </c>
      <c r="AF85" s="119">
        <v>18</v>
      </c>
      <c r="AG85" s="119">
        <v>19</v>
      </c>
      <c r="AH85" s="119">
        <v>20</v>
      </c>
      <c r="AI85" s="149"/>
      <c r="AL85" s="56"/>
      <c r="AN85" s="44"/>
      <c r="AR85" s="56"/>
      <c r="AS85" s="44"/>
      <c r="AW85" s="56"/>
      <c r="AX85" s="94"/>
      <c r="AY85" s="56"/>
      <c r="AZ85" s="56"/>
      <c r="BA85" s="56"/>
      <c r="BB85" s="56"/>
      <c r="BC85" s="94"/>
      <c r="BG85" s="56"/>
      <c r="BH85" s="43"/>
      <c r="BI85" s="53">
        <v>46151</v>
      </c>
      <c r="BJ85" s="64">
        <v>72</v>
      </c>
      <c r="BK85" s="66">
        <v>72</v>
      </c>
      <c r="BL85" s="63">
        <v>2</v>
      </c>
      <c r="BM85" s="63">
        <v>60</v>
      </c>
      <c r="BN85" s="64">
        <v>11</v>
      </c>
      <c r="BO85" s="68">
        <v>2</v>
      </c>
      <c r="BP85" s="68">
        <v>1</v>
      </c>
      <c r="BQ85" s="68">
        <v>4</v>
      </c>
      <c r="BR85" s="68">
        <v>2</v>
      </c>
      <c r="BS85" s="68"/>
      <c r="BT85" s="68">
        <v>5</v>
      </c>
      <c r="BU85" s="68">
        <v>3</v>
      </c>
      <c r="BV85" s="68">
        <v>1</v>
      </c>
      <c r="BW85" s="68">
        <v>1</v>
      </c>
      <c r="BX85" s="68">
        <v>1</v>
      </c>
      <c r="BY85" s="68"/>
      <c r="BZ85" s="68">
        <v>1</v>
      </c>
      <c r="CA85" s="68">
        <v>2</v>
      </c>
      <c r="CB85" s="68"/>
      <c r="CC85" s="68">
        <v>4</v>
      </c>
      <c r="CD85" s="68">
        <v>2</v>
      </c>
      <c r="CE85" s="68"/>
      <c r="CF85" s="68">
        <v>1</v>
      </c>
      <c r="CG85" s="68">
        <v>1</v>
      </c>
      <c r="CH85" s="68"/>
      <c r="CI85" s="68"/>
      <c r="CJ85" s="68">
        <v>2</v>
      </c>
      <c r="CK85" s="68"/>
      <c r="CL85" s="68"/>
      <c r="CM85" s="68">
        <v>1</v>
      </c>
      <c r="CN85" s="68"/>
      <c r="CO85" s="68">
        <v>1</v>
      </c>
      <c r="CP85" s="68">
        <v>2</v>
      </c>
      <c r="CQ85" s="68">
        <v>1</v>
      </c>
      <c r="CR85" s="68"/>
      <c r="CS85" s="68"/>
      <c r="CT85" s="68"/>
      <c r="CU85" s="68">
        <v>1</v>
      </c>
      <c r="CV85" s="68">
        <v>2</v>
      </c>
      <c r="CW85" s="68">
        <v>1</v>
      </c>
      <c r="CX85" s="68"/>
      <c r="CY85" s="68">
        <v>1</v>
      </c>
      <c r="CZ85" s="68"/>
      <c r="DA85" s="68"/>
      <c r="DB85" s="68"/>
      <c r="DC85" s="68"/>
      <c r="DD85" s="68"/>
      <c r="DE85" s="68"/>
      <c r="DF85" s="68"/>
      <c r="DG85" s="68"/>
      <c r="DH85" s="68">
        <v>1</v>
      </c>
      <c r="DI85" s="68"/>
      <c r="DJ85" s="68"/>
      <c r="DK85" s="68"/>
      <c r="DL85" s="68"/>
      <c r="DM85" s="68">
        <v>1</v>
      </c>
      <c r="DN85" s="68"/>
      <c r="DO85" s="68"/>
      <c r="DP85" s="68"/>
      <c r="DQ85" s="68"/>
      <c r="DR85" s="68"/>
      <c r="DS85" s="68"/>
      <c r="DT85" s="68"/>
      <c r="DU85" s="68"/>
      <c r="DV85" s="68"/>
      <c r="DW85" s="68"/>
      <c r="DX85" s="68">
        <v>1</v>
      </c>
      <c r="DY85" s="43"/>
      <c r="EA85" s="29"/>
      <c r="EB85" s="9"/>
      <c r="EC85" s="29"/>
      <c r="ED85" s="9"/>
      <c r="EE85" s="161"/>
      <c r="EF85" s="161"/>
      <c r="EG85" s="161"/>
      <c r="EH85" s="20"/>
      <c r="EI85" s="49"/>
      <c r="EJ85" s="49"/>
      <c r="EK85" s="95"/>
      <c r="EL85" s="95"/>
      <c r="EM85" s="95"/>
      <c r="EN85" s="95"/>
      <c r="EO85" s="95"/>
      <c r="EP85" s="95"/>
      <c r="EQ85" s="95"/>
      <c r="ER85" s="95"/>
      <c r="ES85" s="95"/>
      <c r="ET85" s="95"/>
      <c r="EU85" s="95"/>
      <c r="EV85" s="95"/>
      <c r="EW85" s="95"/>
      <c r="EX85" s="95"/>
      <c r="EY85" s="95"/>
      <c r="EZ85" s="95"/>
      <c r="FA85" s="95"/>
      <c r="FB85" s="95"/>
      <c r="FC85" s="95"/>
      <c r="FD85" s="95"/>
      <c r="FE85" s="95"/>
      <c r="FF85" s="95"/>
      <c r="FG85" s="95"/>
      <c r="FH85" s="95"/>
      <c r="FI85" s="95"/>
      <c r="FJ85" s="95"/>
      <c r="FK85" s="95"/>
      <c r="FL85" s="95"/>
      <c r="FM85" s="95"/>
      <c r="FN85" s="95"/>
      <c r="FO85" s="95"/>
      <c r="FP85" s="95"/>
      <c r="FQ85" s="20"/>
      <c r="FR85" s="20"/>
      <c r="FS85" s="20"/>
      <c r="FT85" s="20"/>
      <c r="FU85" s="20"/>
    </row>
    <row r="86" spans="1:177" s="13" customFormat="1" ht="13.2" customHeight="1" x14ac:dyDescent="0.25">
      <c r="A86" s="177">
        <v>88</v>
      </c>
      <c r="B86" s="180">
        <v>26</v>
      </c>
      <c r="C86" s="14">
        <f>A86-A146-1</f>
        <v>19</v>
      </c>
      <c r="D86" s="14">
        <f>A86-A98-1</f>
        <v>3</v>
      </c>
      <c r="E86" s="14">
        <f>A86-A131-1</f>
        <v>14</v>
      </c>
      <c r="F86" s="14">
        <f>A86-A89-1</f>
        <v>0</v>
      </c>
      <c r="G86" s="14">
        <f>A86-A116-1</f>
        <v>9</v>
      </c>
      <c r="H86" s="14">
        <f>A86-A110-1</f>
        <v>7</v>
      </c>
      <c r="I86" s="44"/>
      <c r="J86" s="156">
        <f>A86-A134-1</f>
        <v>15</v>
      </c>
      <c r="K86" s="44"/>
      <c r="L86" s="188">
        <v>46092</v>
      </c>
      <c r="M86" s="44"/>
      <c r="N86" s="119">
        <v>21</v>
      </c>
      <c r="O86" s="119">
        <v>22</v>
      </c>
      <c r="P86" s="119">
        <v>23</v>
      </c>
      <c r="Q86" s="119">
        <v>24</v>
      </c>
      <c r="R86" s="119">
        <v>25</v>
      </c>
      <c r="S86" s="119">
        <v>26</v>
      </c>
      <c r="T86" s="119">
        <v>27</v>
      </c>
      <c r="U86" s="6">
        <v>28</v>
      </c>
      <c r="V86" s="119">
        <v>29</v>
      </c>
      <c r="W86" s="154">
        <v>30</v>
      </c>
      <c r="X86" s="44"/>
      <c r="Y86" s="119">
        <v>21</v>
      </c>
      <c r="Z86" s="119">
        <v>22</v>
      </c>
      <c r="AA86" s="119">
        <v>23</v>
      </c>
      <c r="AB86" s="119">
        <v>24</v>
      </c>
      <c r="AC86" s="119">
        <v>25</v>
      </c>
      <c r="AD86" s="119">
        <v>26</v>
      </c>
      <c r="AE86" s="119">
        <v>27</v>
      </c>
      <c r="AF86" s="119">
        <v>28</v>
      </c>
      <c r="AG86" s="119">
        <v>29</v>
      </c>
      <c r="AH86" s="154">
        <v>30</v>
      </c>
      <c r="AI86" s="149"/>
      <c r="AL86" s="56"/>
      <c r="AN86" s="44"/>
      <c r="AR86" s="56"/>
      <c r="AS86" s="44"/>
      <c r="AW86" s="56"/>
      <c r="AX86" s="94"/>
      <c r="AY86" s="56"/>
      <c r="AZ86" s="56"/>
      <c r="BA86" s="56"/>
      <c r="BB86" s="56"/>
      <c r="BC86" s="94"/>
      <c r="BG86" s="56"/>
      <c r="BH86" s="43"/>
      <c r="BI86" s="53">
        <v>46064</v>
      </c>
      <c r="BJ86" s="64">
        <v>73</v>
      </c>
      <c r="BK86" s="71">
        <v>73</v>
      </c>
      <c r="BL86" s="77">
        <v>39</v>
      </c>
      <c r="BM86" s="77">
        <v>57</v>
      </c>
      <c r="BN86" s="72">
        <v>7</v>
      </c>
      <c r="BO86" s="73">
        <v>7</v>
      </c>
      <c r="BP86" s="73">
        <v>4</v>
      </c>
      <c r="BQ86" s="73">
        <v>3</v>
      </c>
      <c r="BR86" s="73">
        <v>4</v>
      </c>
      <c r="BS86" s="73">
        <v>4</v>
      </c>
      <c r="BT86" s="73">
        <v>2</v>
      </c>
      <c r="BU86" s="73">
        <v>1</v>
      </c>
      <c r="BV86" s="73">
        <v>3</v>
      </c>
      <c r="BW86" s="73">
        <v>2</v>
      </c>
      <c r="BX86" s="73">
        <v>1</v>
      </c>
      <c r="BY86" s="73">
        <v>1</v>
      </c>
      <c r="BZ86" s="73">
        <v>1</v>
      </c>
      <c r="CA86" s="73"/>
      <c r="CB86" s="73">
        <v>1</v>
      </c>
      <c r="CC86" s="73">
        <v>2</v>
      </c>
      <c r="CD86" s="73">
        <v>1</v>
      </c>
      <c r="CE86" s="73"/>
      <c r="CF86" s="73">
        <v>1</v>
      </c>
      <c r="CG86" s="73">
        <v>1</v>
      </c>
      <c r="CH86" s="73">
        <v>1</v>
      </c>
      <c r="CI86" s="73">
        <v>2</v>
      </c>
      <c r="CJ86" s="73">
        <v>2</v>
      </c>
      <c r="CK86" s="73">
        <v>1</v>
      </c>
      <c r="CL86" s="73"/>
      <c r="CM86" s="73"/>
      <c r="CN86" s="73">
        <v>1</v>
      </c>
      <c r="CO86" s="73"/>
      <c r="CP86" s="73"/>
      <c r="CQ86" s="73"/>
      <c r="CR86" s="73"/>
      <c r="CS86" s="73"/>
      <c r="CT86" s="73"/>
      <c r="CU86" s="73">
        <v>1</v>
      </c>
      <c r="CV86" s="73"/>
      <c r="CW86" s="73"/>
      <c r="CX86" s="73"/>
      <c r="CY86" s="73"/>
      <c r="CZ86" s="73"/>
      <c r="DA86" s="73"/>
      <c r="DB86" s="73"/>
      <c r="DC86" s="73">
        <v>1</v>
      </c>
      <c r="DD86" s="73"/>
      <c r="DE86" s="73"/>
      <c r="DF86" s="73"/>
      <c r="DG86" s="73"/>
      <c r="DH86" s="73"/>
      <c r="DI86" s="73">
        <v>1</v>
      </c>
      <c r="DJ86" s="73"/>
      <c r="DK86" s="73"/>
      <c r="DL86" s="73"/>
      <c r="DM86" s="73"/>
      <c r="DN86" s="73"/>
      <c r="DO86" s="73">
        <v>1</v>
      </c>
      <c r="DP86" s="73"/>
      <c r="DQ86" s="73"/>
      <c r="DR86" s="73"/>
      <c r="DS86" s="73"/>
      <c r="DT86" s="73"/>
      <c r="DU86" s="73"/>
      <c r="DV86" s="73"/>
      <c r="DW86" s="73"/>
      <c r="DX86" s="73">
        <v>1</v>
      </c>
      <c r="DY86" s="43"/>
      <c r="EA86" s="29"/>
      <c r="EB86" s="9"/>
      <c r="EC86" s="29"/>
      <c r="ED86" s="9"/>
      <c r="EE86" s="161"/>
      <c r="EF86" s="161"/>
      <c r="EG86" s="161"/>
      <c r="EH86" s="20"/>
      <c r="EI86" s="49"/>
      <c r="EJ86" s="49"/>
      <c r="EK86" s="95"/>
      <c r="EL86" s="95"/>
      <c r="EM86" s="95"/>
      <c r="EN86" s="95"/>
      <c r="EO86" s="95"/>
      <c r="EP86" s="95"/>
      <c r="EQ86" s="95"/>
      <c r="ER86" s="95"/>
      <c r="ES86" s="95"/>
      <c r="ET86" s="95"/>
      <c r="EU86" s="95"/>
      <c r="EV86" s="95"/>
      <c r="EW86" s="95"/>
      <c r="EX86" s="95"/>
      <c r="EY86" s="95"/>
      <c r="EZ86" s="95"/>
      <c r="FA86" s="95"/>
      <c r="FB86" s="95"/>
      <c r="FC86" s="95"/>
      <c r="FD86" s="95"/>
      <c r="FE86" s="95"/>
      <c r="FF86" s="95"/>
      <c r="FG86" s="95"/>
      <c r="FH86" s="95"/>
      <c r="FI86" s="95"/>
      <c r="FJ86" s="95"/>
      <c r="FK86" s="95"/>
      <c r="FL86" s="95"/>
      <c r="FM86" s="95"/>
      <c r="FN86" s="95"/>
      <c r="FO86" s="95"/>
      <c r="FP86" s="95"/>
      <c r="FQ86" s="20"/>
      <c r="FR86" s="20"/>
      <c r="FS86" s="20"/>
      <c r="FT86" s="20"/>
      <c r="FU86" s="20"/>
    </row>
    <row r="87" spans="1:177" s="13" customFormat="1" ht="13.2" customHeight="1" x14ac:dyDescent="0.25">
      <c r="A87" s="178"/>
      <c r="B87" s="180"/>
      <c r="C87" s="114">
        <v>24</v>
      </c>
      <c r="D87" s="115">
        <v>29</v>
      </c>
      <c r="E87" s="115">
        <v>52</v>
      </c>
      <c r="F87" s="115">
        <v>57</v>
      </c>
      <c r="G87" s="115">
        <v>64</v>
      </c>
      <c r="H87" s="115">
        <v>71</v>
      </c>
      <c r="I87" s="44"/>
      <c r="J87" s="115">
        <v>53</v>
      </c>
      <c r="K87" s="44"/>
      <c r="L87" s="188"/>
      <c r="M87" s="44"/>
      <c r="N87" s="119">
        <v>31</v>
      </c>
      <c r="O87" s="119">
        <v>32</v>
      </c>
      <c r="P87" s="6">
        <v>33</v>
      </c>
      <c r="Q87" s="119">
        <v>34</v>
      </c>
      <c r="R87" s="119">
        <v>35</v>
      </c>
      <c r="S87" s="119">
        <v>36</v>
      </c>
      <c r="T87" s="119">
        <v>37</v>
      </c>
      <c r="U87" s="119">
        <v>38</v>
      </c>
      <c r="V87" s="119">
        <v>39</v>
      </c>
      <c r="W87" s="154">
        <v>40</v>
      </c>
      <c r="X87" s="44"/>
      <c r="Y87" s="119">
        <v>31</v>
      </c>
      <c r="Z87" s="119">
        <v>32</v>
      </c>
      <c r="AA87" s="119">
        <v>33</v>
      </c>
      <c r="AB87" s="119">
        <v>34</v>
      </c>
      <c r="AC87" s="119">
        <v>35</v>
      </c>
      <c r="AD87" s="119">
        <v>36</v>
      </c>
      <c r="AE87" s="119">
        <v>37</v>
      </c>
      <c r="AF87" s="6">
        <v>38</v>
      </c>
      <c r="AG87" s="119">
        <v>39</v>
      </c>
      <c r="AH87" s="154">
        <v>40</v>
      </c>
      <c r="AI87" s="149"/>
      <c r="AL87" s="56"/>
      <c r="AN87" s="44"/>
      <c r="AR87" s="56"/>
      <c r="AS87" s="44"/>
      <c r="AW87" s="56"/>
      <c r="AX87" s="94"/>
      <c r="AY87" s="56"/>
      <c r="AZ87" s="56"/>
      <c r="BA87" s="56"/>
      <c r="BB87" s="56"/>
      <c r="BC87" s="94"/>
      <c r="BG87" s="56"/>
      <c r="BH87" s="43"/>
      <c r="BI87" s="53">
        <v>46113</v>
      </c>
      <c r="BJ87" s="64">
        <v>74</v>
      </c>
      <c r="BK87" s="65">
        <v>74</v>
      </c>
      <c r="BL87" s="63">
        <v>18</v>
      </c>
      <c r="BM87" s="63">
        <v>60</v>
      </c>
      <c r="BN87" s="64">
        <v>14</v>
      </c>
      <c r="BO87" s="68">
        <v>6</v>
      </c>
      <c r="BP87" s="68">
        <v>2</v>
      </c>
      <c r="BQ87" s="68">
        <v>7</v>
      </c>
      <c r="BR87" s="68">
        <v>1</v>
      </c>
      <c r="BS87" s="68"/>
      <c r="BT87" s="68">
        <v>3</v>
      </c>
      <c r="BU87" s="68">
        <v>1</v>
      </c>
      <c r="BV87" s="68"/>
      <c r="BW87" s="68">
        <v>2</v>
      </c>
      <c r="BX87" s="68">
        <v>4</v>
      </c>
      <c r="BY87" s="68"/>
      <c r="BZ87" s="68"/>
      <c r="CA87" s="68"/>
      <c r="CB87" s="68"/>
      <c r="CC87" s="68">
        <v>2</v>
      </c>
      <c r="CD87" s="68">
        <v>2</v>
      </c>
      <c r="CE87" s="68">
        <v>2</v>
      </c>
      <c r="CF87" s="68">
        <v>1</v>
      </c>
      <c r="CG87" s="68"/>
      <c r="CH87" s="68">
        <v>1</v>
      </c>
      <c r="CI87" s="68">
        <v>1</v>
      </c>
      <c r="CJ87" s="68"/>
      <c r="CK87" s="68"/>
      <c r="CL87" s="68">
        <v>1</v>
      </c>
      <c r="CM87" s="68"/>
      <c r="CN87" s="68">
        <v>1</v>
      </c>
      <c r="CO87" s="68">
        <v>1</v>
      </c>
      <c r="CP87" s="68"/>
      <c r="CQ87" s="68"/>
      <c r="CR87" s="68"/>
      <c r="CS87" s="68">
        <v>2</v>
      </c>
      <c r="CT87" s="68"/>
      <c r="CU87" s="68"/>
      <c r="CV87" s="68">
        <v>1</v>
      </c>
      <c r="CW87" s="68">
        <v>1</v>
      </c>
      <c r="CX87" s="68">
        <v>1</v>
      </c>
      <c r="CY87" s="68"/>
      <c r="CZ87" s="68"/>
      <c r="DA87" s="68">
        <v>1</v>
      </c>
      <c r="DB87" s="68"/>
      <c r="DC87" s="68"/>
      <c r="DD87" s="68">
        <v>2</v>
      </c>
      <c r="DE87" s="68"/>
      <c r="DF87" s="68"/>
      <c r="DG87" s="68">
        <v>1</v>
      </c>
      <c r="DH87" s="68">
        <v>1</v>
      </c>
      <c r="DI87" s="68"/>
      <c r="DJ87" s="68"/>
      <c r="DK87" s="68"/>
      <c r="DL87" s="68"/>
      <c r="DM87" s="68"/>
      <c r="DN87" s="68"/>
      <c r="DO87" s="68"/>
      <c r="DP87" s="68"/>
      <c r="DQ87" s="68"/>
      <c r="DR87" s="68"/>
      <c r="DS87" s="68"/>
      <c r="DT87" s="68"/>
      <c r="DU87" s="68"/>
      <c r="DV87" s="68"/>
      <c r="DW87" s="68"/>
      <c r="DX87" s="68">
        <v>1</v>
      </c>
      <c r="DY87" s="43"/>
      <c r="EA87" s="29"/>
      <c r="EB87" s="9"/>
      <c r="EC87" s="29"/>
      <c r="ED87" s="9"/>
      <c r="EE87" s="161"/>
      <c r="EF87" s="161"/>
      <c r="EG87" s="161"/>
      <c r="EH87" s="20"/>
      <c r="EI87" s="49"/>
      <c r="EJ87" s="49"/>
      <c r="EK87" s="95"/>
      <c r="EL87" s="95"/>
      <c r="EM87" s="95"/>
      <c r="EN87" s="95"/>
      <c r="EO87" s="95"/>
      <c r="EP87" s="95"/>
      <c r="EQ87" s="95"/>
      <c r="ER87" s="95"/>
      <c r="ES87" s="95"/>
      <c r="ET87" s="95"/>
      <c r="EU87" s="95"/>
      <c r="EV87" s="95"/>
      <c r="EW87" s="95"/>
      <c r="EX87" s="95"/>
      <c r="EY87" s="95"/>
      <c r="EZ87" s="95"/>
      <c r="FA87" s="95"/>
      <c r="FB87" s="95"/>
      <c r="FC87" s="95"/>
      <c r="FD87" s="95"/>
      <c r="FE87" s="95"/>
      <c r="FF87" s="95"/>
      <c r="FG87" s="95"/>
      <c r="FH87" s="95"/>
      <c r="FI87" s="95"/>
      <c r="FJ87" s="95"/>
      <c r="FK87" s="95"/>
      <c r="FL87" s="95"/>
      <c r="FM87" s="95"/>
      <c r="FN87" s="95"/>
      <c r="FO87" s="95"/>
      <c r="FP87" s="95"/>
      <c r="FQ87" s="20"/>
      <c r="FR87" s="20"/>
      <c r="FS87" s="20"/>
      <c r="FT87" s="20"/>
      <c r="FU87" s="20"/>
    </row>
    <row r="88" spans="1:177" s="13" customFormat="1" ht="13.2" customHeight="1" x14ac:dyDescent="0.25">
      <c r="A88" s="179"/>
      <c r="B88" s="180"/>
      <c r="C88" s="10">
        <f>D148+1</f>
        <v>10</v>
      </c>
      <c r="D88" s="10">
        <f>E100+3</f>
        <v>12</v>
      </c>
      <c r="E88" s="10">
        <f>F133+1</f>
        <v>3</v>
      </c>
      <c r="F88" s="10">
        <f>G91+1</f>
        <v>13</v>
      </c>
      <c r="G88" s="10">
        <f>J118+1</f>
        <v>7</v>
      </c>
      <c r="H88" s="10">
        <f>G112+3</f>
        <v>9</v>
      </c>
      <c r="I88" s="44"/>
      <c r="J88" s="156">
        <f>F136+1</f>
        <v>9</v>
      </c>
      <c r="K88" s="44"/>
      <c r="L88" s="188"/>
      <c r="M88" s="44"/>
      <c r="N88" s="119">
        <v>41</v>
      </c>
      <c r="O88" s="119">
        <v>42</v>
      </c>
      <c r="P88" s="119">
        <v>43</v>
      </c>
      <c r="Q88" s="119">
        <v>44</v>
      </c>
      <c r="R88" s="119">
        <v>45</v>
      </c>
      <c r="S88" s="83">
        <v>46</v>
      </c>
      <c r="T88" s="83">
        <v>47</v>
      </c>
      <c r="U88" s="83">
        <v>48</v>
      </c>
      <c r="V88" s="83">
        <v>49</v>
      </c>
      <c r="W88" s="84">
        <v>50</v>
      </c>
      <c r="X88" s="44"/>
      <c r="Y88" s="119">
        <v>41</v>
      </c>
      <c r="Z88" s="119">
        <v>42</v>
      </c>
      <c r="AA88" s="119">
        <v>43</v>
      </c>
      <c r="AB88" s="119">
        <v>44</v>
      </c>
      <c r="AC88" s="119">
        <v>45</v>
      </c>
      <c r="AD88" s="83">
        <v>46</v>
      </c>
      <c r="AE88" s="83">
        <v>47</v>
      </c>
      <c r="AF88" s="6">
        <v>48</v>
      </c>
      <c r="AG88" s="83">
        <v>49</v>
      </c>
      <c r="AH88" s="84">
        <v>50</v>
      </c>
      <c r="AI88" s="149"/>
      <c r="AL88" s="56"/>
      <c r="AN88" s="44"/>
      <c r="AQ88" s="1"/>
      <c r="AR88" s="56"/>
      <c r="AS88" s="44"/>
      <c r="AW88" s="56"/>
      <c r="AX88" s="94"/>
      <c r="AY88" s="56"/>
      <c r="AZ88" s="56"/>
      <c r="BA88" s="56"/>
      <c r="BB88" s="56"/>
      <c r="BC88" s="94"/>
      <c r="BG88" s="56"/>
      <c r="BH88" s="43"/>
      <c r="BI88" s="53">
        <v>46118</v>
      </c>
      <c r="BJ88" s="64">
        <v>75</v>
      </c>
      <c r="BK88" s="71">
        <v>75</v>
      </c>
      <c r="BL88" s="77">
        <v>16</v>
      </c>
      <c r="BM88" s="77">
        <v>55</v>
      </c>
      <c r="BN88" s="72">
        <v>6</v>
      </c>
      <c r="BO88" s="73">
        <v>5</v>
      </c>
      <c r="BP88" s="73">
        <v>5</v>
      </c>
      <c r="BQ88" s="73"/>
      <c r="BR88" s="73">
        <v>2</v>
      </c>
      <c r="BS88" s="73">
        <v>1</v>
      </c>
      <c r="BT88" s="73">
        <v>4</v>
      </c>
      <c r="BU88" s="73">
        <v>3</v>
      </c>
      <c r="BV88" s="73">
        <v>1</v>
      </c>
      <c r="BW88" s="73">
        <v>3</v>
      </c>
      <c r="BX88" s="73"/>
      <c r="BY88" s="73"/>
      <c r="BZ88" s="73">
        <v>3</v>
      </c>
      <c r="CA88" s="73"/>
      <c r="CB88" s="73">
        <v>2</v>
      </c>
      <c r="CC88" s="73">
        <v>1</v>
      </c>
      <c r="CD88" s="73">
        <v>1</v>
      </c>
      <c r="CE88" s="73"/>
      <c r="CF88" s="73">
        <v>1</v>
      </c>
      <c r="CG88" s="73">
        <v>1</v>
      </c>
      <c r="CH88" s="73">
        <v>1</v>
      </c>
      <c r="CI88" s="73">
        <v>2</v>
      </c>
      <c r="CJ88" s="73">
        <v>2</v>
      </c>
      <c r="CK88" s="73"/>
      <c r="CL88" s="73">
        <v>1</v>
      </c>
      <c r="CM88" s="73"/>
      <c r="CN88" s="73">
        <v>1</v>
      </c>
      <c r="CO88" s="73"/>
      <c r="CP88" s="73">
        <v>2</v>
      </c>
      <c r="CQ88" s="73">
        <v>1</v>
      </c>
      <c r="CR88" s="73"/>
      <c r="CS88" s="73"/>
      <c r="CT88" s="73"/>
      <c r="CU88" s="73"/>
      <c r="CV88" s="73">
        <v>1</v>
      </c>
      <c r="CW88" s="73"/>
      <c r="CX88" s="73"/>
      <c r="CY88" s="73"/>
      <c r="CZ88" s="73"/>
      <c r="DA88" s="73">
        <v>2</v>
      </c>
      <c r="DB88" s="73"/>
      <c r="DC88" s="73"/>
      <c r="DD88" s="73"/>
      <c r="DE88" s="73"/>
      <c r="DF88" s="73"/>
      <c r="DG88" s="73"/>
      <c r="DH88" s="73"/>
      <c r="DI88" s="73"/>
      <c r="DJ88" s="73"/>
      <c r="DK88" s="73"/>
      <c r="DL88" s="73">
        <v>1</v>
      </c>
      <c r="DM88" s="73"/>
      <c r="DN88" s="73"/>
      <c r="DO88" s="73"/>
      <c r="DP88" s="73"/>
      <c r="DQ88" s="73"/>
      <c r="DR88" s="73"/>
      <c r="DS88" s="73"/>
      <c r="DT88" s="73"/>
      <c r="DU88" s="73">
        <v>1</v>
      </c>
      <c r="DV88" s="73"/>
      <c r="DW88" s="73"/>
      <c r="DX88" s="73">
        <v>1</v>
      </c>
      <c r="DY88" s="43"/>
      <c r="EA88" s="29"/>
      <c r="EB88" s="9"/>
      <c r="EC88" s="29"/>
      <c r="ED88" s="9"/>
      <c r="EE88" s="161"/>
      <c r="EF88" s="161"/>
      <c r="EG88" s="161"/>
      <c r="EH88" s="20"/>
      <c r="EI88" s="49"/>
      <c r="EJ88" s="49"/>
      <c r="EK88" s="95"/>
      <c r="EL88" s="95"/>
      <c r="EM88" s="95"/>
      <c r="EN88" s="95"/>
      <c r="EO88" s="95"/>
      <c r="EP88" s="95"/>
      <c r="EQ88" s="95"/>
      <c r="ER88" s="95"/>
      <c r="ES88" s="95"/>
      <c r="ET88" s="95"/>
      <c r="EU88" s="95"/>
      <c r="EV88" s="95"/>
      <c r="EW88" s="95"/>
      <c r="EX88" s="95"/>
      <c r="EY88" s="95"/>
      <c r="EZ88" s="95"/>
      <c r="FA88" s="95"/>
      <c r="FB88" s="95"/>
      <c r="FC88" s="95"/>
      <c r="FD88" s="95"/>
      <c r="FE88" s="95"/>
      <c r="FF88" s="95"/>
      <c r="FG88" s="95"/>
      <c r="FH88" s="95"/>
      <c r="FI88" s="95"/>
      <c r="FJ88" s="95"/>
      <c r="FK88" s="95"/>
      <c r="FL88" s="95"/>
      <c r="FM88" s="95"/>
      <c r="FN88" s="95"/>
      <c r="FO88" s="95"/>
      <c r="FP88" s="95"/>
      <c r="FQ88" s="20"/>
      <c r="FR88" s="20"/>
      <c r="FS88" s="20"/>
      <c r="FT88" s="20"/>
      <c r="FU88" s="20"/>
    </row>
    <row r="89" spans="1:177" s="13" customFormat="1" ht="13.2" customHeight="1" x14ac:dyDescent="0.25">
      <c r="A89" s="177">
        <v>87</v>
      </c>
      <c r="B89" s="180">
        <v>27</v>
      </c>
      <c r="C89" s="14">
        <f>A89-A107-1</f>
        <v>5</v>
      </c>
      <c r="D89" s="14">
        <f>A89-A149-1</f>
        <v>19</v>
      </c>
      <c r="E89" s="14">
        <f>A89-A161-1</f>
        <v>23</v>
      </c>
      <c r="F89" s="14">
        <f>A89-A107-1</f>
        <v>5</v>
      </c>
      <c r="G89" s="14">
        <f>A89-A92-1</f>
        <v>0</v>
      </c>
      <c r="H89" s="14">
        <f>A89-A113-1</f>
        <v>7</v>
      </c>
      <c r="I89" s="44"/>
      <c r="J89" s="156">
        <f>A89-A95-1</f>
        <v>1</v>
      </c>
      <c r="K89" s="44"/>
      <c r="L89" s="188">
        <v>46090</v>
      </c>
      <c r="M89" s="44"/>
      <c r="N89" s="83">
        <v>51</v>
      </c>
      <c r="O89" s="83">
        <v>52</v>
      </c>
      <c r="P89" s="6">
        <v>53</v>
      </c>
      <c r="Q89" s="83">
        <v>54</v>
      </c>
      <c r="R89" s="83">
        <v>55</v>
      </c>
      <c r="S89" s="83">
        <v>56</v>
      </c>
      <c r="T89" s="83">
        <v>57</v>
      </c>
      <c r="U89" s="83">
        <v>58</v>
      </c>
      <c r="V89" s="83">
        <v>59</v>
      </c>
      <c r="W89" s="84">
        <v>60</v>
      </c>
      <c r="X89" s="44"/>
      <c r="Y89" s="83">
        <v>51</v>
      </c>
      <c r="Z89" s="83">
        <v>52</v>
      </c>
      <c r="AA89" s="83">
        <v>53</v>
      </c>
      <c r="AB89" s="83">
        <v>54</v>
      </c>
      <c r="AC89" s="83">
        <v>55</v>
      </c>
      <c r="AD89" s="83">
        <v>56</v>
      </c>
      <c r="AE89" s="83">
        <v>57</v>
      </c>
      <c r="AF89" s="83">
        <v>58</v>
      </c>
      <c r="AG89" s="83">
        <v>59</v>
      </c>
      <c r="AH89" s="84">
        <v>60</v>
      </c>
      <c r="AI89" s="149"/>
      <c r="AL89" s="56"/>
      <c r="AN89" s="44"/>
      <c r="AQ89" s="1"/>
      <c r="AR89" s="56"/>
      <c r="AS89" s="44"/>
      <c r="AW89" s="56"/>
      <c r="AX89" s="94"/>
      <c r="AY89" s="56"/>
      <c r="AZ89" s="56"/>
      <c r="BA89" s="56"/>
      <c r="BB89" s="56"/>
      <c r="BC89" s="94"/>
      <c r="BG89" s="56"/>
      <c r="BH89" s="43"/>
      <c r="BI89" s="53">
        <v>46127</v>
      </c>
      <c r="BJ89" s="64">
        <v>76</v>
      </c>
      <c r="BK89" s="66">
        <v>76</v>
      </c>
      <c r="BL89" s="64">
        <v>12</v>
      </c>
      <c r="BM89" s="64">
        <v>52</v>
      </c>
      <c r="BN89" s="64">
        <v>10</v>
      </c>
      <c r="BO89" s="68">
        <v>3</v>
      </c>
      <c r="BP89" s="68">
        <v>3</v>
      </c>
      <c r="BQ89" s="68">
        <v>4</v>
      </c>
      <c r="BR89" s="68">
        <v>1</v>
      </c>
      <c r="BS89" s="68">
        <v>1</v>
      </c>
      <c r="BT89" s="68">
        <v>6</v>
      </c>
      <c r="BU89" s="68"/>
      <c r="BV89" s="68">
        <v>3</v>
      </c>
      <c r="BW89" s="68">
        <v>2</v>
      </c>
      <c r="BX89" s="68">
        <v>1</v>
      </c>
      <c r="BY89" s="68">
        <v>2</v>
      </c>
      <c r="BZ89" s="68">
        <v>1</v>
      </c>
      <c r="CA89" s="68"/>
      <c r="CB89" s="68">
        <v>1</v>
      </c>
      <c r="CC89" s="68"/>
      <c r="CD89" s="68">
        <v>2</v>
      </c>
      <c r="CE89" s="68"/>
      <c r="CF89" s="68"/>
      <c r="CG89" s="68">
        <v>1</v>
      </c>
      <c r="CH89" s="68"/>
      <c r="CI89" s="68"/>
      <c r="CJ89" s="68">
        <v>1</v>
      </c>
      <c r="CK89" s="68">
        <v>1</v>
      </c>
      <c r="CL89" s="68"/>
      <c r="CM89" s="68"/>
      <c r="CN89" s="68"/>
      <c r="CO89" s="68">
        <v>3</v>
      </c>
      <c r="CP89" s="68"/>
      <c r="CQ89" s="68">
        <v>1</v>
      </c>
      <c r="CR89" s="68"/>
      <c r="CS89" s="68"/>
      <c r="CT89" s="68"/>
      <c r="CU89" s="68"/>
      <c r="CV89" s="68">
        <v>1</v>
      </c>
      <c r="CW89" s="68">
        <v>2</v>
      </c>
      <c r="CX89" s="68"/>
      <c r="CY89" s="68">
        <v>1</v>
      </c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>
        <v>1</v>
      </c>
      <c r="DO89" s="68">
        <v>1</v>
      </c>
      <c r="DP89" s="68"/>
      <c r="DQ89" s="68"/>
      <c r="DR89" s="68"/>
      <c r="DS89" s="68">
        <v>1</v>
      </c>
      <c r="DT89" s="68"/>
      <c r="DU89" s="68"/>
      <c r="DV89" s="68">
        <v>1</v>
      </c>
      <c r="DW89" s="68"/>
      <c r="DX89" s="68">
        <v>1</v>
      </c>
      <c r="DY89" s="43"/>
      <c r="EA89" s="29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20"/>
      <c r="FT89" s="20"/>
      <c r="FU89" s="20"/>
    </row>
    <row r="90" spans="1:177" s="13" customFormat="1" ht="13.2" customHeight="1" x14ac:dyDescent="0.25">
      <c r="A90" s="178"/>
      <c r="B90" s="180"/>
      <c r="C90" s="114">
        <v>7</v>
      </c>
      <c r="D90" s="115">
        <v>23</v>
      </c>
      <c r="E90" s="115">
        <v>38</v>
      </c>
      <c r="F90" s="115">
        <v>55</v>
      </c>
      <c r="G90" s="115">
        <v>57</v>
      </c>
      <c r="H90" s="115">
        <v>90</v>
      </c>
      <c r="I90" s="45"/>
      <c r="J90" s="115">
        <v>87</v>
      </c>
      <c r="K90" s="45"/>
      <c r="L90" s="188"/>
      <c r="M90" s="45"/>
      <c r="N90" s="83">
        <v>61</v>
      </c>
      <c r="O90" s="83">
        <v>62</v>
      </c>
      <c r="P90" s="83">
        <v>63</v>
      </c>
      <c r="Q90" s="83">
        <v>64</v>
      </c>
      <c r="R90" s="83">
        <v>65</v>
      </c>
      <c r="S90" s="83">
        <v>66</v>
      </c>
      <c r="T90" s="83">
        <v>67</v>
      </c>
      <c r="U90" s="83">
        <v>68</v>
      </c>
      <c r="V90" s="83">
        <v>69</v>
      </c>
      <c r="W90" s="84">
        <v>70</v>
      </c>
      <c r="X90" s="45"/>
      <c r="Y90" s="83">
        <v>61</v>
      </c>
      <c r="Z90" s="83">
        <v>62</v>
      </c>
      <c r="AA90" s="83">
        <v>63</v>
      </c>
      <c r="AB90" s="83">
        <v>64</v>
      </c>
      <c r="AC90" s="83">
        <v>65</v>
      </c>
      <c r="AD90" s="6">
        <v>66</v>
      </c>
      <c r="AE90" s="83">
        <v>67</v>
      </c>
      <c r="AF90" s="83">
        <v>68</v>
      </c>
      <c r="AG90" s="6">
        <v>69</v>
      </c>
      <c r="AH90" s="84">
        <v>70</v>
      </c>
      <c r="AI90" s="150"/>
      <c r="AL90" s="56"/>
      <c r="AN90" s="44"/>
      <c r="AQ90" s="1"/>
      <c r="AR90" s="56"/>
      <c r="AS90" s="44"/>
      <c r="AW90" s="56"/>
      <c r="AX90" s="94"/>
      <c r="AY90" s="56"/>
      <c r="AZ90" s="56"/>
      <c r="BA90" s="56"/>
      <c r="BB90" s="56"/>
      <c r="BC90" s="94"/>
      <c r="BG90" s="56"/>
      <c r="BH90" s="43"/>
      <c r="BI90" s="53">
        <v>46095</v>
      </c>
      <c r="BJ90" s="64">
        <v>77</v>
      </c>
      <c r="BK90" s="71">
        <v>77</v>
      </c>
      <c r="BL90" s="77">
        <v>26</v>
      </c>
      <c r="BM90" s="77">
        <v>66</v>
      </c>
      <c r="BN90" s="72">
        <v>6</v>
      </c>
      <c r="BO90" s="73">
        <v>2</v>
      </c>
      <c r="BP90" s="73">
        <v>4</v>
      </c>
      <c r="BQ90" s="73">
        <v>3</v>
      </c>
      <c r="BR90" s="73">
        <v>3</v>
      </c>
      <c r="BS90" s="73">
        <v>6</v>
      </c>
      <c r="BT90" s="73">
        <v>4</v>
      </c>
      <c r="BU90" s="73">
        <v>6</v>
      </c>
      <c r="BV90" s="73">
        <v>4</v>
      </c>
      <c r="BW90" s="73">
        <v>1</v>
      </c>
      <c r="BX90" s="73">
        <v>3</v>
      </c>
      <c r="BY90" s="73">
        <v>1</v>
      </c>
      <c r="BZ90" s="73">
        <v>1</v>
      </c>
      <c r="CA90" s="73">
        <v>3</v>
      </c>
      <c r="CB90" s="73">
        <v>3</v>
      </c>
      <c r="CC90" s="73"/>
      <c r="CD90" s="73"/>
      <c r="CE90" s="73">
        <v>2</v>
      </c>
      <c r="CF90" s="73">
        <v>1</v>
      </c>
      <c r="CG90" s="73">
        <v>1</v>
      </c>
      <c r="CH90" s="73"/>
      <c r="CI90" s="73">
        <v>1</v>
      </c>
      <c r="CJ90" s="73">
        <v>2</v>
      </c>
      <c r="CK90" s="73">
        <v>1</v>
      </c>
      <c r="CL90" s="73">
        <v>1</v>
      </c>
      <c r="CM90" s="73"/>
      <c r="CN90" s="73"/>
      <c r="CO90" s="73">
        <v>1</v>
      </c>
      <c r="CP90" s="73"/>
      <c r="CQ90" s="73">
        <v>2</v>
      </c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>
        <v>1</v>
      </c>
      <c r="DF90" s="73"/>
      <c r="DG90" s="73">
        <v>1</v>
      </c>
      <c r="DH90" s="73"/>
      <c r="DI90" s="73">
        <v>1</v>
      </c>
      <c r="DJ90" s="73"/>
      <c r="DK90" s="73"/>
      <c r="DL90" s="73">
        <v>1</v>
      </c>
      <c r="DM90" s="73"/>
      <c r="DN90" s="73"/>
      <c r="DO90" s="73"/>
      <c r="DP90" s="73"/>
      <c r="DQ90" s="73"/>
      <c r="DR90" s="73"/>
      <c r="DS90" s="73"/>
      <c r="DT90" s="73">
        <v>1</v>
      </c>
      <c r="DU90" s="73"/>
      <c r="DV90" s="73"/>
      <c r="DW90" s="73"/>
      <c r="DX90" s="73"/>
      <c r="DY90" s="43"/>
      <c r="DZ90" s="20"/>
      <c r="EA90" s="161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20"/>
      <c r="FT90" s="20"/>
      <c r="FU90" s="20"/>
    </row>
    <row r="91" spans="1:177" s="13" customFormat="1" ht="13.2" customHeight="1" x14ac:dyDescent="0.25">
      <c r="A91" s="179"/>
      <c r="B91" s="180"/>
      <c r="C91" s="10">
        <f>D109+1</f>
        <v>10</v>
      </c>
      <c r="D91" s="10">
        <f>D151+4</f>
        <v>13</v>
      </c>
      <c r="E91" s="10">
        <f>E163+1</f>
        <v>6</v>
      </c>
      <c r="F91" s="10">
        <f>H109+1</f>
        <v>6</v>
      </c>
      <c r="G91" s="10">
        <f>E94+1</f>
        <v>12</v>
      </c>
      <c r="H91" s="10">
        <f>J115+1</f>
        <v>8</v>
      </c>
      <c r="I91" s="45"/>
      <c r="J91" s="156">
        <f>G97+1</f>
        <v>7</v>
      </c>
      <c r="K91" s="45"/>
      <c r="L91" s="188"/>
      <c r="M91" s="45"/>
      <c r="N91" s="83">
        <v>71</v>
      </c>
      <c r="O91" s="83">
        <v>72</v>
      </c>
      <c r="P91" s="83">
        <v>73</v>
      </c>
      <c r="Q91" s="83">
        <v>74</v>
      </c>
      <c r="R91" s="83">
        <v>75</v>
      </c>
      <c r="S91" s="83">
        <v>76</v>
      </c>
      <c r="T91" s="83">
        <v>77</v>
      </c>
      <c r="U91" s="6">
        <v>78</v>
      </c>
      <c r="V91" s="83">
        <v>79</v>
      </c>
      <c r="W91" s="84">
        <v>80</v>
      </c>
      <c r="X91" s="45"/>
      <c r="Y91" s="83">
        <v>71</v>
      </c>
      <c r="Z91" s="83">
        <v>72</v>
      </c>
      <c r="AA91" s="83">
        <v>73</v>
      </c>
      <c r="AB91" s="83">
        <v>74</v>
      </c>
      <c r="AC91" s="83">
        <v>75</v>
      </c>
      <c r="AD91" s="83">
        <v>76</v>
      </c>
      <c r="AE91" s="83">
        <v>77</v>
      </c>
      <c r="AF91" s="83">
        <v>78</v>
      </c>
      <c r="AG91" s="83">
        <v>79</v>
      </c>
      <c r="AH91" s="84">
        <v>80</v>
      </c>
      <c r="AI91" s="150"/>
      <c r="AL91" s="56"/>
      <c r="AN91" s="44"/>
      <c r="AQ91" s="1"/>
      <c r="AR91" s="56"/>
      <c r="AS91" s="44"/>
      <c r="AW91" s="56"/>
      <c r="AX91" s="94"/>
      <c r="AY91" s="56"/>
      <c r="AZ91" s="56"/>
      <c r="BA91" s="56"/>
      <c r="BB91" s="56"/>
      <c r="BC91" s="94"/>
      <c r="BG91" s="56"/>
      <c r="BH91" s="43"/>
      <c r="BI91" s="53">
        <v>46141</v>
      </c>
      <c r="BJ91" s="64">
        <v>78</v>
      </c>
      <c r="BK91" s="66">
        <v>78</v>
      </c>
      <c r="BL91" s="64">
        <v>6</v>
      </c>
      <c r="BM91" s="64">
        <v>59</v>
      </c>
      <c r="BN91" s="64">
        <v>6</v>
      </c>
      <c r="BO91" s="68">
        <v>3</v>
      </c>
      <c r="BP91" s="68">
        <v>1</v>
      </c>
      <c r="BQ91" s="68">
        <v>3</v>
      </c>
      <c r="BR91" s="68">
        <v>1</v>
      </c>
      <c r="BS91" s="68">
        <v>3</v>
      </c>
      <c r="BT91" s="68">
        <v>2</v>
      </c>
      <c r="BU91" s="68">
        <v>3</v>
      </c>
      <c r="BV91" s="68">
        <v>2</v>
      </c>
      <c r="BW91" s="68">
        <v>5</v>
      </c>
      <c r="BX91" s="68">
        <v>3</v>
      </c>
      <c r="BY91" s="68">
        <v>2</v>
      </c>
      <c r="BZ91" s="68">
        <v>2</v>
      </c>
      <c r="CA91" s="68">
        <v>1</v>
      </c>
      <c r="CB91" s="68">
        <v>2</v>
      </c>
      <c r="CC91" s="68">
        <v>1</v>
      </c>
      <c r="CD91" s="68">
        <v>1</v>
      </c>
      <c r="CE91" s="68">
        <v>2</v>
      </c>
      <c r="CF91" s="68">
        <v>2</v>
      </c>
      <c r="CG91" s="68"/>
      <c r="CH91" s="68">
        <v>2</v>
      </c>
      <c r="CI91" s="68">
        <v>2</v>
      </c>
      <c r="CJ91" s="68"/>
      <c r="CK91" s="68"/>
      <c r="CL91" s="68"/>
      <c r="CM91" s="68"/>
      <c r="CN91" s="68"/>
      <c r="CO91" s="68">
        <v>3</v>
      </c>
      <c r="CP91" s="68"/>
      <c r="CQ91" s="68">
        <v>1</v>
      </c>
      <c r="CR91" s="68">
        <v>1</v>
      </c>
      <c r="CS91" s="68">
        <v>1</v>
      </c>
      <c r="CT91" s="68">
        <v>1</v>
      </c>
      <c r="CU91" s="68">
        <v>1</v>
      </c>
      <c r="CV91" s="68"/>
      <c r="CW91" s="68">
        <v>1</v>
      </c>
      <c r="CX91" s="68"/>
      <c r="CY91" s="68"/>
      <c r="CZ91" s="68"/>
      <c r="DA91" s="68"/>
      <c r="DB91" s="68"/>
      <c r="DC91" s="68"/>
      <c r="DD91" s="68"/>
      <c r="DE91" s="68"/>
      <c r="DF91" s="68"/>
      <c r="DG91" s="68"/>
      <c r="DH91" s="68"/>
      <c r="DI91" s="68"/>
      <c r="DJ91" s="68">
        <v>1</v>
      </c>
      <c r="DK91" s="68"/>
      <c r="DL91" s="68"/>
      <c r="DM91" s="68"/>
      <c r="DN91" s="68"/>
      <c r="DO91" s="68"/>
      <c r="DP91" s="68"/>
      <c r="DQ91" s="68"/>
      <c r="DR91" s="68"/>
      <c r="DS91" s="68"/>
      <c r="DT91" s="68"/>
      <c r="DU91" s="68"/>
      <c r="DV91" s="68"/>
      <c r="DW91" s="68"/>
      <c r="DX91" s="68">
        <v>1</v>
      </c>
      <c r="DY91" s="43"/>
      <c r="DZ91" s="20"/>
      <c r="EA91" s="161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20"/>
      <c r="FT91" s="20"/>
      <c r="FU91" s="20"/>
    </row>
    <row r="92" spans="1:177" s="13" customFormat="1" ht="13.2" customHeight="1" x14ac:dyDescent="0.25">
      <c r="A92" s="177">
        <v>86</v>
      </c>
      <c r="B92" s="180">
        <v>28</v>
      </c>
      <c r="C92" s="14">
        <f>A92-A170-1</f>
        <v>25</v>
      </c>
      <c r="D92" s="14">
        <f>A92-A176-1</f>
        <v>27</v>
      </c>
      <c r="E92" s="14">
        <f>A92-A134-1</f>
        <v>13</v>
      </c>
      <c r="F92" s="14">
        <f>A92-A95-1</f>
        <v>0</v>
      </c>
      <c r="G92" s="14">
        <f>A92-A98-1</f>
        <v>1</v>
      </c>
      <c r="H92" s="14">
        <f>A92-A110-1</f>
        <v>5</v>
      </c>
      <c r="I92" s="45"/>
      <c r="J92" s="156">
        <f>A92-A101-1</f>
        <v>2</v>
      </c>
      <c r="K92" s="45"/>
      <c r="L92" s="188">
        <v>46088</v>
      </c>
      <c r="M92" s="45"/>
      <c r="N92" s="83">
        <v>81</v>
      </c>
      <c r="O92" s="83">
        <v>82</v>
      </c>
      <c r="P92" s="6">
        <v>83</v>
      </c>
      <c r="Q92" s="83">
        <v>84</v>
      </c>
      <c r="R92" s="83">
        <v>85</v>
      </c>
      <c r="S92" s="83">
        <v>86</v>
      </c>
      <c r="T92" s="83">
        <v>87</v>
      </c>
      <c r="U92" s="6">
        <v>88</v>
      </c>
      <c r="V92" s="83">
        <v>89</v>
      </c>
      <c r="W92" s="84">
        <v>90</v>
      </c>
      <c r="X92" s="45"/>
      <c r="Y92" s="83">
        <v>81</v>
      </c>
      <c r="Z92" s="83">
        <v>82</v>
      </c>
      <c r="AA92" s="83">
        <v>83</v>
      </c>
      <c r="AB92" s="83">
        <v>84</v>
      </c>
      <c r="AC92" s="83">
        <v>85</v>
      </c>
      <c r="AD92" s="83">
        <v>86</v>
      </c>
      <c r="AE92" s="83">
        <v>87</v>
      </c>
      <c r="AF92" s="83">
        <v>88</v>
      </c>
      <c r="AG92" s="83">
        <v>89</v>
      </c>
      <c r="AH92" s="84">
        <v>90</v>
      </c>
      <c r="AI92" s="150"/>
      <c r="AL92" s="56"/>
      <c r="AN92" s="44"/>
      <c r="AQ92" s="1"/>
      <c r="AR92" s="56"/>
      <c r="AS92" s="44"/>
      <c r="AW92" s="56"/>
      <c r="AX92" s="94"/>
      <c r="AY92" s="56"/>
      <c r="AZ92" s="56"/>
      <c r="BA92" s="56"/>
      <c r="BB92" s="56"/>
      <c r="BC92" s="94"/>
      <c r="BG92" s="56"/>
      <c r="BH92" s="43"/>
      <c r="BI92" s="53">
        <v>46151</v>
      </c>
      <c r="BJ92" s="64">
        <v>79</v>
      </c>
      <c r="BK92" s="71">
        <v>79</v>
      </c>
      <c r="BL92" s="77">
        <v>2</v>
      </c>
      <c r="BM92" s="77">
        <v>51</v>
      </c>
      <c r="BN92" s="72">
        <v>6</v>
      </c>
      <c r="BO92" s="73">
        <v>2</v>
      </c>
      <c r="BP92" s="73">
        <v>1</v>
      </c>
      <c r="BQ92" s="73">
        <v>2</v>
      </c>
      <c r="BR92" s="73">
        <v>4</v>
      </c>
      <c r="BS92" s="73">
        <v>2</v>
      </c>
      <c r="BT92" s="73">
        <v>3</v>
      </c>
      <c r="BU92" s="73">
        <v>1</v>
      </c>
      <c r="BV92" s="73">
        <v>1</v>
      </c>
      <c r="BW92" s="73">
        <v>1</v>
      </c>
      <c r="BX92" s="73">
        <v>2</v>
      </c>
      <c r="BY92" s="73">
        <v>1</v>
      </c>
      <c r="BZ92" s="73"/>
      <c r="CA92" s="73"/>
      <c r="CB92" s="73">
        <v>1</v>
      </c>
      <c r="CC92" s="73">
        <v>3</v>
      </c>
      <c r="CD92" s="73"/>
      <c r="CE92" s="73"/>
      <c r="CF92" s="73">
        <v>2</v>
      </c>
      <c r="CG92" s="73">
        <v>1</v>
      </c>
      <c r="CH92" s="73">
        <v>1</v>
      </c>
      <c r="CI92" s="73">
        <v>1</v>
      </c>
      <c r="CJ92" s="73">
        <v>1</v>
      </c>
      <c r="CK92" s="73"/>
      <c r="CL92" s="73">
        <v>2</v>
      </c>
      <c r="CM92" s="73">
        <v>1</v>
      </c>
      <c r="CN92" s="73"/>
      <c r="CO92" s="73">
        <v>1</v>
      </c>
      <c r="CP92" s="73"/>
      <c r="CQ92" s="73">
        <v>1</v>
      </c>
      <c r="CR92" s="73"/>
      <c r="CS92" s="73"/>
      <c r="CT92" s="73">
        <v>2</v>
      </c>
      <c r="CU92" s="73"/>
      <c r="CV92" s="73"/>
      <c r="CW92" s="73">
        <v>1</v>
      </c>
      <c r="CX92" s="73"/>
      <c r="CY92" s="73"/>
      <c r="CZ92" s="73"/>
      <c r="DA92" s="73">
        <v>2</v>
      </c>
      <c r="DB92" s="73"/>
      <c r="DC92" s="73"/>
      <c r="DD92" s="73">
        <v>1</v>
      </c>
      <c r="DE92" s="73"/>
      <c r="DF92" s="73"/>
      <c r="DG92" s="73"/>
      <c r="DH92" s="73"/>
      <c r="DI92" s="73">
        <v>1</v>
      </c>
      <c r="DJ92" s="73"/>
      <c r="DK92" s="73"/>
      <c r="DL92" s="73"/>
      <c r="DM92" s="73"/>
      <c r="DN92" s="73"/>
      <c r="DO92" s="73"/>
      <c r="DP92" s="73"/>
      <c r="DQ92" s="73"/>
      <c r="DR92" s="73">
        <v>1</v>
      </c>
      <c r="DS92" s="73"/>
      <c r="DT92" s="73"/>
      <c r="DU92" s="73"/>
      <c r="DV92" s="73"/>
      <c r="DW92" s="73"/>
      <c r="DX92" s="73">
        <v>1</v>
      </c>
      <c r="DY92" s="43"/>
      <c r="DZ92" s="20"/>
      <c r="EA92" s="161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20"/>
      <c r="FT92" s="20"/>
      <c r="FU92" s="20"/>
    </row>
    <row r="93" spans="1:177" s="13" customFormat="1" ht="13.2" customHeight="1" x14ac:dyDescent="0.25">
      <c r="A93" s="178"/>
      <c r="B93" s="180"/>
      <c r="C93" s="114">
        <v>12</v>
      </c>
      <c r="D93" s="115">
        <v>32</v>
      </c>
      <c r="E93" s="115">
        <v>57</v>
      </c>
      <c r="F93" s="115">
        <v>67</v>
      </c>
      <c r="G93" s="115">
        <v>80</v>
      </c>
      <c r="H93" s="115">
        <v>82</v>
      </c>
      <c r="I93" s="45"/>
      <c r="J93" s="115">
        <v>22</v>
      </c>
      <c r="K93" s="45"/>
      <c r="L93" s="188"/>
      <c r="M93" s="45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44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50"/>
      <c r="AL93" s="56"/>
      <c r="AN93" s="44"/>
      <c r="AQ93" s="1"/>
      <c r="AR93" s="56"/>
      <c r="AS93" s="44"/>
      <c r="AW93" s="56"/>
      <c r="AX93" s="94"/>
      <c r="AY93" s="56"/>
      <c r="AZ93" s="56"/>
      <c r="BA93" s="56"/>
      <c r="BB93" s="56"/>
      <c r="BC93" s="94"/>
      <c r="BG93" s="56"/>
      <c r="BH93" s="43"/>
      <c r="BI93" s="53">
        <v>46120</v>
      </c>
      <c r="BJ93" s="64">
        <v>80</v>
      </c>
      <c r="BK93" s="66">
        <v>80</v>
      </c>
      <c r="BL93" s="64">
        <v>15</v>
      </c>
      <c r="BM93" s="64">
        <v>66</v>
      </c>
      <c r="BN93" s="64">
        <v>10</v>
      </c>
      <c r="BO93" s="68">
        <v>3</v>
      </c>
      <c r="BP93" s="68">
        <v>6</v>
      </c>
      <c r="BQ93" s="68">
        <v>2</v>
      </c>
      <c r="BR93" s="68">
        <v>3</v>
      </c>
      <c r="BS93" s="68">
        <v>2</v>
      </c>
      <c r="BT93" s="68">
        <v>5</v>
      </c>
      <c r="BU93" s="68">
        <v>3</v>
      </c>
      <c r="BV93" s="68">
        <v>1</v>
      </c>
      <c r="BW93" s="68">
        <v>2</v>
      </c>
      <c r="BX93" s="68">
        <v>2</v>
      </c>
      <c r="BY93" s="68">
        <v>2</v>
      </c>
      <c r="BZ93" s="68">
        <v>1</v>
      </c>
      <c r="CA93" s="68">
        <v>5</v>
      </c>
      <c r="CB93" s="68">
        <v>2</v>
      </c>
      <c r="CC93" s="68">
        <v>2</v>
      </c>
      <c r="CD93" s="68">
        <v>1</v>
      </c>
      <c r="CE93" s="68">
        <v>3</v>
      </c>
      <c r="CF93" s="68">
        <v>2</v>
      </c>
      <c r="CG93" s="68">
        <v>1</v>
      </c>
      <c r="CH93" s="68">
        <v>1</v>
      </c>
      <c r="CI93" s="68">
        <v>3</v>
      </c>
      <c r="CJ93" s="68"/>
      <c r="CK93" s="68">
        <v>1</v>
      </c>
      <c r="CL93" s="68"/>
      <c r="CM93" s="68">
        <v>1</v>
      </c>
      <c r="CN93" s="68">
        <v>1</v>
      </c>
      <c r="CO93" s="68">
        <v>1</v>
      </c>
      <c r="CP93" s="68"/>
      <c r="CQ93" s="68"/>
      <c r="CR93" s="68">
        <v>1</v>
      </c>
      <c r="CS93" s="68"/>
      <c r="CT93" s="68">
        <v>1</v>
      </c>
      <c r="CU93" s="68"/>
      <c r="CV93" s="68"/>
      <c r="CW93" s="68">
        <v>2</v>
      </c>
      <c r="CX93" s="68">
        <v>1</v>
      </c>
      <c r="CY93" s="68"/>
      <c r="CZ93" s="68">
        <v>1</v>
      </c>
      <c r="DA93" s="68"/>
      <c r="DB93" s="68"/>
      <c r="DC93" s="68"/>
      <c r="DD93" s="68"/>
      <c r="DE93" s="68"/>
      <c r="DF93" s="68"/>
      <c r="DG93" s="68"/>
      <c r="DH93" s="6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43"/>
      <c r="DZ93" s="20"/>
      <c r="EA93" s="161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20"/>
      <c r="FT93" s="20"/>
      <c r="FU93" s="20"/>
    </row>
    <row r="94" spans="1:177" s="13" customFormat="1" ht="13.2" customHeight="1" x14ac:dyDescent="0.25">
      <c r="A94" s="179"/>
      <c r="B94" s="180"/>
      <c r="C94" s="10">
        <f>D172+1</f>
        <v>6</v>
      </c>
      <c r="D94" s="10">
        <f>G178+2</f>
        <v>10</v>
      </c>
      <c r="E94" s="10">
        <f>G136+1</f>
        <v>11</v>
      </c>
      <c r="F94" s="10">
        <f>F97+1</f>
        <v>8</v>
      </c>
      <c r="G94" s="10">
        <f>H100+3</f>
        <v>9</v>
      </c>
      <c r="H94" s="10">
        <f>H115+3</f>
        <v>11</v>
      </c>
      <c r="I94" s="45"/>
      <c r="J94" s="156">
        <f>E103+1</f>
        <v>4</v>
      </c>
      <c r="K94" s="45"/>
      <c r="L94" s="188"/>
      <c r="M94" s="45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45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50"/>
      <c r="AL94" s="56"/>
      <c r="AN94" s="44"/>
      <c r="AQ94" s="1"/>
      <c r="AR94" s="56"/>
      <c r="AS94" s="44"/>
      <c r="AW94" s="56"/>
      <c r="AX94" s="94"/>
      <c r="AY94" s="56"/>
      <c r="AZ94" s="56"/>
      <c r="BA94" s="56"/>
      <c r="BB94" s="56"/>
      <c r="BC94" s="94"/>
      <c r="BG94" s="56"/>
      <c r="BH94" s="43"/>
      <c r="BI94" s="53">
        <v>46153</v>
      </c>
      <c r="BJ94" s="64">
        <v>81</v>
      </c>
      <c r="BK94" s="71">
        <v>81</v>
      </c>
      <c r="BL94" s="77">
        <v>1</v>
      </c>
      <c r="BM94" s="77">
        <v>53</v>
      </c>
      <c r="BN94" s="72">
        <v>6</v>
      </c>
      <c r="BO94" s="73">
        <v>2</v>
      </c>
      <c r="BP94" s="73">
        <v>4</v>
      </c>
      <c r="BQ94" s="73">
        <v>1</v>
      </c>
      <c r="BR94" s="73">
        <v>3</v>
      </c>
      <c r="BS94" s="73">
        <v>2</v>
      </c>
      <c r="BT94" s="73"/>
      <c r="BU94" s="73">
        <v>1</v>
      </c>
      <c r="BV94" s="73">
        <v>1</v>
      </c>
      <c r="BW94" s="73">
        <v>1</v>
      </c>
      <c r="BX94" s="73">
        <v>1</v>
      </c>
      <c r="BY94" s="73">
        <v>2</v>
      </c>
      <c r="BZ94" s="73">
        <v>3</v>
      </c>
      <c r="CA94" s="73">
        <v>1</v>
      </c>
      <c r="CB94" s="73">
        <v>3</v>
      </c>
      <c r="CC94" s="73"/>
      <c r="CD94" s="73"/>
      <c r="CE94" s="73">
        <v>2</v>
      </c>
      <c r="CF94" s="73">
        <v>2</v>
      </c>
      <c r="CG94" s="73">
        <v>3</v>
      </c>
      <c r="CH94" s="73"/>
      <c r="CI94" s="73">
        <v>2</v>
      </c>
      <c r="CJ94" s="73">
        <v>1</v>
      </c>
      <c r="CK94" s="73">
        <v>1</v>
      </c>
      <c r="CL94" s="73">
        <v>1</v>
      </c>
      <c r="CM94" s="73"/>
      <c r="CN94" s="73">
        <v>2</v>
      </c>
      <c r="CO94" s="73"/>
      <c r="CP94" s="73"/>
      <c r="CQ94" s="73"/>
      <c r="CR94" s="73">
        <v>1</v>
      </c>
      <c r="CS94" s="73"/>
      <c r="CT94" s="73">
        <v>1</v>
      </c>
      <c r="CU94" s="73"/>
      <c r="CV94" s="73"/>
      <c r="CW94" s="73"/>
      <c r="CX94" s="73"/>
      <c r="CY94" s="73"/>
      <c r="CZ94" s="73">
        <v>1</v>
      </c>
      <c r="DA94" s="73"/>
      <c r="DB94" s="73"/>
      <c r="DC94" s="73">
        <v>1</v>
      </c>
      <c r="DD94" s="73"/>
      <c r="DE94" s="73"/>
      <c r="DF94" s="73">
        <v>1</v>
      </c>
      <c r="DG94" s="73"/>
      <c r="DH94" s="73"/>
      <c r="DI94" s="73">
        <v>1</v>
      </c>
      <c r="DJ94" s="73"/>
      <c r="DK94" s="73"/>
      <c r="DL94" s="73">
        <v>1</v>
      </c>
      <c r="DM94" s="73"/>
      <c r="DN94" s="73"/>
      <c r="DO94" s="73"/>
      <c r="DP94" s="73"/>
      <c r="DQ94" s="73"/>
      <c r="DR94" s="73"/>
      <c r="DS94" s="73"/>
      <c r="DT94" s="73"/>
      <c r="DU94" s="73"/>
      <c r="DV94" s="73"/>
      <c r="DW94" s="73"/>
      <c r="DX94" s="73">
        <v>1</v>
      </c>
      <c r="DY94" s="43"/>
      <c r="DZ94" s="20"/>
      <c r="EA94" s="161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20"/>
      <c r="FT94" s="20"/>
      <c r="FU94" s="20"/>
    </row>
    <row r="95" spans="1:177" s="13" customFormat="1" ht="13.2" customHeight="1" x14ac:dyDescent="0.25">
      <c r="A95" s="177">
        <v>85</v>
      </c>
      <c r="B95" s="180">
        <v>29</v>
      </c>
      <c r="C95" s="14">
        <f>A95-A101-1</f>
        <v>1</v>
      </c>
      <c r="D95" s="14">
        <f>A95-A131-1</f>
        <v>11</v>
      </c>
      <c r="E95" s="14">
        <f>A95-A185-1</f>
        <v>29</v>
      </c>
      <c r="F95" s="14">
        <f>A95-A125-1</f>
        <v>9</v>
      </c>
      <c r="G95" s="14">
        <f>A95-A125-1</f>
        <v>9</v>
      </c>
      <c r="H95" s="14">
        <f>A95-A161-1</f>
        <v>21</v>
      </c>
      <c r="I95" s="46"/>
      <c r="J95" s="156">
        <f>A95-A98-1</f>
        <v>0</v>
      </c>
      <c r="K95" s="46"/>
      <c r="L95" s="188">
        <v>46116</v>
      </c>
      <c r="M95" s="46"/>
      <c r="X95" s="44"/>
      <c r="AI95" s="151"/>
      <c r="AL95" s="56"/>
      <c r="AN95" s="44"/>
      <c r="AQ95" s="1"/>
      <c r="AR95" s="56"/>
      <c r="AS95" s="44"/>
      <c r="AW95" s="56"/>
      <c r="AX95" s="94"/>
      <c r="AY95" s="56"/>
      <c r="AZ95" s="56"/>
      <c r="BA95" s="56"/>
      <c r="BB95" s="56"/>
      <c r="BC95" s="94"/>
      <c r="BG95" s="56"/>
      <c r="BH95" s="43"/>
      <c r="BI95" s="53">
        <v>46148</v>
      </c>
      <c r="BJ95" s="64">
        <v>82</v>
      </c>
      <c r="BK95" s="66">
        <v>82</v>
      </c>
      <c r="BL95" s="63">
        <v>3</v>
      </c>
      <c r="BM95" s="63">
        <v>61</v>
      </c>
      <c r="BN95" s="64">
        <v>14</v>
      </c>
      <c r="BO95" s="68">
        <v>2</v>
      </c>
      <c r="BP95" s="68">
        <v>3</v>
      </c>
      <c r="BQ95" s="68">
        <v>1</v>
      </c>
      <c r="BR95" s="68">
        <v>4</v>
      </c>
      <c r="BS95" s="68">
        <v>4</v>
      </c>
      <c r="BT95" s="68">
        <v>4</v>
      </c>
      <c r="BU95" s="68">
        <v>4</v>
      </c>
      <c r="BV95" s="68">
        <v>1</v>
      </c>
      <c r="BW95" s="68">
        <v>2</v>
      </c>
      <c r="BX95" s="68">
        <v>2</v>
      </c>
      <c r="BY95" s="68">
        <v>1</v>
      </c>
      <c r="BZ95" s="68">
        <v>3</v>
      </c>
      <c r="CA95" s="68"/>
      <c r="CB95" s="68">
        <v>1</v>
      </c>
      <c r="CC95" s="68">
        <v>1</v>
      </c>
      <c r="CD95" s="68">
        <v>1</v>
      </c>
      <c r="CE95" s="68"/>
      <c r="CF95" s="68"/>
      <c r="CG95" s="68">
        <v>2</v>
      </c>
      <c r="CH95" s="68">
        <v>1</v>
      </c>
      <c r="CI95" s="68">
        <v>1</v>
      </c>
      <c r="CJ95" s="68"/>
      <c r="CK95" s="68">
        <v>2</v>
      </c>
      <c r="CL95" s="68"/>
      <c r="CM95" s="68">
        <v>1</v>
      </c>
      <c r="CN95" s="68"/>
      <c r="CO95" s="68">
        <v>1</v>
      </c>
      <c r="CP95" s="68"/>
      <c r="CQ95" s="68"/>
      <c r="CR95" s="68"/>
      <c r="CS95" s="68">
        <v>1</v>
      </c>
      <c r="CT95" s="68">
        <v>1</v>
      </c>
      <c r="CU95" s="68">
        <v>3</v>
      </c>
      <c r="CV95" s="68"/>
      <c r="CW95" s="68"/>
      <c r="CX95" s="68"/>
      <c r="CY95" s="68"/>
      <c r="CZ95" s="68"/>
      <c r="DA95" s="68"/>
      <c r="DB95" s="68"/>
      <c r="DC95" s="68"/>
      <c r="DD95" s="68"/>
      <c r="DE95" s="68">
        <v>1</v>
      </c>
      <c r="DF95" s="68"/>
      <c r="DG95" s="68"/>
      <c r="DH95" s="68"/>
      <c r="DI95" s="68"/>
      <c r="DJ95" s="68"/>
      <c r="DK95" s="68">
        <v>1</v>
      </c>
      <c r="DL95" s="68"/>
      <c r="DM95" s="68"/>
      <c r="DN95" s="68"/>
      <c r="DO95" s="68">
        <v>1</v>
      </c>
      <c r="DP95" s="68"/>
      <c r="DQ95" s="68"/>
      <c r="DR95" s="68"/>
      <c r="DS95" s="68"/>
      <c r="DT95" s="68"/>
      <c r="DU95" s="68"/>
      <c r="DV95" s="68"/>
      <c r="DW95" s="68"/>
      <c r="DX95" s="68">
        <v>1</v>
      </c>
      <c r="DY95" s="43"/>
      <c r="DZ95" s="35"/>
      <c r="EA95" s="36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20"/>
      <c r="FT95" s="20"/>
      <c r="FU95" s="20"/>
    </row>
    <row r="96" spans="1:177" s="13" customFormat="1" ht="13.2" customHeight="1" x14ac:dyDescent="0.25">
      <c r="A96" s="178"/>
      <c r="B96" s="180"/>
      <c r="C96" s="114">
        <v>44</v>
      </c>
      <c r="D96" s="115">
        <v>46</v>
      </c>
      <c r="E96" s="115">
        <v>60</v>
      </c>
      <c r="F96" s="115">
        <v>67</v>
      </c>
      <c r="G96" s="115">
        <v>87</v>
      </c>
      <c r="H96" s="115">
        <v>88</v>
      </c>
      <c r="I96" s="46"/>
      <c r="J96" s="115">
        <v>21</v>
      </c>
      <c r="K96" s="46"/>
      <c r="L96" s="188"/>
      <c r="M96" s="46"/>
      <c r="X96" s="44"/>
      <c r="AI96" s="151"/>
      <c r="AL96" s="56"/>
      <c r="AN96" s="44"/>
      <c r="AQ96" s="1"/>
      <c r="AR96" s="56"/>
      <c r="AS96" s="44"/>
      <c r="AW96" s="56"/>
      <c r="AX96" s="94"/>
      <c r="AY96" s="56"/>
      <c r="AZ96" s="56"/>
      <c r="BA96" s="56"/>
      <c r="BB96" s="56"/>
      <c r="BC96" s="94"/>
      <c r="BG96" s="56"/>
      <c r="BH96" s="43"/>
      <c r="BI96" s="53">
        <v>46132</v>
      </c>
      <c r="BJ96" s="64">
        <v>83</v>
      </c>
      <c r="BK96" s="71">
        <v>83</v>
      </c>
      <c r="BL96" s="77">
        <v>10</v>
      </c>
      <c r="BM96" s="77">
        <v>55</v>
      </c>
      <c r="BN96" s="72">
        <v>7</v>
      </c>
      <c r="BO96" s="73">
        <v>7</v>
      </c>
      <c r="BP96" s="73">
        <v>4</v>
      </c>
      <c r="BQ96" s="73">
        <v>1</v>
      </c>
      <c r="BR96" s="73">
        <v>1</v>
      </c>
      <c r="BS96" s="73">
        <v>5</v>
      </c>
      <c r="BT96" s="73"/>
      <c r="BU96" s="73">
        <v>2</v>
      </c>
      <c r="BV96" s="73">
        <v>1</v>
      </c>
      <c r="BW96" s="73">
        <v>1</v>
      </c>
      <c r="BX96" s="73">
        <v>2</v>
      </c>
      <c r="BY96" s="73">
        <v>1</v>
      </c>
      <c r="BZ96" s="73">
        <v>1</v>
      </c>
      <c r="CA96" s="73">
        <v>1</v>
      </c>
      <c r="CB96" s="73"/>
      <c r="CC96" s="73">
        <v>1</v>
      </c>
      <c r="CD96" s="73">
        <v>2</v>
      </c>
      <c r="CE96" s="73">
        <v>2</v>
      </c>
      <c r="CF96" s="73">
        <v>2</v>
      </c>
      <c r="CG96" s="73">
        <v>2</v>
      </c>
      <c r="CH96" s="73">
        <v>1</v>
      </c>
      <c r="CI96" s="73">
        <v>1</v>
      </c>
      <c r="CJ96" s="73"/>
      <c r="CK96" s="73"/>
      <c r="CL96" s="73"/>
      <c r="CM96" s="73"/>
      <c r="CN96" s="73">
        <v>2</v>
      </c>
      <c r="CO96" s="73"/>
      <c r="CP96" s="73"/>
      <c r="CQ96" s="73"/>
      <c r="CR96" s="73"/>
      <c r="CS96" s="73">
        <v>1</v>
      </c>
      <c r="CT96" s="73"/>
      <c r="CU96" s="73"/>
      <c r="CV96" s="73">
        <v>1</v>
      </c>
      <c r="CW96" s="73"/>
      <c r="CX96" s="73">
        <v>1</v>
      </c>
      <c r="CY96" s="73">
        <v>1</v>
      </c>
      <c r="CZ96" s="73">
        <v>1</v>
      </c>
      <c r="DA96" s="73"/>
      <c r="DB96" s="73"/>
      <c r="DC96" s="73"/>
      <c r="DD96" s="73"/>
      <c r="DE96" s="73"/>
      <c r="DF96" s="73"/>
      <c r="DG96" s="73"/>
      <c r="DH96" s="73">
        <v>1</v>
      </c>
      <c r="DI96" s="73"/>
      <c r="DJ96" s="73"/>
      <c r="DK96" s="73"/>
      <c r="DL96" s="73"/>
      <c r="DM96" s="73">
        <v>1</v>
      </c>
      <c r="DN96" s="73"/>
      <c r="DO96" s="73"/>
      <c r="DP96" s="73"/>
      <c r="DQ96" s="73"/>
      <c r="DR96" s="73"/>
      <c r="DS96" s="73"/>
      <c r="DT96" s="73"/>
      <c r="DU96" s="73"/>
      <c r="DV96" s="73"/>
      <c r="DW96" s="73"/>
      <c r="DX96" s="73">
        <v>2</v>
      </c>
      <c r="DY96" s="43"/>
      <c r="DZ96" s="35"/>
      <c r="EA96" s="36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20"/>
      <c r="FT96" s="20"/>
      <c r="FU96" s="20"/>
    </row>
    <row r="97" spans="1:177" s="13" customFormat="1" ht="13.2" customHeight="1" x14ac:dyDescent="0.25">
      <c r="A97" s="179"/>
      <c r="B97" s="180"/>
      <c r="C97" s="10">
        <f>F103+1</f>
        <v>8</v>
      </c>
      <c r="D97" s="10">
        <f>D133+1</f>
        <v>4</v>
      </c>
      <c r="E97" s="10">
        <v>8</v>
      </c>
      <c r="F97" s="10">
        <f>D127+1</f>
        <v>7</v>
      </c>
      <c r="G97" s="10">
        <f>G127</f>
        <v>6</v>
      </c>
      <c r="H97" s="10">
        <f>J163+2</f>
        <v>6</v>
      </c>
      <c r="I97" s="46"/>
      <c r="J97" s="156">
        <f>J100+1</f>
        <v>5</v>
      </c>
      <c r="K97" s="46"/>
      <c r="L97" s="188"/>
      <c r="M97" s="46"/>
      <c r="X97" s="44"/>
      <c r="AI97" s="151"/>
      <c r="AJ97" s="1"/>
      <c r="AK97" s="1"/>
      <c r="AL97" s="54"/>
      <c r="AM97" s="1"/>
      <c r="AN97" s="43"/>
      <c r="AO97" s="1"/>
      <c r="AP97" s="1"/>
      <c r="AQ97" s="1"/>
      <c r="AR97" s="54"/>
      <c r="AS97" s="43"/>
      <c r="AT97" s="1"/>
      <c r="AU97" s="1"/>
      <c r="AV97" s="1"/>
      <c r="AW97" s="54"/>
      <c r="AX97" s="57"/>
      <c r="AY97" s="54"/>
      <c r="AZ97" s="54"/>
      <c r="BA97" s="54"/>
      <c r="BB97" s="54"/>
      <c r="BC97" s="57"/>
      <c r="BD97" s="1"/>
      <c r="BE97" s="1"/>
      <c r="BF97" s="1"/>
      <c r="BG97" s="54"/>
      <c r="BH97" s="43"/>
      <c r="BI97" s="53">
        <v>46141</v>
      </c>
      <c r="BJ97" s="64">
        <v>84</v>
      </c>
      <c r="BK97" s="66">
        <v>84</v>
      </c>
      <c r="BL97" s="63">
        <v>6</v>
      </c>
      <c r="BM97" s="63">
        <v>59</v>
      </c>
      <c r="BN97" s="64">
        <v>4</v>
      </c>
      <c r="BO97" s="68">
        <v>4</v>
      </c>
      <c r="BP97" s="68">
        <v>5</v>
      </c>
      <c r="BQ97" s="68">
        <v>3</v>
      </c>
      <c r="BR97" s="68">
        <v>1</v>
      </c>
      <c r="BS97" s="68">
        <v>3</v>
      </c>
      <c r="BT97" s="68">
        <v>2</v>
      </c>
      <c r="BU97" s="68">
        <v>2</v>
      </c>
      <c r="BV97" s="68">
        <v>2</v>
      </c>
      <c r="BW97" s="68">
        <v>3</v>
      </c>
      <c r="BX97" s="68">
        <v>1</v>
      </c>
      <c r="BY97" s="68">
        <v>1</v>
      </c>
      <c r="BZ97" s="68">
        <v>1</v>
      </c>
      <c r="CA97" s="68">
        <v>1</v>
      </c>
      <c r="CB97" s="68">
        <v>1</v>
      </c>
      <c r="CC97" s="68">
        <v>2</v>
      </c>
      <c r="CD97" s="68">
        <v>3</v>
      </c>
      <c r="CE97" s="68">
        <v>2</v>
      </c>
      <c r="CF97" s="68">
        <v>1</v>
      </c>
      <c r="CG97" s="68">
        <v>4</v>
      </c>
      <c r="CH97" s="68"/>
      <c r="CI97" s="68">
        <v>3</v>
      </c>
      <c r="CJ97" s="68"/>
      <c r="CK97" s="68">
        <v>1</v>
      </c>
      <c r="CL97" s="68">
        <v>2</v>
      </c>
      <c r="CM97" s="68"/>
      <c r="CN97" s="68"/>
      <c r="CO97" s="68">
        <v>1</v>
      </c>
      <c r="CP97" s="68"/>
      <c r="CQ97" s="68"/>
      <c r="CR97" s="68">
        <v>1</v>
      </c>
      <c r="CS97" s="68"/>
      <c r="CT97" s="68"/>
      <c r="CU97" s="68"/>
      <c r="CV97" s="68"/>
      <c r="CW97" s="68">
        <v>1</v>
      </c>
      <c r="CX97" s="68"/>
      <c r="CY97" s="68">
        <v>1</v>
      </c>
      <c r="CZ97" s="68"/>
      <c r="DA97" s="68"/>
      <c r="DB97" s="68">
        <v>1</v>
      </c>
      <c r="DC97" s="68"/>
      <c r="DD97" s="68"/>
      <c r="DE97" s="68"/>
      <c r="DF97" s="68"/>
      <c r="DG97" s="68"/>
      <c r="DH97" s="68"/>
      <c r="DI97" s="68"/>
      <c r="DJ97" s="68"/>
      <c r="DK97" s="68"/>
      <c r="DL97" s="68"/>
      <c r="DM97" s="68"/>
      <c r="DN97" s="68"/>
      <c r="DO97" s="68"/>
      <c r="DP97" s="68"/>
      <c r="DQ97" s="68"/>
      <c r="DR97" s="68"/>
      <c r="DS97" s="68"/>
      <c r="DT97" s="68"/>
      <c r="DU97" s="68"/>
      <c r="DV97" s="68">
        <v>1</v>
      </c>
      <c r="DW97" s="68"/>
      <c r="DX97" s="68">
        <v>1</v>
      </c>
      <c r="DY97" s="43"/>
      <c r="DZ97" s="35"/>
      <c r="EA97" s="19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20"/>
      <c r="FT97" s="20"/>
      <c r="FU97" s="20"/>
    </row>
    <row r="98" spans="1:177" s="13" customFormat="1" ht="13.2" customHeight="1" x14ac:dyDescent="0.25">
      <c r="A98" s="177">
        <v>84</v>
      </c>
      <c r="B98" s="180">
        <v>30</v>
      </c>
      <c r="C98" s="14">
        <f>A98-A227-1</f>
        <v>42</v>
      </c>
      <c r="D98" s="14">
        <f>A98-A119-1</f>
        <v>6</v>
      </c>
      <c r="E98" s="14">
        <f>A98--1</f>
        <v>85</v>
      </c>
      <c r="F98" s="14">
        <f>A98-A173-1</f>
        <v>24</v>
      </c>
      <c r="G98" s="14">
        <f>A98-A128-1</f>
        <v>9</v>
      </c>
      <c r="H98" s="14">
        <f>A98-A128-1</f>
        <v>9</v>
      </c>
      <c r="I98" s="46"/>
      <c r="J98" s="156">
        <f>A98-A101-1</f>
        <v>0</v>
      </c>
      <c r="K98" s="46"/>
      <c r="L98" s="188">
        <v>46083</v>
      </c>
      <c r="M98" s="46"/>
      <c r="X98" s="44"/>
      <c r="AI98" s="151"/>
      <c r="AJ98" s="1"/>
      <c r="AK98" s="1"/>
      <c r="AL98" s="54"/>
      <c r="AM98" s="1"/>
      <c r="AN98" s="43"/>
      <c r="AO98" s="1"/>
      <c r="AP98" s="1"/>
      <c r="AQ98" s="1"/>
      <c r="AR98" s="54"/>
      <c r="AS98" s="43"/>
      <c r="AT98" s="1"/>
      <c r="AU98" s="1"/>
      <c r="AV98" s="1"/>
      <c r="AW98" s="54"/>
      <c r="AX98" s="57"/>
      <c r="AY98" s="54"/>
      <c r="AZ98" s="54"/>
      <c r="BA98" s="54"/>
      <c r="BB98" s="54"/>
      <c r="BC98" s="57"/>
      <c r="BD98" s="1"/>
      <c r="BE98" s="1"/>
      <c r="BF98" s="1"/>
      <c r="BG98" s="54"/>
      <c r="BH98" s="43"/>
      <c r="BI98" s="53">
        <v>46020</v>
      </c>
      <c r="BJ98" s="64">
        <v>85</v>
      </c>
      <c r="BK98" s="71">
        <v>85</v>
      </c>
      <c r="BL98" s="77">
        <v>58</v>
      </c>
      <c r="BM98" s="77">
        <v>47</v>
      </c>
      <c r="BN98" s="72">
        <v>5</v>
      </c>
      <c r="BO98" s="73">
        <v>2</v>
      </c>
      <c r="BP98" s="73">
        <v>3</v>
      </c>
      <c r="BQ98" s="73">
        <v>3</v>
      </c>
      <c r="BR98" s="73">
        <v>2</v>
      </c>
      <c r="BS98" s="73">
        <v>2</v>
      </c>
      <c r="BT98" s="73"/>
      <c r="BU98" s="73">
        <v>2</v>
      </c>
      <c r="BV98" s="73">
        <v>2</v>
      </c>
      <c r="BW98" s="73"/>
      <c r="BX98" s="73">
        <v>1</v>
      </c>
      <c r="BY98" s="73"/>
      <c r="BZ98" s="73">
        <v>2</v>
      </c>
      <c r="CA98" s="73"/>
      <c r="CB98" s="73">
        <v>1</v>
      </c>
      <c r="CC98" s="73">
        <v>1</v>
      </c>
      <c r="CD98" s="73">
        <v>2</v>
      </c>
      <c r="CE98" s="73">
        <v>1</v>
      </c>
      <c r="CF98" s="73"/>
      <c r="CG98" s="73"/>
      <c r="CH98" s="73"/>
      <c r="CI98" s="73">
        <v>1</v>
      </c>
      <c r="CJ98" s="73">
        <v>1</v>
      </c>
      <c r="CK98" s="73">
        <v>1</v>
      </c>
      <c r="CL98" s="73"/>
      <c r="CM98" s="73">
        <v>1</v>
      </c>
      <c r="CN98" s="73"/>
      <c r="CO98" s="73">
        <v>1</v>
      </c>
      <c r="CP98" s="73">
        <v>1</v>
      </c>
      <c r="CQ98" s="73"/>
      <c r="CR98" s="73">
        <v>1</v>
      </c>
      <c r="CS98" s="73"/>
      <c r="CT98" s="73">
        <v>1</v>
      </c>
      <c r="CU98" s="73"/>
      <c r="CV98" s="73">
        <v>1</v>
      </c>
      <c r="CW98" s="73"/>
      <c r="CX98" s="73"/>
      <c r="CY98" s="73"/>
      <c r="CZ98" s="73"/>
      <c r="DA98" s="73"/>
      <c r="DB98" s="73"/>
      <c r="DC98" s="73"/>
      <c r="DD98" s="73">
        <v>1</v>
      </c>
      <c r="DE98" s="73"/>
      <c r="DF98" s="73"/>
      <c r="DG98" s="73">
        <v>1</v>
      </c>
      <c r="DH98" s="73">
        <v>2</v>
      </c>
      <c r="DI98" s="73"/>
      <c r="DJ98" s="73"/>
      <c r="DK98" s="73"/>
      <c r="DL98" s="73"/>
      <c r="DM98" s="73">
        <v>1</v>
      </c>
      <c r="DN98" s="73"/>
      <c r="DO98" s="73"/>
      <c r="DP98" s="73"/>
      <c r="DQ98" s="73"/>
      <c r="DR98" s="73"/>
      <c r="DS98" s="73"/>
      <c r="DT98" s="73"/>
      <c r="DU98" s="73"/>
      <c r="DV98" s="73">
        <v>1</v>
      </c>
      <c r="DW98" s="73">
        <v>1</v>
      </c>
      <c r="DX98" s="73"/>
      <c r="DY98" s="43"/>
      <c r="DZ98" s="35"/>
      <c r="EA98" s="19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20"/>
      <c r="FT98" s="20"/>
      <c r="FU98" s="20"/>
    </row>
    <row r="99" spans="1:177" s="13" customFormat="1" ht="13.2" customHeight="1" x14ac:dyDescent="0.25">
      <c r="A99" s="178"/>
      <c r="B99" s="180"/>
      <c r="C99" s="114">
        <v>18</v>
      </c>
      <c r="D99" s="115">
        <v>26</v>
      </c>
      <c r="E99" s="115">
        <v>29</v>
      </c>
      <c r="F99" s="115">
        <v>58</v>
      </c>
      <c r="G99" s="115">
        <v>65</v>
      </c>
      <c r="H99" s="115">
        <v>80</v>
      </c>
      <c r="I99" s="46"/>
      <c r="J99" s="115">
        <v>21</v>
      </c>
      <c r="K99" s="46"/>
      <c r="L99" s="188"/>
      <c r="M99" s="46"/>
      <c r="X99" s="44"/>
      <c r="AI99" s="151"/>
      <c r="AJ99" s="19"/>
      <c r="AK99" s="19"/>
      <c r="AL99" s="19"/>
      <c r="AM99" s="19"/>
      <c r="AN99" s="42"/>
      <c r="AO99" s="54"/>
      <c r="AP99" s="19"/>
      <c r="AQ99" s="1"/>
      <c r="AR99" s="74"/>
      <c r="AS99" s="42"/>
      <c r="AT99" s="54"/>
      <c r="AU99" s="54"/>
      <c r="AV99" s="19"/>
      <c r="AW99" s="54"/>
      <c r="AX99" s="57"/>
      <c r="AY99" s="54"/>
      <c r="AZ99" s="54"/>
      <c r="BA99" s="54"/>
      <c r="BB99" s="54"/>
      <c r="BC99" s="57"/>
      <c r="BD99" s="19"/>
      <c r="BE99" s="19"/>
      <c r="BF99" s="19"/>
      <c r="BG99" s="54"/>
      <c r="BH99" s="43"/>
      <c r="BI99" s="53">
        <v>46099</v>
      </c>
      <c r="BJ99" s="64">
        <v>86</v>
      </c>
      <c r="BK99" s="65">
        <v>86</v>
      </c>
      <c r="BL99" s="63">
        <v>24</v>
      </c>
      <c r="BM99" s="63">
        <v>59</v>
      </c>
      <c r="BN99" s="64">
        <v>5</v>
      </c>
      <c r="BO99" s="68">
        <v>5</v>
      </c>
      <c r="BP99" s="68">
        <v>2</v>
      </c>
      <c r="BQ99" s="68">
        <v>1</v>
      </c>
      <c r="BR99" s="68">
        <v>3</v>
      </c>
      <c r="BS99" s="68">
        <v>9</v>
      </c>
      <c r="BT99" s="68">
        <v>7</v>
      </c>
      <c r="BU99" s="68"/>
      <c r="BV99" s="68">
        <v>2</v>
      </c>
      <c r="BW99" s="68">
        <v>1</v>
      </c>
      <c r="BX99" s="68">
        <v>5</v>
      </c>
      <c r="BY99" s="68"/>
      <c r="BZ99" s="68">
        <v>3</v>
      </c>
      <c r="CA99" s="68"/>
      <c r="CB99" s="68">
        <v>3</v>
      </c>
      <c r="CC99" s="68"/>
      <c r="CD99" s="68"/>
      <c r="CE99" s="68">
        <v>2</v>
      </c>
      <c r="CF99" s="68"/>
      <c r="CG99" s="68"/>
      <c r="CH99" s="68"/>
      <c r="CI99" s="68"/>
      <c r="CJ99" s="68"/>
      <c r="CK99" s="68">
        <v>1</v>
      </c>
      <c r="CL99" s="68">
        <v>1</v>
      </c>
      <c r="CM99" s="68">
        <v>2</v>
      </c>
      <c r="CN99" s="68">
        <v>1</v>
      </c>
      <c r="CO99" s="68">
        <v>1</v>
      </c>
      <c r="CP99" s="68">
        <v>1</v>
      </c>
      <c r="CQ99" s="68"/>
      <c r="CR99" s="68"/>
      <c r="CS99" s="68"/>
      <c r="CT99" s="68"/>
      <c r="CU99" s="68">
        <v>2</v>
      </c>
      <c r="CV99" s="68">
        <v>1</v>
      </c>
      <c r="CW99" s="68"/>
      <c r="CX99" s="68"/>
      <c r="CY99" s="68"/>
      <c r="CZ99" s="68">
        <v>1</v>
      </c>
      <c r="DA99" s="68"/>
      <c r="DB99" s="68"/>
      <c r="DC99" s="68">
        <v>1</v>
      </c>
      <c r="DD99" s="68"/>
      <c r="DE99" s="68"/>
      <c r="DF99" s="68"/>
      <c r="DG99" s="68"/>
      <c r="DH99" s="68"/>
      <c r="DI99" s="68"/>
      <c r="DJ99" s="68"/>
      <c r="DK99" s="68"/>
      <c r="DL99" s="68"/>
      <c r="DM99" s="68"/>
      <c r="DN99" s="68"/>
      <c r="DO99" s="68"/>
      <c r="DP99" s="68"/>
      <c r="DQ99" s="68"/>
      <c r="DR99" s="68"/>
      <c r="DS99" s="68"/>
      <c r="DT99" s="68"/>
      <c r="DU99" s="68"/>
      <c r="DV99" s="68"/>
      <c r="DW99" s="68"/>
      <c r="DX99" s="68">
        <v>2</v>
      </c>
      <c r="DY99" s="43"/>
      <c r="DZ99" s="35"/>
      <c r="EA99" s="19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20"/>
      <c r="FT99" s="20"/>
      <c r="FU99" s="20"/>
    </row>
    <row r="100" spans="1:177" s="13" customFormat="1" ht="13.2" customHeight="1" x14ac:dyDescent="0.25">
      <c r="A100" s="179"/>
      <c r="B100" s="180"/>
      <c r="C100" s="10">
        <f>C229+2</f>
        <v>7</v>
      </c>
      <c r="D100" s="10">
        <f>D121+1</f>
        <v>5</v>
      </c>
      <c r="E100" s="10">
        <f>J124+1</f>
        <v>9</v>
      </c>
      <c r="F100" s="10">
        <v>5</v>
      </c>
      <c r="G100" s="10">
        <f>E130+1</f>
        <v>8</v>
      </c>
      <c r="H100" s="10">
        <f>H130+1</f>
        <v>6</v>
      </c>
      <c r="I100" s="46"/>
      <c r="J100" s="156">
        <f>D103+1</f>
        <v>4</v>
      </c>
      <c r="K100" s="46"/>
      <c r="L100" s="188"/>
      <c r="M100" s="46"/>
      <c r="X100" s="44"/>
      <c r="AI100" s="151"/>
      <c r="AJ100" s="19"/>
      <c r="AK100" s="19"/>
      <c r="AL100" s="19"/>
      <c r="AM100" s="19"/>
      <c r="AN100" s="42"/>
      <c r="AO100" s="54"/>
      <c r="AP100" s="19"/>
      <c r="AQ100" s="1"/>
      <c r="AR100" s="74"/>
      <c r="AS100" s="42"/>
      <c r="AT100" s="54"/>
      <c r="AU100" s="54"/>
      <c r="AV100" s="19"/>
      <c r="AW100" s="54"/>
      <c r="AX100" s="57"/>
      <c r="AY100" s="54"/>
      <c r="AZ100" s="54"/>
      <c r="BA100" s="54"/>
      <c r="BB100" s="54"/>
      <c r="BC100" s="57"/>
      <c r="BD100" s="19"/>
      <c r="BE100" s="19"/>
      <c r="BF100" s="19"/>
      <c r="BG100" s="54"/>
      <c r="BH100" s="43"/>
      <c r="BI100" s="53">
        <v>46144</v>
      </c>
      <c r="BJ100" s="64">
        <v>87</v>
      </c>
      <c r="BK100" s="71">
        <v>87</v>
      </c>
      <c r="BL100" s="77">
        <v>5</v>
      </c>
      <c r="BM100" s="77">
        <v>80</v>
      </c>
      <c r="BN100" s="72">
        <v>10</v>
      </c>
      <c r="BO100" s="73">
        <v>4</v>
      </c>
      <c r="BP100" s="73">
        <v>5</v>
      </c>
      <c r="BQ100" s="73">
        <v>5</v>
      </c>
      <c r="BR100" s="73">
        <v>6</v>
      </c>
      <c r="BS100" s="73">
        <v>6</v>
      </c>
      <c r="BT100" s="73">
        <v>4</v>
      </c>
      <c r="BU100" s="73">
        <v>1</v>
      </c>
      <c r="BV100" s="73">
        <v>5</v>
      </c>
      <c r="BW100" s="73">
        <v>2</v>
      </c>
      <c r="BX100" s="73">
        <v>5</v>
      </c>
      <c r="BY100" s="73">
        <v>1</v>
      </c>
      <c r="BZ100" s="73">
        <v>2</v>
      </c>
      <c r="CA100" s="73">
        <v>1</v>
      </c>
      <c r="CB100" s="73">
        <v>1</v>
      </c>
      <c r="CC100" s="73"/>
      <c r="CD100" s="73">
        <v>2</v>
      </c>
      <c r="CE100" s="73">
        <v>2</v>
      </c>
      <c r="CF100" s="73">
        <v>2</v>
      </c>
      <c r="CG100" s="73"/>
      <c r="CH100" s="73">
        <v>4</v>
      </c>
      <c r="CI100" s="73">
        <v>1</v>
      </c>
      <c r="CJ100" s="73"/>
      <c r="CK100" s="73">
        <v>2</v>
      </c>
      <c r="CL100" s="73"/>
      <c r="CM100" s="73"/>
      <c r="CN100" s="73"/>
      <c r="CO100" s="73">
        <v>1</v>
      </c>
      <c r="CP100" s="73">
        <v>1</v>
      </c>
      <c r="CQ100" s="73"/>
      <c r="CR100" s="73"/>
      <c r="CS100" s="73"/>
      <c r="CT100" s="73"/>
      <c r="CU100" s="73"/>
      <c r="CV100" s="73"/>
      <c r="CW100" s="73"/>
      <c r="CX100" s="73"/>
      <c r="CY100" s="73"/>
      <c r="CZ100" s="73">
        <v>2</v>
      </c>
      <c r="DA100" s="73"/>
      <c r="DB100" s="73"/>
      <c r="DC100" s="73"/>
      <c r="DD100" s="73"/>
      <c r="DE100" s="73"/>
      <c r="DF100" s="73">
        <v>1</v>
      </c>
      <c r="DG100" s="73"/>
      <c r="DH100" s="73">
        <v>1</v>
      </c>
      <c r="DI100" s="73"/>
      <c r="DJ100" s="73"/>
      <c r="DK100" s="73"/>
      <c r="DL100" s="73"/>
      <c r="DM100" s="73"/>
      <c r="DN100" s="73">
        <v>1</v>
      </c>
      <c r="DO100" s="73"/>
      <c r="DP100" s="73"/>
      <c r="DQ100" s="73"/>
      <c r="DR100" s="73"/>
      <c r="DS100" s="73"/>
      <c r="DT100" s="73"/>
      <c r="DU100" s="73"/>
      <c r="DV100" s="73"/>
      <c r="DW100" s="73"/>
      <c r="DX100" s="73"/>
      <c r="DY100" s="43"/>
      <c r="DZ100" s="35"/>
      <c r="EA100" s="19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20"/>
      <c r="FT100" s="20"/>
      <c r="FU100" s="20"/>
    </row>
    <row r="101" spans="1:177" s="13" customFormat="1" ht="12.6" customHeight="1" x14ac:dyDescent="0.25">
      <c r="A101" s="177">
        <v>83</v>
      </c>
      <c r="B101" s="180">
        <v>31</v>
      </c>
      <c r="C101" s="14">
        <f>A101-A152-1</f>
        <v>16</v>
      </c>
      <c r="D101" s="14">
        <f>A101-A134-1</f>
        <v>10</v>
      </c>
      <c r="E101" s="14">
        <f>A101-A143-1</f>
        <v>13</v>
      </c>
      <c r="F101" s="14">
        <f>A101-A167-1</f>
        <v>21</v>
      </c>
      <c r="G101" s="14">
        <f>A101-A197-1</f>
        <v>31</v>
      </c>
      <c r="H101" s="14">
        <f>A101-A152-1</f>
        <v>16</v>
      </c>
      <c r="I101" s="46"/>
      <c r="J101" s="156">
        <f>A101-A134-1</f>
        <v>10</v>
      </c>
      <c r="K101" s="46"/>
      <c r="L101" s="188">
        <v>46081</v>
      </c>
      <c r="M101" s="46"/>
      <c r="X101" s="44"/>
      <c r="AI101" s="151"/>
      <c r="AJ101" s="19"/>
      <c r="AK101" s="19"/>
      <c r="AL101" s="19"/>
      <c r="AM101" s="19"/>
      <c r="AN101" s="42"/>
      <c r="AO101" s="54"/>
      <c r="AP101" s="19"/>
      <c r="AQ101" s="1"/>
      <c r="AR101" s="74"/>
      <c r="AS101" s="42"/>
      <c r="AT101" s="54"/>
      <c r="AU101" s="54"/>
      <c r="AV101" s="19"/>
      <c r="AW101" s="54"/>
      <c r="AX101" s="57"/>
      <c r="AY101" s="54"/>
      <c r="AZ101" s="54"/>
      <c r="BA101" s="54"/>
      <c r="BB101" s="54"/>
      <c r="BC101" s="57"/>
      <c r="BD101" s="19"/>
      <c r="BE101" s="19"/>
      <c r="BF101" s="19"/>
      <c r="BG101" s="54"/>
      <c r="BH101" s="43"/>
      <c r="BI101" s="53">
        <v>46141</v>
      </c>
      <c r="BJ101" s="64">
        <v>88</v>
      </c>
      <c r="BK101" s="66">
        <v>88</v>
      </c>
      <c r="BL101" s="64">
        <v>6</v>
      </c>
      <c r="BM101" s="64">
        <v>70</v>
      </c>
      <c r="BN101" s="64">
        <v>6</v>
      </c>
      <c r="BO101" s="68">
        <v>8</v>
      </c>
      <c r="BP101" s="68">
        <v>2</v>
      </c>
      <c r="BQ101" s="68">
        <v>4</v>
      </c>
      <c r="BR101" s="68">
        <v>3</v>
      </c>
      <c r="BS101" s="68">
        <v>5</v>
      </c>
      <c r="BT101" s="68">
        <v>3</v>
      </c>
      <c r="BU101" s="68">
        <v>3</v>
      </c>
      <c r="BV101" s="68">
        <v>3</v>
      </c>
      <c r="BW101" s="68">
        <v>3</v>
      </c>
      <c r="BX101" s="68">
        <v>3</v>
      </c>
      <c r="BY101" s="68"/>
      <c r="BZ101" s="68">
        <v>1</v>
      </c>
      <c r="CA101" s="68">
        <v>4</v>
      </c>
      <c r="CB101" s="68"/>
      <c r="CC101" s="68"/>
      <c r="CD101" s="68"/>
      <c r="CE101" s="68">
        <v>3</v>
      </c>
      <c r="CF101" s="68">
        <v>1</v>
      </c>
      <c r="CG101" s="68"/>
      <c r="CH101" s="68">
        <v>3</v>
      </c>
      <c r="CI101" s="68">
        <v>4</v>
      </c>
      <c r="CJ101" s="68"/>
      <c r="CK101" s="68"/>
      <c r="CL101" s="68"/>
      <c r="CM101" s="68">
        <v>1</v>
      </c>
      <c r="CN101" s="68">
        <v>1</v>
      </c>
      <c r="CO101" s="68">
        <v>1</v>
      </c>
      <c r="CP101" s="68">
        <v>1</v>
      </c>
      <c r="CQ101" s="68"/>
      <c r="CR101" s="68"/>
      <c r="CS101" s="68"/>
      <c r="CT101" s="68">
        <v>1</v>
      </c>
      <c r="CU101" s="68">
        <v>1</v>
      </c>
      <c r="CV101" s="68"/>
      <c r="CW101" s="68"/>
      <c r="CX101" s="68"/>
      <c r="CY101" s="68">
        <v>1</v>
      </c>
      <c r="CZ101" s="68"/>
      <c r="DA101" s="68"/>
      <c r="DB101" s="68"/>
      <c r="DC101" s="68"/>
      <c r="DD101" s="68"/>
      <c r="DE101" s="68">
        <v>1</v>
      </c>
      <c r="DF101" s="68"/>
      <c r="DG101" s="68">
        <v>1</v>
      </c>
      <c r="DH101" s="68"/>
      <c r="DI101" s="68"/>
      <c r="DJ101" s="68">
        <v>1</v>
      </c>
      <c r="DK101" s="68"/>
      <c r="DL101" s="68"/>
      <c r="DM101" s="68"/>
      <c r="DN101" s="68"/>
      <c r="DO101" s="68"/>
      <c r="DP101" s="68"/>
      <c r="DQ101" s="68"/>
      <c r="DR101" s="68"/>
      <c r="DS101" s="68"/>
      <c r="DT101" s="68"/>
      <c r="DU101" s="68"/>
      <c r="DV101" s="68"/>
      <c r="DW101" s="68"/>
      <c r="DX101" s="68"/>
      <c r="DY101" s="43"/>
      <c r="DZ101" s="35"/>
      <c r="EA101" s="19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20"/>
      <c r="FT101" s="20"/>
      <c r="FU101" s="20"/>
    </row>
    <row r="102" spans="1:177" s="13" customFormat="1" ht="13.2" customHeight="1" x14ac:dyDescent="0.25">
      <c r="A102" s="178"/>
      <c r="B102" s="180"/>
      <c r="C102" s="114">
        <v>2</v>
      </c>
      <c r="D102" s="115">
        <v>21</v>
      </c>
      <c r="E102" s="115">
        <v>22</v>
      </c>
      <c r="F102" s="115">
        <v>44</v>
      </c>
      <c r="G102" s="115">
        <v>48</v>
      </c>
      <c r="H102" s="115">
        <v>81</v>
      </c>
      <c r="I102" s="46"/>
      <c r="J102" s="115">
        <v>42</v>
      </c>
      <c r="K102" s="46"/>
      <c r="L102" s="188"/>
      <c r="M102" s="46"/>
      <c r="X102" s="44"/>
      <c r="AI102" s="151"/>
      <c r="AJ102" s="19"/>
      <c r="AK102" s="19"/>
      <c r="AL102" s="19"/>
      <c r="AM102" s="19"/>
      <c r="AN102" s="42"/>
      <c r="AO102" s="54"/>
      <c r="AP102" s="19"/>
      <c r="AQ102" s="1"/>
      <c r="AR102" s="74"/>
      <c r="AS102" s="42"/>
      <c r="AT102" s="54"/>
      <c r="AU102" s="54"/>
      <c r="AV102" s="19"/>
      <c r="AW102" s="54"/>
      <c r="AX102" s="57"/>
      <c r="AY102" s="54"/>
      <c r="AZ102" s="54"/>
      <c r="BA102" s="54"/>
      <c r="BB102" s="54"/>
      <c r="BC102" s="57"/>
      <c r="BD102" s="19"/>
      <c r="BE102" s="19"/>
      <c r="BF102" s="19"/>
      <c r="BG102" s="54"/>
      <c r="BH102" s="43"/>
      <c r="BI102" s="53">
        <v>46155</v>
      </c>
      <c r="BJ102" s="64">
        <v>89</v>
      </c>
      <c r="BK102" s="71">
        <v>89</v>
      </c>
      <c r="BL102" s="77" t="s">
        <v>0</v>
      </c>
      <c r="BM102" s="77">
        <v>72</v>
      </c>
      <c r="BN102" s="72">
        <v>10</v>
      </c>
      <c r="BO102" s="73">
        <v>5</v>
      </c>
      <c r="BP102" s="73">
        <v>4</v>
      </c>
      <c r="BQ102" s="73">
        <v>8</v>
      </c>
      <c r="BR102" s="73">
        <v>5</v>
      </c>
      <c r="BS102" s="73">
        <v>7</v>
      </c>
      <c r="BT102" s="73">
        <v>3</v>
      </c>
      <c r="BU102" s="73">
        <v>3</v>
      </c>
      <c r="BV102" s="73">
        <v>5</v>
      </c>
      <c r="BW102" s="73"/>
      <c r="BX102" s="73">
        <v>3</v>
      </c>
      <c r="BY102" s="73">
        <v>2</v>
      </c>
      <c r="BZ102" s="73">
        <v>1</v>
      </c>
      <c r="CA102" s="73">
        <v>2</v>
      </c>
      <c r="CB102" s="73"/>
      <c r="CC102" s="73">
        <v>3</v>
      </c>
      <c r="CD102" s="73"/>
      <c r="CE102" s="73"/>
      <c r="CF102" s="73"/>
      <c r="CG102" s="73">
        <v>2</v>
      </c>
      <c r="CH102" s="73">
        <v>3</v>
      </c>
      <c r="CI102" s="73"/>
      <c r="CJ102" s="73">
        <v>1</v>
      </c>
      <c r="CK102" s="73">
        <v>1</v>
      </c>
      <c r="CL102" s="73"/>
      <c r="CM102" s="73">
        <v>3</v>
      </c>
      <c r="CN102" s="73">
        <v>1</v>
      </c>
      <c r="CO102" s="73"/>
      <c r="CP102" s="73"/>
      <c r="CQ102" s="73"/>
      <c r="CR102" s="73"/>
      <c r="CS102" s="73">
        <v>1</v>
      </c>
      <c r="CT102" s="73"/>
      <c r="CU102" s="73"/>
      <c r="CV102" s="73"/>
      <c r="CW102" s="73"/>
      <c r="CX102" s="73"/>
      <c r="CY102" s="73"/>
      <c r="CZ102" s="73"/>
      <c r="DA102" s="73"/>
      <c r="DB102" s="73"/>
      <c r="DC102" s="73"/>
      <c r="DD102" s="73"/>
      <c r="DE102" s="73"/>
      <c r="DF102" s="73"/>
      <c r="DG102" s="73"/>
      <c r="DH102" s="73"/>
      <c r="DI102" s="73">
        <v>1</v>
      </c>
      <c r="DJ102" s="73"/>
      <c r="DK102" s="73">
        <v>1</v>
      </c>
      <c r="DL102" s="73"/>
      <c r="DM102" s="73"/>
      <c r="DN102" s="73"/>
      <c r="DO102" s="73"/>
      <c r="DP102" s="73"/>
      <c r="DQ102" s="73"/>
      <c r="DR102" s="73">
        <v>1</v>
      </c>
      <c r="DS102" s="73"/>
      <c r="DT102" s="73"/>
      <c r="DU102" s="73"/>
      <c r="DV102" s="73"/>
      <c r="DW102" s="73"/>
      <c r="DX102" s="73">
        <v>1</v>
      </c>
      <c r="DY102" s="43"/>
      <c r="DZ102" s="35"/>
      <c r="EA102" s="19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20"/>
      <c r="FT102" s="20"/>
      <c r="FU102" s="20"/>
    </row>
    <row r="103" spans="1:177" s="13" customFormat="1" ht="13.2" customHeight="1" x14ac:dyDescent="0.25">
      <c r="A103" s="179"/>
      <c r="B103" s="180"/>
      <c r="C103" s="10">
        <f>J142+1</f>
        <v>11</v>
      </c>
      <c r="D103" s="10">
        <f>C136+1</f>
        <v>3</v>
      </c>
      <c r="E103" s="10">
        <f>D145+1</f>
        <v>3</v>
      </c>
      <c r="F103" s="10">
        <f>E169+1</f>
        <v>7</v>
      </c>
      <c r="G103" s="10">
        <f>F199+1</f>
        <v>5</v>
      </c>
      <c r="H103" s="10">
        <f>H154+1</f>
        <v>3</v>
      </c>
      <c r="I103" s="46"/>
      <c r="J103" s="156">
        <f>D136+1</f>
        <v>3</v>
      </c>
      <c r="K103" s="46"/>
      <c r="L103" s="188"/>
      <c r="M103" s="46"/>
      <c r="X103" s="44"/>
      <c r="AI103" s="151"/>
      <c r="BI103" s="53">
        <v>46137</v>
      </c>
      <c r="BJ103" s="64">
        <v>90</v>
      </c>
      <c r="BK103" s="66">
        <v>90</v>
      </c>
      <c r="BL103" s="64">
        <v>8</v>
      </c>
      <c r="BM103" s="64">
        <v>60</v>
      </c>
      <c r="BN103" s="64">
        <v>8</v>
      </c>
      <c r="BO103" s="68">
        <v>2</v>
      </c>
      <c r="BP103" s="68">
        <v>5</v>
      </c>
      <c r="BQ103" s="68">
        <v>4</v>
      </c>
      <c r="BR103" s="68">
        <v>4</v>
      </c>
      <c r="BS103" s="68">
        <v>3</v>
      </c>
      <c r="BT103" s="68">
        <v>2</v>
      </c>
      <c r="BU103" s="68">
        <v>2</v>
      </c>
      <c r="BV103" s="68"/>
      <c r="BW103" s="68">
        <v>1</v>
      </c>
      <c r="BX103" s="68">
        <v>2</v>
      </c>
      <c r="BY103" s="68">
        <v>3</v>
      </c>
      <c r="BZ103" s="68"/>
      <c r="CA103" s="68">
        <v>3</v>
      </c>
      <c r="CB103" s="68">
        <v>1</v>
      </c>
      <c r="CC103" s="68">
        <v>3</v>
      </c>
      <c r="CD103" s="68">
        <v>2</v>
      </c>
      <c r="CE103" s="68">
        <v>1</v>
      </c>
      <c r="CF103" s="68">
        <v>1</v>
      </c>
      <c r="CG103" s="68"/>
      <c r="CH103" s="68">
        <v>3</v>
      </c>
      <c r="CI103" s="68">
        <v>1</v>
      </c>
      <c r="CJ103" s="68">
        <v>1</v>
      </c>
      <c r="CK103" s="68">
        <v>2</v>
      </c>
      <c r="CL103" s="68"/>
      <c r="CM103" s="68">
        <v>1</v>
      </c>
      <c r="CN103" s="68">
        <v>2</v>
      </c>
      <c r="CO103" s="68"/>
      <c r="CP103" s="68"/>
      <c r="CQ103" s="68">
        <v>1</v>
      </c>
      <c r="CR103" s="68"/>
      <c r="CS103" s="68"/>
      <c r="CT103" s="68">
        <v>1</v>
      </c>
      <c r="CU103" s="68"/>
      <c r="CV103" s="68"/>
      <c r="CW103" s="68">
        <v>2</v>
      </c>
      <c r="CX103" s="68"/>
      <c r="CY103" s="68"/>
      <c r="CZ103" s="68"/>
      <c r="DA103" s="68">
        <v>2</v>
      </c>
      <c r="DB103" s="68"/>
      <c r="DC103" s="68"/>
      <c r="DD103" s="68"/>
      <c r="DE103" s="68"/>
      <c r="DF103" s="68"/>
      <c r="DG103" s="68"/>
      <c r="DH103" s="68"/>
      <c r="DI103" s="68"/>
      <c r="DJ103" s="68"/>
      <c r="DK103" s="68"/>
      <c r="DL103" s="68"/>
      <c r="DM103" s="68"/>
      <c r="DN103" s="68"/>
      <c r="DO103" s="68"/>
      <c r="DP103" s="68"/>
      <c r="DQ103" s="68"/>
      <c r="DR103" s="68"/>
      <c r="DS103" s="68"/>
      <c r="DT103" s="68"/>
      <c r="DU103" s="68">
        <v>1</v>
      </c>
      <c r="DV103" s="68"/>
      <c r="DW103" s="68"/>
      <c r="DX103" s="68"/>
      <c r="DY103" s="43"/>
      <c r="DZ103" s="35"/>
      <c r="EA103" s="19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20"/>
      <c r="FT103" s="20"/>
      <c r="FU103" s="20"/>
    </row>
    <row r="104" spans="1:177" s="13" customFormat="1" ht="13.2" customHeight="1" x14ac:dyDescent="0.25">
      <c r="A104" s="177">
        <v>82</v>
      </c>
      <c r="B104" s="180">
        <v>32</v>
      </c>
      <c r="C104" s="14">
        <f>A104-A149-1</f>
        <v>14</v>
      </c>
      <c r="D104" s="14">
        <f>A104-A143-1</f>
        <v>12</v>
      </c>
      <c r="E104" s="14">
        <f>A104-A143-1</f>
        <v>12</v>
      </c>
      <c r="F104" s="14">
        <f>A104-A116-1</f>
        <v>3</v>
      </c>
      <c r="G104" s="14">
        <f>A104-A119-1</f>
        <v>4</v>
      </c>
      <c r="H104" s="14">
        <f>A104-A215-1</f>
        <v>36</v>
      </c>
      <c r="I104" s="46"/>
      <c r="J104" s="156">
        <f>A104-A110-1</f>
        <v>1</v>
      </c>
      <c r="K104" s="46"/>
      <c r="L104" s="188">
        <v>46078</v>
      </c>
      <c r="M104" s="46"/>
      <c r="X104" s="44"/>
      <c r="AI104" s="151"/>
      <c r="BI104" s="76"/>
      <c r="BJ104" s="64"/>
      <c r="BK104" s="71"/>
      <c r="BL104" s="77"/>
      <c r="BM104" s="77"/>
      <c r="BN104" s="72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  <c r="CK104" s="73"/>
      <c r="CL104" s="73"/>
      <c r="CM104" s="73"/>
      <c r="CN104" s="73"/>
      <c r="CO104" s="73"/>
      <c r="CP104" s="73"/>
      <c r="CQ104" s="73"/>
      <c r="CR104" s="73"/>
      <c r="CS104" s="73"/>
      <c r="CT104" s="73"/>
      <c r="CU104" s="73"/>
      <c r="CV104" s="73"/>
      <c r="CW104" s="73"/>
      <c r="CX104" s="73"/>
      <c r="CY104" s="73"/>
      <c r="CZ104" s="73"/>
      <c r="DA104" s="73"/>
      <c r="DB104" s="73"/>
      <c r="DC104" s="73"/>
      <c r="DD104" s="73"/>
      <c r="DE104" s="73"/>
      <c r="DF104" s="73"/>
      <c r="DG104" s="73"/>
      <c r="DH104" s="73"/>
      <c r="DI104" s="73"/>
      <c r="DJ104" s="73"/>
      <c r="DK104" s="73"/>
      <c r="DL104" s="73"/>
      <c r="DM104" s="73"/>
      <c r="DN104" s="73"/>
      <c r="DO104" s="73"/>
      <c r="DP104" s="73"/>
      <c r="DQ104" s="73"/>
      <c r="DR104" s="73"/>
      <c r="DS104" s="73"/>
      <c r="DT104" s="73"/>
      <c r="DU104" s="73"/>
      <c r="DV104" s="73"/>
      <c r="DW104" s="73"/>
      <c r="DX104" s="73"/>
      <c r="DY104" s="43"/>
      <c r="DZ104" s="35"/>
      <c r="EA104" s="19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20"/>
      <c r="FT104" s="20"/>
      <c r="FU104" s="20"/>
    </row>
    <row r="105" spans="1:177" s="13" customFormat="1" ht="13.2" customHeight="1" x14ac:dyDescent="0.25">
      <c r="A105" s="178"/>
      <c r="B105" s="180"/>
      <c r="C105" s="116">
        <v>4</v>
      </c>
      <c r="D105" s="116">
        <v>14</v>
      </c>
      <c r="E105" s="116">
        <v>27</v>
      </c>
      <c r="F105" s="116">
        <v>33</v>
      </c>
      <c r="G105" s="116">
        <v>41</v>
      </c>
      <c r="H105" s="116">
        <v>84</v>
      </c>
      <c r="I105" s="46"/>
      <c r="J105" s="116">
        <v>68</v>
      </c>
      <c r="K105" s="46"/>
      <c r="L105" s="188"/>
      <c r="M105" s="46"/>
      <c r="X105" s="44"/>
      <c r="AI105" s="151"/>
      <c r="DY105" s="43"/>
      <c r="DZ105" s="35"/>
      <c r="EA105" s="19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20"/>
      <c r="FT105" s="20"/>
      <c r="FU105" s="20"/>
    </row>
    <row r="106" spans="1:177" s="13" customFormat="1" ht="13.2" customHeight="1" x14ac:dyDescent="0.25">
      <c r="A106" s="179"/>
      <c r="B106" s="180"/>
      <c r="C106" s="10">
        <f>J151+1</f>
        <v>9</v>
      </c>
      <c r="D106" s="10">
        <f>C145+1</f>
        <v>13</v>
      </c>
      <c r="E106" s="10">
        <f>E145+1</f>
        <v>10</v>
      </c>
      <c r="F106" s="10">
        <f>F118+1</f>
        <v>10</v>
      </c>
      <c r="G106" s="10">
        <f>E121+1</f>
        <v>11</v>
      </c>
      <c r="H106" s="10">
        <f>H217+2</f>
        <v>3</v>
      </c>
      <c r="I106" s="46"/>
      <c r="J106" s="156">
        <f>F112+1</f>
        <v>10</v>
      </c>
      <c r="K106" s="46"/>
      <c r="L106" s="188"/>
      <c r="M106" s="46"/>
      <c r="X106" s="44"/>
      <c r="AI106" s="151"/>
      <c r="DY106" s="43"/>
      <c r="DZ106" s="35"/>
      <c r="EA106" s="19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20"/>
      <c r="FT106" s="20"/>
      <c r="FU106" s="20"/>
    </row>
    <row r="107" spans="1:177" s="13" customFormat="1" ht="13.2" customHeight="1" x14ac:dyDescent="0.25">
      <c r="A107" s="177">
        <v>81</v>
      </c>
      <c r="B107" s="180">
        <v>33</v>
      </c>
      <c r="C107" s="14">
        <f>A107-A140-1</f>
        <v>10</v>
      </c>
      <c r="D107" s="14">
        <f>A107-A200-1</f>
        <v>30</v>
      </c>
      <c r="E107" s="14">
        <f>A107-A155-1</f>
        <v>15</v>
      </c>
      <c r="F107" s="14">
        <f>A107-A250-1</f>
        <v>80</v>
      </c>
      <c r="G107" s="14">
        <f>A107-A167-1</f>
        <v>19</v>
      </c>
      <c r="H107" s="14">
        <f>A107-A113-1</f>
        <v>1</v>
      </c>
      <c r="I107" s="46"/>
      <c r="J107" s="156">
        <f>A107-A143-1</f>
        <v>11</v>
      </c>
      <c r="K107" s="46"/>
      <c r="L107" s="188">
        <v>46076</v>
      </c>
      <c r="M107" s="46"/>
      <c r="X107" s="44"/>
      <c r="AI107" s="151"/>
      <c r="DY107" s="43"/>
      <c r="DZ107" s="35"/>
      <c r="EA107" s="19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20"/>
      <c r="FT107" s="20"/>
      <c r="FU107" s="20"/>
    </row>
    <row r="108" spans="1:177" s="13" customFormat="1" ht="13.2" customHeight="1" x14ac:dyDescent="0.25">
      <c r="A108" s="178"/>
      <c r="B108" s="180"/>
      <c r="C108" s="117">
        <v>6</v>
      </c>
      <c r="D108" s="117">
        <v>7</v>
      </c>
      <c r="E108" s="117">
        <v>8</v>
      </c>
      <c r="F108" s="117">
        <v>11</v>
      </c>
      <c r="G108" s="117">
        <v>39</v>
      </c>
      <c r="H108" s="117">
        <v>55</v>
      </c>
      <c r="I108" s="46"/>
      <c r="J108" s="117">
        <v>70</v>
      </c>
      <c r="K108" s="46"/>
      <c r="L108" s="188"/>
      <c r="M108" s="46"/>
      <c r="X108" s="44"/>
      <c r="AI108" s="151"/>
      <c r="DY108" s="43"/>
      <c r="DZ108" s="35"/>
      <c r="EA108" s="19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20"/>
      <c r="FT108" s="20"/>
      <c r="FU108" s="20"/>
    </row>
    <row r="109" spans="1:177" s="13" customFormat="1" ht="13.2" customHeight="1" x14ac:dyDescent="0.25">
      <c r="A109" s="179"/>
      <c r="B109" s="180"/>
      <c r="C109" s="10">
        <f>C142+1</f>
        <v>13</v>
      </c>
      <c r="D109" s="10">
        <f>C202+1</f>
        <v>9</v>
      </c>
      <c r="E109" s="10">
        <f>C157+1</f>
        <v>6</v>
      </c>
      <c r="F109" s="10">
        <v>2</v>
      </c>
      <c r="G109" s="10">
        <f>J169+2</f>
        <v>10</v>
      </c>
      <c r="H109" s="10">
        <f>F115+1</f>
        <v>5</v>
      </c>
      <c r="I109" s="45"/>
      <c r="J109" s="156">
        <f>H145+1</f>
        <v>8</v>
      </c>
      <c r="K109" s="45"/>
      <c r="L109" s="188"/>
      <c r="M109" s="45"/>
      <c r="X109" s="44"/>
      <c r="AI109" s="150"/>
      <c r="DY109" s="43"/>
      <c r="DZ109" s="20"/>
      <c r="EA109" s="19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20"/>
      <c r="FT109" s="20"/>
      <c r="FU109" s="20"/>
    </row>
    <row r="110" spans="1:177" s="13" customFormat="1" ht="13.2" customHeight="1" x14ac:dyDescent="0.25">
      <c r="A110" s="177">
        <v>80</v>
      </c>
      <c r="B110" s="180">
        <v>34</v>
      </c>
      <c r="C110" s="14">
        <f>A110-A137-1</f>
        <v>8</v>
      </c>
      <c r="D110" s="14">
        <f>A110-A227-1</f>
        <v>38</v>
      </c>
      <c r="E110" s="14">
        <f>A110-A122-1</f>
        <v>3</v>
      </c>
      <c r="F110" s="14">
        <f>A110-A158-1</f>
        <v>15</v>
      </c>
      <c r="G110" s="14">
        <f>A110-A116-1</f>
        <v>1</v>
      </c>
      <c r="H110" s="14">
        <f>A110-A113-1</f>
        <v>0</v>
      </c>
      <c r="I110" s="45"/>
      <c r="J110" s="156">
        <f>A110-A119-1</f>
        <v>2</v>
      </c>
      <c r="K110" s="45"/>
      <c r="L110" s="188">
        <v>46074</v>
      </c>
      <c r="M110" s="45"/>
      <c r="X110" s="44"/>
      <c r="AI110" s="150"/>
      <c r="DY110" s="43"/>
      <c r="DZ110" s="20"/>
      <c r="EA110" s="19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20"/>
      <c r="FT110" s="20"/>
      <c r="FU110" s="20"/>
    </row>
    <row r="111" spans="1:177" s="13" customFormat="1" ht="12.6" customHeight="1" x14ac:dyDescent="0.25">
      <c r="A111" s="178"/>
      <c r="B111" s="180"/>
      <c r="C111" s="118">
        <v>31</v>
      </c>
      <c r="D111" s="118">
        <v>35</v>
      </c>
      <c r="E111" s="118">
        <v>66</v>
      </c>
      <c r="F111" s="118">
        <v>68</v>
      </c>
      <c r="G111" s="118">
        <v>71</v>
      </c>
      <c r="H111" s="118">
        <v>82</v>
      </c>
      <c r="I111" s="45"/>
      <c r="J111" s="118">
        <v>15</v>
      </c>
      <c r="K111" s="45"/>
      <c r="L111" s="188"/>
      <c r="M111" s="45"/>
      <c r="X111" s="44"/>
      <c r="AI111" s="150"/>
      <c r="DY111" s="43"/>
      <c r="DZ111" s="20"/>
      <c r="EA111" s="19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20"/>
      <c r="FT111" s="20"/>
      <c r="FU111" s="20"/>
    </row>
    <row r="112" spans="1:177" s="13" customFormat="1" ht="13.2" customHeight="1" x14ac:dyDescent="0.25">
      <c r="A112" s="179"/>
      <c r="B112" s="180"/>
      <c r="C112" s="10">
        <f>E139+1</f>
        <v>7</v>
      </c>
      <c r="D112" s="10">
        <f>J139+1</f>
        <v>7</v>
      </c>
      <c r="E112" s="10">
        <f>E124+1</f>
        <v>4</v>
      </c>
      <c r="F112" s="10">
        <f>G160+1</f>
        <v>9</v>
      </c>
      <c r="G112" s="10">
        <f>H118+1</f>
        <v>6</v>
      </c>
      <c r="H112" s="10">
        <f>H115+1</f>
        <v>9</v>
      </c>
      <c r="I112" s="45"/>
      <c r="J112" s="156">
        <f>C121+1</f>
        <v>6</v>
      </c>
      <c r="K112" s="45"/>
      <c r="L112" s="188"/>
      <c r="M112" s="45"/>
      <c r="X112" s="44"/>
      <c r="AI112" s="150"/>
      <c r="DY112" s="43"/>
      <c r="DZ112" s="20"/>
      <c r="EA112" s="19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20"/>
      <c r="FT112" s="20"/>
      <c r="FU112" s="20"/>
    </row>
    <row r="113" spans="1:177" s="13" customFormat="1" ht="13.2" customHeight="1" x14ac:dyDescent="0.25">
      <c r="A113" s="177">
        <v>79</v>
      </c>
      <c r="B113" s="180">
        <v>35</v>
      </c>
      <c r="C113" s="14">
        <f>A113-A167-1</f>
        <v>17</v>
      </c>
      <c r="D113" s="14">
        <f>A113-A176-1</f>
        <v>20</v>
      </c>
      <c r="E113" s="14">
        <f>A113-A119-1</f>
        <v>1</v>
      </c>
      <c r="F113" s="14">
        <f>A113-A164-1</f>
        <v>16</v>
      </c>
      <c r="G113" s="14">
        <f>A113-A152-1</f>
        <v>12</v>
      </c>
      <c r="H113" s="14">
        <f>A113-A155-1</f>
        <v>13</v>
      </c>
      <c r="I113" s="45"/>
      <c r="J113" s="156">
        <f>A113-A158-1</f>
        <v>14</v>
      </c>
      <c r="K113" s="45"/>
      <c r="L113" s="189">
        <v>46071</v>
      </c>
      <c r="M113" s="45"/>
      <c r="X113" s="44"/>
      <c r="AI113" s="150"/>
      <c r="DY113" s="43"/>
      <c r="DZ113" s="20"/>
      <c r="EA113" s="19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20"/>
      <c r="FT113" s="20"/>
      <c r="FU113" s="20"/>
    </row>
    <row r="114" spans="1:177" s="13" customFormat="1" ht="13.2" customHeight="1" x14ac:dyDescent="0.25">
      <c r="A114" s="178"/>
      <c r="B114" s="180"/>
      <c r="C114" s="118">
        <v>13</v>
      </c>
      <c r="D114" s="118">
        <v>19</v>
      </c>
      <c r="E114" s="118">
        <v>50</v>
      </c>
      <c r="F114" s="118">
        <v>55</v>
      </c>
      <c r="G114" s="118">
        <v>62</v>
      </c>
      <c r="H114" s="118">
        <v>82</v>
      </c>
      <c r="I114" s="45"/>
      <c r="J114" s="118">
        <v>90</v>
      </c>
      <c r="K114" s="45"/>
      <c r="L114" s="189"/>
      <c r="M114" s="45"/>
      <c r="X114" s="44"/>
      <c r="AI114" s="150"/>
      <c r="DY114" s="43"/>
      <c r="DZ114" s="20"/>
      <c r="EA114" s="19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20"/>
      <c r="FT114" s="20"/>
      <c r="FU114" s="20"/>
    </row>
    <row r="115" spans="1:177" s="13" customFormat="1" ht="13.2" customHeight="1" x14ac:dyDescent="0.25">
      <c r="A115" s="179"/>
      <c r="B115" s="180"/>
      <c r="C115" s="10">
        <f>C169+1</f>
        <v>6</v>
      </c>
      <c r="D115" s="10">
        <f>E178+1</f>
        <v>6</v>
      </c>
      <c r="E115" s="10">
        <f>F121+1</f>
        <v>8</v>
      </c>
      <c r="F115" s="10">
        <f>E166+1</f>
        <v>4</v>
      </c>
      <c r="G115" s="10">
        <f>F154+4</f>
        <v>10</v>
      </c>
      <c r="H115" s="10">
        <f>H157+1</f>
        <v>8</v>
      </c>
      <c r="I115" s="45"/>
      <c r="J115" s="156">
        <f>H160+2</f>
        <v>7</v>
      </c>
      <c r="K115" s="45"/>
      <c r="L115" s="189"/>
      <c r="M115" s="45"/>
      <c r="X115" s="44"/>
      <c r="AI115" s="150"/>
      <c r="DY115" s="43"/>
      <c r="DZ115" s="20"/>
      <c r="EA115" s="19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20"/>
      <c r="FT115" s="20"/>
      <c r="FU115" s="20"/>
    </row>
    <row r="116" spans="1:177" s="13" customFormat="1" ht="13.2" customHeight="1" x14ac:dyDescent="0.25">
      <c r="A116" s="177">
        <v>78</v>
      </c>
      <c r="B116" s="180">
        <v>36</v>
      </c>
      <c r="C116" s="14">
        <f>A116-A119-1</f>
        <v>0</v>
      </c>
      <c r="D116" s="14">
        <f>A116-A158</f>
        <v>14</v>
      </c>
      <c r="E116" s="14">
        <f>A116-A128</f>
        <v>4</v>
      </c>
      <c r="F116" s="14">
        <f>A116-A152</f>
        <v>12</v>
      </c>
      <c r="G116" s="14">
        <f>A116-A221</f>
        <v>35</v>
      </c>
      <c r="H116" s="14">
        <f>A116-A149</f>
        <v>11</v>
      </c>
      <c r="I116" s="45"/>
      <c r="J116" s="156">
        <f>A116-A131-1</f>
        <v>4</v>
      </c>
      <c r="K116" s="45"/>
      <c r="L116" s="187">
        <v>46069</v>
      </c>
      <c r="M116" s="45"/>
      <c r="X116" s="44"/>
      <c r="AI116" s="150"/>
      <c r="DY116" s="43"/>
      <c r="DZ116" s="20"/>
      <c r="EA116" s="19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20"/>
      <c r="FT116" s="20"/>
      <c r="FU116" s="20"/>
    </row>
    <row r="117" spans="1:177" s="13" customFormat="1" ht="13.2" customHeight="1" x14ac:dyDescent="0.25">
      <c r="A117" s="178"/>
      <c r="B117" s="180"/>
      <c r="C117" s="118">
        <v>1</v>
      </c>
      <c r="D117" s="118">
        <v>3</v>
      </c>
      <c r="E117" s="118">
        <v>8</v>
      </c>
      <c r="F117" s="118">
        <v>33</v>
      </c>
      <c r="G117" s="118">
        <v>49</v>
      </c>
      <c r="H117" s="118">
        <v>71</v>
      </c>
      <c r="I117" s="45"/>
      <c r="J117" s="118">
        <v>64</v>
      </c>
      <c r="K117" s="45"/>
      <c r="L117" s="187"/>
      <c r="M117" s="45"/>
      <c r="X117" s="44"/>
      <c r="AI117" s="150"/>
      <c r="DY117" s="43"/>
      <c r="DZ117" s="20"/>
      <c r="EA117" s="19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20"/>
      <c r="FT117" s="20"/>
      <c r="FU117" s="20"/>
    </row>
    <row r="118" spans="1:177" s="13" customFormat="1" ht="13.2" customHeight="1" x14ac:dyDescent="0.25">
      <c r="A118" s="179"/>
      <c r="B118" s="180"/>
      <c r="C118" s="10">
        <f>J121+1</f>
        <v>5</v>
      </c>
      <c r="D118" s="10">
        <f>D160+1</f>
        <v>6</v>
      </c>
      <c r="E118" s="10">
        <f>C130+1</f>
        <v>8</v>
      </c>
      <c r="F118" s="10">
        <f>J154+1</f>
        <v>9</v>
      </c>
      <c r="G118" s="10">
        <f>G223+1</f>
        <v>6</v>
      </c>
      <c r="H118" s="10">
        <f>G151+1</f>
        <v>5</v>
      </c>
      <c r="I118" s="45"/>
      <c r="J118" s="156">
        <f>J133+1</f>
        <v>6</v>
      </c>
      <c r="K118" s="45"/>
      <c r="L118" s="187"/>
      <c r="M118" s="45"/>
      <c r="X118" s="44"/>
      <c r="AI118" s="150"/>
      <c r="DY118" s="43"/>
      <c r="DZ118" s="20"/>
      <c r="EA118" s="29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20"/>
      <c r="FT118" s="20"/>
      <c r="FU118" s="20"/>
    </row>
    <row r="119" spans="1:177" s="13" customFormat="1" ht="13.2" customHeight="1" x14ac:dyDescent="0.25">
      <c r="A119" s="177">
        <v>77</v>
      </c>
      <c r="B119" s="180">
        <v>37</v>
      </c>
      <c r="C119" s="14">
        <f>A119-A230-1</f>
        <v>36</v>
      </c>
      <c r="D119" s="14">
        <f>A119-A128-1</f>
        <v>2</v>
      </c>
      <c r="E119" s="14">
        <f>A119-A137-1</f>
        <v>5</v>
      </c>
      <c r="F119" s="14">
        <f>A119-A131-1</f>
        <v>3</v>
      </c>
      <c r="G119" s="14">
        <f>A119-A122-1</f>
        <v>0</v>
      </c>
      <c r="H119" s="14">
        <f>A119-A206-1</f>
        <v>28</v>
      </c>
      <c r="I119" s="45"/>
      <c r="J119" s="156">
        <f>A119-A239-1</f>
        <v>39</v>
      </c>
      <c r="K119" s="45"/>
      <c r="L119" s="186">
        <v>46067</v>
      </c>
      <c r="M119" s="45"/>
      <c r="X119" s="44"/>
      <c r="AI119" s="150"/>
      <c r="DY119" s="43"/>
      <c r="DZ119" s="20"/>
      <c r="EA119" s="29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20"/>
      <c r="FT119" s="20"/>
      <c r="FU119" s="20"/>
    </row>
    <row r="120" spans="1:177" s="13" customFormat="1" ht="13.2" customHeight="1" x14ac:dyDescent="0.25">
      <c r="A120" s="178"/>
      <c r="B120" s="180"/>
      <c r="C120" s="118">
        <v>15</v>
      </c>
      <c r="D120" s="118">
        <v>26</v>
      </c>
      <c r="E120" s="118">
        <v>41</v>
      </c>
      <c r="F120" s="118">
        <v>50</v>
      </c>
      <c r="G120" s="118">
        <v>74</v>
      </c>
      <c r="H120" s="118">
        <v>76</v>
      </c>
      <c r="I120" s="45"/>
      <c r="J120" s="118">
        <v>1</v>
      </c>
      <c r="K120" s="45"/>
      <c r="L120" s="186"/>
      <c r="M120" s="45"/>
      <c r="X120" s="44"/>
      <c r="AI120" s="150"/>
      <c r="DZ120" s="20"/>
      <c r="EA120" s="29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20"/>
      <c r="FT120" s="20"/>
      <c r="FU120" s="20"/>
    </row>
    <row r="121" spans="1:177" s="13" customFormat="1" ht="13.2" customHeight="1" x14ac:dyDescent="0.25">
      <c r="A121" s="179"/>
      <c r="B121" s="180"/>
      <c r="C121" s="10">
        <f>D232+1</f>
        <v>5</v>
      </c>
      <c r="D121" s="10">
        <f>J130+1</f>
        <v>4</v>
      </c>
      <c r="E121" s="10">
        <f>F139+1</f>
        <v>10</v>
      </c>
      <c r="F121" s="10">
        <f>E133+1</f>
        <v>7</v>
      </c>
      <c r="G121" s="10">
        <f>G124+1</f>
        <v>11</v>
      </c>
      <c r="H121" s="10">
        <f>G208+1</f>
        <v>6</v>
      </c>
      <c r="I121" s="45"/>
      <c r="J121" s="156">
        <f>C241+1</f>
        <v>4</v>
      </c>
      <c r="K121" s="45"/>
      <c r="L121" s="186"/>
      <c r="M121" s="45"/>
      <c r="X121" s="44"/>
      <c r="AI121" s="150"/>
      <c r="DZ121" s="20"/>
      <c r="EA121" s="29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20"/>
      <c r="FT121" s="20"/>
      <c r="FU121" s="20"/>
    </row>
    <row r="122" spans="1:177" s="13" customFormat="1" ht="13.2" customHeight="1" x14ac:dyDescent="0.25">
      <c r="A122" s="177">
        <v>76</v>
      </c>
      <c r="B122" s="180">
        <v>38</v>
      </c>
      <c r="C122" s="14">
        <f>A122-A155-1</f>
        <v>10</v>
      </c>
      <c r="D122" s="14">
        <f>A122-A125</f>
        <v>1</v>
      </c>
      <c r="E122" s="14">
        <f>A122-A161</f>
        <v>13</v>
      </c>
      <c r="F122" s="14">
        <f>A122-A191</f>
        <v>23</v>
      </c>
      <c r="G122" s="14">
        <f>A122-A125</f>
        <v>1</v>
      </c>
      <c r="H122" s="14">
        <f>A122-A167</f>
        <v>15</v>
      </c>
      <c r="I122" s="45"/>
      <c r="J122" s="156">
        <f>A122-A182-1</f>
        <v>19</v>
      </c>
      <c r="K122" s="45"/>
      <c r="L122" s="186">
        <v>46064</v>
      </c>
      <c r="M122" s="45"/>
      <c r="X122" s="44"/>
      <c r="AI122" s="150"/>
      <c r="DZ122" s="20"/>
      <c r="EA122" s="29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20"/>
      <c r="FT122" s="20"/>
      <c r="FU122" s="20"/>
    </row>
    <row r="123" spans="1:177" s="13" customFormat="1" ht="13.2" customHeight="1" x14ac:dyDescent="0.25">
      <c r="A123" s="178"/>
      <c r="B123" s="180"/>
      <c r="C123" s="118">
        <v>34</v>
      </c>
      <c r="D123" s="118">
        <v>45</v>
      </c>
      <c r="E123" s="118">
        <v>66</v>
      </c>
      <c r="F123" s="118">
        <v>73</v>
      </c>
      <c r="G123" s="118">
        <v>74</v>
      </c>
      <c r="H123" s="118">
        <v>79</v>
      </c>
      <c r="I123" s="45"/>
      <c r="J123" s="118">
        <v>29</v>
      </c>
      <c r="K123" s="45"/>
      <c r="L123" s="186"/>
      <c r="M123" s="45"/>
      <c r="X123" s="44"/>
      <c r="AI123" s="150"/>
      <c r="DZ123" s="20"/>
      <c r="EA123" s="29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20"/>
      <c r="FT123" s="20"/>
      <c r="FU123" s="20"/>
    </row>
    <row r="124" spans="1:177" s="13" customFormat="1" ht="13.2" customHeight="1" x14ac:dyDescent="0.25">
      <c r="A124" s="179"/>
      <c r="B124" s="180"/>
      <c r="C124" s="10">
        <f>J157+1</f>
        <v>5</v>
      </c>
      <c r="D124" s="10">
        <f>C127+1</f>
        <v>7</v>
      </c>
      <c r="E124" s="10">
        <f>G163+1</f>
        <v>3</v>
      </c>
      <c r="F124" s="10">
        <f>G193+1</f>
        <v>7</v>
      </c>
      <c r="G124" s="10">
        <f>E127+1</f>
        <v>10</v>
      </c>
      <c r="H124" s="10">
        <f>F169+1</f>
        <v>5</v>
      </c>
      <c r="I124" s="45"/>
      <c r="J124" s="156">
        <f>E184+1</f>
        <v>8</v>
      </c>
      <c r="K124" s="45"/>
      <c r="L124" s="186"/>
      <c r="M124" s="45"/>
      <c r="X124" s="44"/>
      <c r="AI124" s="150"/>
      <c r="DZ124" s="20"/>
      <c r="EA124" s="29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20"/>
      <c r="FT124" s="20"/>
      <c r="FU124" s="20"/>
    </row>
    <row r="125" spans="1:177" s="13" customFormat="1" ht="13.2" customHeight="1" x14ac:dyDescent="0.25">
      <c r="A125" s="177">
        <v>75</v>
      </c>
      <c r="B125" s="180">
        <v>39</v>
      </c>
      <c r="C125" s="14">
        <f>A125-A176</f>
        <v>17</v>
      </c>
      <c r="D125" s="14">
        <f>A125-A128</f>
        <v>1</v>
      </c>
      <c r="E125" s="14">
        <f>A125-A134</f>
        <v>3</v>
      </c>
      <c r="F125" s="14">
        <f>A125-A239</f>
        <v>38</v>
      </c>
      <c r="G125" s="14">
        <f>A125-A209</f>
        <v>28</v>
      </c>
      <c r="H125" s="14">
        <f>A125-A149</f>
        <v>8</v>
      </c>
      <c r="I125" s="45"/>
      <c r="J125" s="156">
        <f>A125-A170-1</f>
        <v>14</v>
      </c>
      <c r="K125" s="45"/>
      <c r="L125" s="186">
        <v>46062</v>
      </c>
      <c r="M125" s="45"/>
      <c r="X125" s="44"/>
      <c r="AI125" s="150"/>
      <c r="DZ125" s="20"/>
      <c r="EA125" s="29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20"/>
      <c r="FT125" s="20"/>
      <c r="FU125" s="20"/>
    </row>
    <row r="126" spans="1:177" s="13" customFormat="1" ht="13.2" customHeight="1" x14ac:dyDescent="0.25">
      <c r="A126" s="178"/>
      <c r="B126" s="180"/>
      <c r="C126" s="118">
        <v>45</v>
      </c>
      <c r="D126" s="118">
        <v>67</v>
      </c>
      <c r="E126" s="118">
        <v>74</v>
      </c>
      <c r="F126" s="118">
        <v>77</v>
      </c>
      <c r="G126" s="118">
        <v>87</v>
      </c>
      <c r="H126" s="118">
        <v>89</v>
      </c>
      <c r="I126" s="45"/>
      <c r="J126" s="118">
        <v>37</v>
      </c>
      <c r="K126" s="45"/>
      <c r="L126" s="186"/>
      <c r="M126" s="45"/>
      <c r="X126" s="44"/>
      <c r="AI126" s="150"/>
      <c r="DZ126" s="20"/>
      <c r="EA126" s="29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20"/>
      <c r="FT126" s="20"/>
      <c r="FU126" s="20"/>
    </row>
    <row r="127" spans="1:177" s="13" customFormat="1" ht="13.2" customHeight="1" x14ac:dyDescent="0.25">
      <c r="A127" s="179"/>
      <c r="B127" s="180"/>
      <c r="C127" s="10">
        <f>H178+1</f>
        <v>6</v>
      </c>
      <c r="D127" s="10">
        <f>F130+1</f>
        <v>6</v>
      </c>
      <c r="E127" s="10">
        <f>H136+1</f>
        <v>9</v>
      </c>
      <c r="F127" s="10">
        <f>G277+1</f>
        <v>5</v>
      </c>
      <c r="G127" s="10">
        <f>H211+1</f>
        <v>6</v>
      </c>
      <c r="H127" s="10">
        <f>H151+1</f>
        <v>4</v>
      </c>
      <c r="I127" s="45"/>
      <c r="J127" s="156">
        <f>E172+1</f>
        <v>5</v>
      </c>
      <c r="K127" s="45"/>
      <c r="L127" s="186"/>
      <c r="M127" s="45"/>
      <c r="X127" s="44"/>
      <c r="AI127" s="150"/>
      <c r="DZ127" s="20"/>
      <c r="EA127" s="29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20"/>
      <c r="FT127" s="20"/>
      <c r="FU127" s="20"/>
    </row>
    <row r="128" spans="1:177" s="13" customFormat="1" ht="13.2" customHeight="1" x14ac:dyDescent="0.25">
      <c r="A128" s="177">
        <v>74</v>
      </c>
      <c r="B128" s="180">
        <v>40</v>
      </c>
      <c r="C128" s="14">
        <f>A128-A131</f>
        <v>1</v>
      </c>
      <c r="D128" s="14">
        <f>A128-A146</f>
        <v>6</v>
      </c>
      <c r="E128" s="14">
        <f>A128-A155</f>
        <v>9</v>
      </c>
      <c r="F128" s="14">
        <f>A128-A131</f>
        <v>1</v>
      </c>
      <c r="G128" s="14">
        <f>A128-A215</f>
        <v>29</v>
      </c>
      <c r="H128" s="14">
        <f>A128-A167</f>
        <v>13</v>
      </c>
      <c r="I128" s="45"/>
      <c r="J128" s="156">
        <f>A128-A155-1</f>
        <v>8</v>
      </c>
      <c r="K128" s="45"/>
      <c r="L128" s="186">
        <v>46060</v>
      </c>
      <c r="M128" s="45"/>
      <c r="X128" s="44"/>
      <c r="AI128" s="150"/>
      <c r="DZ128" s="20"/>
      <c r="EA128" s="29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20"/>
      <c r="FT128" s="20"/>
      <c r="FU128" s="20"/>
    </row>
    <row r="129" spans="1:183" s="13" customFormat="1" ht="13.2" customHeight="1" x14ac:dyDescent="0.25">
      <c r="A129" s="178"/>
      <c r="B129" s="180"/>
      <c r="C129" s="118">
        <v>8</v>
      </c>
      <c r="D129" s="118">
        <v>30</v>
      </c>
      <c r="E129" s="118">
        <v>65</v>
      </c>
      <c r="F129" s="118">
        <v>67</v>
      </c>
      <c r="G129" s="118">
        <v>72</v>
      </c>
      <c r="H129" s="118">
        <v>80</v>
      </c>
      <c r="I129" s="45"/>
      <c r="J129" s="118">
        <v>26</v>
      </c>
      <c r="K129" s="45"/>
      <c r="L129" s="186"/>
      <c r="M129" s="45"/>
      <c r="X129" s="44"/>
      <c r="AI129" s="150"/>
      <c r="DZ129" s="20"/>
      <c r="EA129" s="29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20"/>
      <c r="FT129" s="20"/>
      <c r="FU129" s="20"/>
    </row>
    <row r="130" spans="1:183" s="13" customFormat="1" ht="13.2" customHeight="1" x14ac:dyDescent="0.25">
      <c r="A130" s="179"/>
      <c r="B130" s="180"/>
      <c r="C130" s="10">
        <f>C133+1</f>
        <v>7</v>
      </c>
      <c r="D130" s="10">
        <f>E148+1</f>
        <v>6</v>
      </c>
      <c r="E130" s="10">
        <f>G157+1</f>
        <v>7</v>
      </c>
      <c r="F130" s="10">
        <f>G133+1</f>
        <v>5</v>
      </c>
      <c r="G130" s="10">
        <f>G217+1</f>
        <v>7</v>
      </c>
      <c r="H130" s="10">
        <f>G169+1</f>
        <v>5</v>
      </c>
      <c r="I130" s="45"/>
      <c r="J130" s="156">
        <f>D157+1</f>
        <v>3</v>
      </c>
      <c r="K130" s="45"/>
      <c r="L130" s="186"/>
      <c r="M130" s="45"/>
      <c r="X130" s="44"/>
      <c r="AI130" s="150"/>
      <c r="DZ130" s="20"/>
      <c r="EA130" s="29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20"/>
      <c r="FT130" s="20"/>
      <c r="FU130" s="20"/>
    </row>
    <row r="131" spans="1:183" s="13" customFormat="1" ht="13.2" customHeight="1" x14ac:dyDescent="0.25">
      <c r="A131" s="177">
        <v>73</v>
      </c>
      <c r="B131" s="180">
        <v>41</v>
      </c>
      <c r="C131" s="14">
        <f>A131--1</f>
        <v>74</v>
      </c>
      <c r="D131" s="14">
        <f>A131-A236-1</f>
        <v>34</v>
      </c>
      <c r="E131" s="14">
        <f>A131-A149-1</f>
        <v>5</v>
      </c>
      <c r="F131" s="14">
        <f>A131-A191-1</f>
        <v>19</v>
      </c>
      <c r="G131" s="14">
        <f>A131-A140-1</f>
        <v>2</v>
      </c>
      <c r="H131" s="14">
        <f>A131-A134-1</f>
        <v>0</v>
      </c>
      <c r="I131" s="45"/>
      <c r="J131" s="156">
        <f>A131-A170-1</f>
        <v>12</v>
      </c>
      <c r="K131" s="45"/>
      <c r="L131" s="186">
        <v>46057</v>
      </c>
      <c r="M131" s="45"/>
      <c r="X131" s="44"/>
      <c r="AI131" s="150"/>
      <c r="DY131" s="43"/>
      <c r="DZ131" s="20"/>
      <c r="EA131" s="29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20"/>
      <c r="FT131" s="20"/>
      <c r="FU131" s="20"/>
    </row>
    <row r="132" spans="1:183" s="13" customFormat="1" ht="13.2" customHeight="1" x14ac:dyDescent="0.25">
      <c r="A132" s="178"/>
      <c r="B132" s="180"/>
      <c r="C132" s="118">
        <v>8</v>
      </c>
      <c r="D132" s="118">
        <v>46</v>
      </c>
      <c r="E132" s="118">
        <v>50</v>
      </c>
      <c r="F132" s="118">
        <v>52</v>
      </c>
      <c r="G132" s="118">
        <v>67</v>
      </c>
      <c r="H132" s="118">
        <v>69</v>
      </c>
      <c r="I132" s="45"/>
      <c r="J132" s="118">
        <v>64</v>
      </c>
      <c r="K132" s="45"/>
      <c r="L132" s="186"/>
      <c r="M132" s="45"/>
      <c r="X132" s="44"/>
      <c r="AI132" s="150"/>
      <c r="DY132" s="43"/>
      <c r="DZ132" s="20"/>
      <c r="EA132" s="29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20"/>
      <c r="FT132" s="20"/>
      <c r="FU132" s="20"/>
    </row>
    <row r="133" spans="1:183" s="13" customFormat="1" ht="13.2" customHeight="1" x14ac:dyDescent="0.25">
      <c r="A133" s="179"/>
      <c r="B133" s="180"/>
      <c r="C133" s="10">
        <f>E160+1</f>
        <v>6</v>
      </c>
      <c r="D133" s="10">
        <f>E238+1</f>
        <v>3</v>
      </c>
      <c r="E133" s="10">
        <f>F151+1</f>
        <v>6</v>
      </c>
      <c r="F133" s="10">
        <f>E193+1</f>
        <v>2</v>
      </c>
      <c r="G133" s="10">
        <f>E142+1</f>
        <v>4</v>
      </c>
      <c r="H133" s="10">
        <f>J136+1</f>
        <v>3</v>
      </c>
      <c r="I133" s="45"/>
      <c r="J133" s="156">
        <f>G172+1</f>
        <v>5</v>
      </c>
      <c r="K133" s="45"/>
      <c r="L133" s="186"/>
      <c r="M133" s="45"/>
      <c r="X133" s="44"/>
      <c r="AI133" s="150"/>
      <c r="DY133" s="43"/>
      <c r="DZ133" s="20"/>
      <c r="EA133" s="29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20"/>
      <c r="FT133" s="20"/>
      <c r="FU133" s="20"/>
    </row>
    <row r="134" spans="1:183" s="13" customFormat="1" ht="13.2" customHeight="1" x14ac:dyDescent="0.25">
      <c r="A134" s="177">
        <v>72</v>
      </c>
      <c r="B134" s="180">
        <v>42</v>
      </c>
      <c r="C134" s="14">
        <f>A134-A152</f>
        <v>6</v>
      </c>
      <c r="D134" s="14">
        <f>A134-A140</f>
        <v>2</v>
      </c>
      <c r="E134" s="14">
        <f>A134-A143</f>
        <v>3</v>
      </c>
      <c r="F134" s="14">
        <f>A134-A212</f>
        <v>26</v>
      </c>
      <c r="G134" s="14">
        <f>A134-A143</f>
        <v>3</v>
      </c>
      <c r="H134" s="14">
        <f>A134-A137</f>
        <v>1</v>
      </c>
      <c r="I134" s="45"/>
      <c r="J134" s="156">
        <f>A134-A164-1</f>
        <v>9</v>
      </c>
      <c r="K134" s="45"/>
      <c r="L134" s="186">
        <v>46055</v>
      </c>
      <c r="M134" s="45"/>
      <c r="X134" s="44"/>
      <c r="AI134" s="150"/>
      <c r="DY134" s="43"/>
      <c r="DZ134" s="20"/>
      <c r="EA134" s="29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20"/>
      <c r="FT134" s="20"/>
      <c r="FU134" s="20"/>
    </row>
    <row r="135" spans="1:183" s="1" customFormat="1" ht="12" customHeight="1" x14ac:dyDescent="0.25">
      <c r="A135" s="178"/>
      <c r="B135" s="180"/>
      <c r="C135" s="118">
        <v>21</v>
      </c>
      <c r="D135" s="118">
        <v>42</v>
      </c>
      <c r="E135" s="118">
        <v>51</v>
      </c>
      <c r="F135" s="118">
        <v>53</v>
      </c>
      <c r="G135" s="118">
        <v>57</v>
      </c>
      <c r="H135" s="118">
        <v>74</v>
      </c>
      <c r="I135" s="45"/>
      <c r="J135" s="118">
        <v>69</v>
      </c>
      <c r="K135" s="45"/>
      <c r="L135" s="186"/>
      <c r="M135" s="45"/>
      <c r="X135" s="43"/>
      <c r="AI135" s="150"/>
      <c r="DZ135" s="20"/>
      <c r="EA135" s="35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20"/>
      <c r="FT135" s="20"/>
      <c r="FU135" s="20"/>
      <c r="FV135" s="13"/>
      <c r="FW135" s="13"/>
      <c r="FX135" s="13"/>
      <c r="FY135" s="13"/>
      <c r="FZ135" s="13"/>
      <c r="GA135" s="13"/>
    </row>
    <row r="136" spans="1:183" ht="13.2" customHeight="1" x14ac:dyDescent="0.25">
      <c r="A136" s="179"/>
      <c r="B136" s="180"/>
      <c r="C136" s="10">
        <f>D154+1</f>
        <v>2</v>
      </c>
      <c r="D136" s="10">
        <f>D142+1</f>
        <v>2</v>
      </c>
      <c r="E136" s="10">
        <f>G145+1</f>
        <v>4</v>
      </c>
      <c r="F136" s="10">
        <f>G214+1</f>
        <v>8</v>
      </c>
      <c r="G136" s="10">
        <f>J145+1</f>
        <v>10</v>
      </c>
      <c r="H136" s="10">
        <f>H139+1</f>
        <v>8</v>
      </c>
      <c r="I136" s="45"/>
      <c r="J136" s="156">
        <f>G166+1</f>
        <v>2</v>
      </c>
      <c r="K136" s="45"/>
      <c r="L136" s="186"/>
      <c r="M136" s="45"/>
      <c r="AI136" s="150"/>
      <c r="DZ136" s="20"/>
      <c r="EA136" s="37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20"/>
      <c r="FT136" s="20"/>
      <c r="FU136" s="20"/>
    </row>
    <row r="137" spans="1:183" s="13" customFormat="1" ht="13.2" customHeight="1" x14ac:dyDescent="0.25">
      <c r="A137" s="177">
        <v>71</v>
      </c>
      <c r="B137" s="180">
        <v>43</v>
      </c>
      <c r="C137" s="14">
        <f>A137-A215</f>
        <v>26</v>
      </c>
      <c r="D137" s="14">
        <f>A137-A155</f>
        <v>6</v>
      </c>
      <c r="E137" s="14">
        <f>A137-A161</f>
        <v>8</v>
      </c>
      <c r="F137" s="14">
        <f>A137-A158</f>
        <v>7</v>
      </c>
      <c r="G137" s="14">
        <f>A137-A164</f>
        <v>9</v>
      </c>
      <c r="H137" s="14">
        <f>A137-A140</f>
        <v>1</v>
      </c>
      <c r="I137" s="45"/>
      <c r="J137" s="156">
        <f>A137-A227-1</f>
        <v>29</v>
      </c>
      <c r="K137" s="45"/>
      <c r="L137" s="186">
        <v>46053</v>
      </c>
      <c r="M137" s="45"/>
      <c r="X137" s="44"/>
      <c r="AI137" s="150"/>
      <c r="DZ137" s="20"/>
      <c r="EA137" s="37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20"/>
      <c r="FT137" s="20"/>
      <c r="FU137" s="20"/>
    </row>
    <row r="138" spans="1:183" s="13" customFormat="1" ht="13.2" customHeight="1" x14ac:dyDescent="0.25">
      <c r="A138" s="178"/>
      <c r="B138" s="180"/>
      <c r="C138" s="118">
        <v>16</v>
      </c>
      <c r="D138" s="118">
        <v>28</v>
      </c>
      <c r="E138" s="118">
        <v>31</v>
      </c>
      <c r="F138" s="118">
        <v>41</v>
      </c>
      <c r="G138" s="118">
        <v>59</v>
      </c>
      <c r="H138" s="118">
        <v>74</v>
      </c>
      <c r="I138" s="45"/>
      <c r="J138" s="118">
        <v>35</v>
      </c>
      <c r="K138" s="45"/>
      <c r="L138" s="186"/>
      <c r="M138" s="45"/>
      <c r="X138" s="44"/>
      <c r="AI138" s="150"/>
      <c r="DZ138" s="20"/>
      <c r="EA138" s="37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20"/>
      <c r="FT138" s="20"/>
      <c r="FU138" s="20"/>
    </row>
    <row r="139" spans="1:183" s="13" customFormat="1" ht="13.2" customHeight="1" x14ac:dyDescent="0.25">
      <c r="A139" s="179"/>
      <c r="B139" s="180"/>
      <c r="C139" s="10">
        <f>C217+1</f>
        <v>5</v>
      </c>
      <c r="D139" s="10">
        <f>E157+1</f>
        <v>4</v>
      </c>
      <c r="E139" s="10">
        <f>D163+3</f>
        <v>6</v>
      </c>
      <c r="F139" s="10">
        <f>F160+1</f>
        <v>9</v>
      </c>
      <c r="G139" s="10">
        <f>F166+1</f>
        <v>6</v>
      </c>
      <c r="H139" s="10">
        <f>F142+1</f>
        <v>7</v>
      </c>
      <c r="I139" s="45"/>
      <c r="J139" s="156">
        <f>E229+1</f>
        <v>6</v>
      </c>
      <c r="K139" s="45"/>
      <c r="L139" s="186"/>
      <c r="M139" s="45"/>
      <c r="X139" s="44"/>
      <c r="AI139" s="150"/>
      <c r="DZ139" s="20"/>
      <c r="EA139" s="37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20"/>
      <c r="FT139" s="20"/>
      <c r="FU139" s="20"/>
    </row>
    <row r="140" spans="1:183" s="13" customFormat="1" ht="13.2" customHeight="1" x14ac:dyDescent="0.25">
      <c r="A140" s="177">
        <v>70</v>
      </c>
      <c r="B140" s="180">
        <v>44</v>
      </c>
      <c r="C140" s="14">
        <f>A140-A146</f>
        <v>2</v>
      </c>
      <c r="D140" s="14">
        <f>A140-A350</f>
        <v>70</v>
      </c>
      <c r="E140" s="14">
        <f>A140-A179</f>
        <v>13</v>
      </c>
      <c r="F140" s="14">
        <f>A140-A152</f>
        <v>4</v>
      </c>
      <c r="G140" s="14">
        <f>A140-A146</f>
        <v>2</v>
      </c>
      <c r="H140" s="14">
        <f>A140-A191</f>
        <v>17</v>
      </c>
      <c r="I140" s="45"/>
      <c r="J140" s="156">
        <f>A140-A152-1</f>
        <v>3</v>
      </c>
      <c r="K140" s="45"/>
      <c r="L140" s="186">
        <v>46050</v>
      </c>
      <c r="M140" s="45"/>
      <c r="X140" s="44"/>
      <c r="AI140" s="150"/>
      <c r="DZ140" s="20"/>
      <c r="EA140" s="37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20"/>
      <c r="FT140" s="20"/>
      <c r="FU140" s="20"/>
    </row>
    <row r="141" spans="1:183" s="13" customFormat="1" ht="13.2" customHeight="1" x14ac:dyDescent="0.25">
      <c r="A141" s="178"/>
      <c r="B141" s="180"/>
      <c r="C141" s="118">
        <v>6</v>
      </c>
      <c r="D141" s="118">
        <v>42</v>
      </c>
      <c r="E141" s="118">
        <v>67</v>
      </c>
      <c r="F141" s="118">
        <v>74</v>
      </c>
      <c r="G141" s="118">
        <v>78</v>
      </c>
      <c r="H141" s="118">
        <v>83</v>
      </c>
      <c r="I141" s="45"/>
      <c r="J141" s="118">
        <v>2</v>
      </c>
      <c r="K141" s="45"/>
      <c r="L141" s="186"/>
      <c r="M141" s="45"/>
      <c r="X141" s="44"/>
      <c r="AI141" s="150"/>
      <c r="DZ141" s="20"/>
      <c r="EA141" s="37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20"/>
      <c r="FT141" s="20"/>
      <c r="FU141" s="20"/>
    </row>
    <row r="142" spans="1:183" s="13" customFormat="1" ht="13.2" customHeight="1" x14ac:dyDescent="0.25">
      <c r="A142" s="179"/>
      <c r="B142" s="180"/>
      <c r="C142" s="10">
        <f>C148+1</f>
        <v>12</v>
      </c>
      <c r="D142" s="10">
        <v>1</v>
      </c>
      <c r="E142" s="10">
        <f>F181+1</f>
        <v>3</v>
      </c>
      <c r="F142" s="10">
        <f>G154+1</f>
        <v>6</v>
      </c>
      <c r="G142" s="10">
        <f>H148+1</f>
        <v>3</v>
      </c>
      <c r="H142" s="10">
        <f>H193+1</f>
        <v>6</v>
      </c>
      <c r="I142" s="45"/>
      <c r="J142" s="156">
        <f>C154+1</f>
        <v>10</v>
      </c>
      <c r="K142" s="45"/>
      <c r="L142" s="186"/>
      <c r="M142" s="45"/>
      <c r="X142" s="44"/>
      <c r="AI142" s="150"/>
      <c r="DZ142" s="20"/>
      <c r="EA142" s="37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20"/>
      <c r="FT142" s="20"/>
      <c r="FU142" s="20"/>
    </row>
    <row r="143" spans="1:183" s="13" customFormat="1" ht="13.2" customHeight="1" x14ac:dyDescent="0.25">
      <c r="A143" s="177">
        <v>69</v>
      </c>
      <c r="B143" s="180">
        <v>45</v>
      </c>
      <c r="C143" s="14">
        <f>A143-A176</f>
        <v>11</v>
      </c>
      <c r="D143" s="14">
        <f>A143-A221</f>
        <v>26</v>
      </c>
      <c r="E143" s="14">
        <f>A143-A152</f>
        <v>3</v>
      </c>
      <c r="F143" s="14">
        <f>A143-A146</f>
        <v>1</v>
      </c>
      <c r="G143" s="14">
        <f>A143-A161</f>
        <v>6</v>
      </c>
      <c r="H143" s="14">
        <f>A143-A173</f>
        <v>10</v>
      </c>
      <c r="I143" s="45"/>
      <c r="J143" s="156">
        <f>A143-A155-1</f>
        <v>3</v>
      </c>
      <c r="K143" s="45"/>
      <c r="L143" s="186">
        <v>46048</v>
      </c>
      <c r="M143" s="45"/>
      <c r="X143" s="44"/>
      <c r="AI143" s="150"/>
      <c r="DZ143" s="20"/>
      <c r="EA143" s="37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86"/>
      <c r="FT143" s="86"/>
      <c r="FU143" s="86"/>
    </row>
    <row r="144" spans="1:183" s="13" customFormat="1" ht="13.2" customHeight="1" x14ac:dyDescent="0.25">
      <c r="A144" s="178"/>
      <c r="B144" s="180"/>
      <c r="C144" s="118">
        <v>14</v>
      </c>
      <c r="D144" s="118">
        <v>22</v>
      </c>
      <c r="E144" s="118">
        <v>27</v>
      </c>
      <c r="F144" s="118">
        <v>40</v>
      </c>
      <c r="G144" s="118">
        <v>51</v>
      </c>
      <c r="H144" s="118">
        <v>70</v>
      </c>
      <c r="I144" s="45"/>
      <c r="J144" s="118">
        <v>57</v>
      </c>
      <c r="K144" s="45"/>
      <c r="L144" s="186"/>
      <c r="M144" s="45"/>
      <c r="X144" s="44"/>
      <c r="AI144" s="150"/>
      <c r="DZ144" s="20"/>
      <c r="EA144" s="37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1"/>
      <c r="FT144" s="11"/>
      <c r="FU144" s="81"/>
    </row>
    <row r="145" spans="1:183" s="13" customFormat="1" ht="13.2" customHeight="1" x14ac:dyDescent="0.25">
      <c r="A145" s="179"/>
      <c r="B145" s="180"/>
      <c r="C145" s="10">
        <f>D178+4</f>
        <v>12</v>
      </c>
      <c r="D145" s="10">
        <f>J223+1</f>
        <v>2</v>
      </c>
      <c r="E145" s="10">
        <f>E154+1</f>
        <v>9</v>
      </c>
      <c r="F145" s="10">
        <f>F148+1</f>
        <v>6</v>
      </c>
      <c r="G145" s="10">
        <f>F163+1</f>
        <v>3</v>
      </c>
      <c r="H145" s="10">
        <f>G175+1</f>
        <v>7</v>
      </c>
      <c r="I145" s="45"/>
      <c r="J145" s="156">
        <f>F157+1</f>
        <v>9</v>
      </c>
      <c r="K145" s="45"/>
      <c r="L145" s="186"/>
      <c r="M145" s="45"/>
      <c r="X145" s="44"/>
      <c r="AI145" s="150"/>
      <c r="DZ145" s="20"/>
      <c r="EA145" s="38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1"/>
      <c r="FT145" s="11"/>
      <c r="FU145" s="81"/>
    </row>
    <row r="146" spans="1:183" s="13" customFormat="1" ht="13.2" customHeight="1" x14ac:dyDescent="0.25">
      <c r="A146" s="177">
        <v>68</v>
      </c>
      <c r="B146" s="180">
        <v>46</v>
      </c>
      <c r="C146" s="14">
        <f>A146-A149</f>
        <v>1</v>
      </c>
      <c r="D146" s="14">
        <f>A146-A167</f>
        <v>7</v>
      </c>
      <c r="E146" s="14">
        <f>A146-A173</f>
        <v>9</v>
      </c>
      <c r="F146" s="14">
        <f>A146-A149</f>
        <v>1</v>
      </c>
      <c r="G146" s="14">
        <f>A146-A215</f>
        <v>23</v>
      </c>
      <c r="H146" s="14">
        <f>A146-A173</f>
        <v>9</v>
      </c>
      <c r="I146" s="45"/>
      <c r="J146" s="156">
        <f>A146-A182-1</f>
        <v>11</v>
      </c>
      <c r="K146" s="45"/>
      <c r="L146" s="186">
        <v>46046</v>
      </c>
      <c r="M146" s="45"/>
      <c r="N146" s="174" t="s">
        <v>84</v>
      </c>
      <c r="O146" s="175"/>
      <c r="P146" s="175"/>
      <c r="Q146" s="175"/>
      <c r="R146" s="175"/>
      <c r="S146" s="175"/>
      <c r="T146" s="175"/>
      <c r="U146" s="175"/>
      <c r="V146" s="175"/>
      <c r="W146" s="176"/>
      <c r="X146" s="44"/>
      <c r="AI146" s="150"/>
      <c r="DZ146" s="20"/>
      <c r="EA146" s="38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1"/>
      <c r="FT146" s="11"/>
      <c r="FU146" s="81"/>
    </row>
    <row r="147" spans="1:183" s="13" customFormat="1" ht="13.2" customHeight="1" x14ac:dyDescent="0.25">
      <c r="A147" s="178"/>
      <c r="B147" s="180"/>
      <c r="C147" s="118">
        <v>6</v>
      </c>
      <c r="D147" s="118">
        <v>24</v>
      </c>
      <c r="E147" s="118">
        <v>30</v>
      </c>
      <c r="F147" s="118">
        <v>40</v>
      </c>
      <c r="G147" s="118">
        <v>63</v>
      </c>
      <c r="H147" s="118">
        <v>78</v>
      </c>
      <c r="I147" s="45"/>
      <c r="J147" s="118">
        <v>9</v>
      </c>
      <c r="K147" s="45"/>
      <c r="L147" s="186"/>
      <c r="M147" s="45"/>
      <c r="N147" s="4">
        <v>1</v>
      </c>
      <c r="O147" s="4">
        <v>2</v>
      </c>
      <c r="P147" s="4">
        <v>3</v>
      </c>
      <c r="Q147" s="4">
        <v>4</v>
      </c>
      <c r="R147" s="4">
        <v>5</v>
      </c>
      <c r="S147" s="4">
        <v>6</v>
      </c>
      <c r="T147" s="4">
        <v>7</v>
      </c>
      <c r="U147" s="4">
        <v>8</v>
      </c>
      <c r="V147" s="4">
        <v>9</v>
      </c>
      <c r="W147" s="70">
        <v>10</v>
      </c>
      <c r="X147" s="44"/>
      <c r="AI147" s="150"/>
      <c r="DZ147" s="20"/>
      <c r="EA147" s="38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1"/>
      <c r="FT147" s="11"/>
      <c r="FU147" s="81"/>
    </row>
    <row r="148" spans="1:183" s="13" customFormat="1" ht="13.2" customHeight="1" x14ac:dyDescent="0.25">
      <c r="A148" s="179"/>
      <c r="B148" s="180"/>
      <c r="C148" s="10">
        <f>C151+1</f>
        <v>11</v>
      </c>
      <c r="D148" s="10">
        <f>D169+1</f>
        <v>9</v>
      </c>
      <c r="E148" s="10">
        <f>C175+1</f>
        <v>5</v>
      </c>
      <c r="F148" s="10">
        <f>F187+1</f>
        <v>5</v>
      </c>
      <c r="G148" s="10">
        <f>F217+1</f>
        <v>4</v>
      </c>
      <c r="H148" s="10">
        <f>H175+1</f>
        <v>2</v>
      </c>
      <c r="I148" s="45"/>
      <c r="J148" s="156">
        <f>C184+1</f>
        <v>2</v>
      </c>
      <c r="K148" s="45"/>
      <c r="L148" s="186"/>
      <c r="M148" s="45"/>
      <c r="N148" s="4">
        <v>11</v>
      </c>
      <c r="O148" s="6">
        <v>12</v>
      </c>
      <c r="P148" s="4">
        <v>13</v>
      </c>
      <c r="Q148" s="4">
        <v>14</v>
      </c>
      <c r="R148" s="4">
        <v>15</v>
      </c>
      <c r="S148" s="4">
        <v>16</v>
      </c>
      <c r="T148" s="4">
        <v>17</v>
      </c>
      <c r="U148" s="4">
        <v>18</v>
      </c>
      <c r="V148" s="4">
        <v>19</v>
      </c>
      <c r="W148" s="4">
        <v>20</v>
      </c>
      <c r="X148" s="44"/>
      <c r="AI148" s="150"/>
      <c r="DZ148" s="20"/>
      <c r="EA148" s="38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1"/>
      <c r="FT148" s="11"/>
      <c r="FU148" s="81"/>
    </row>
    <row r="149" spans="1:183" s="13" customFormat="1" ht="13.2" customHeight="1" x14ac:dyDescent="0.25">
      <c r="A149" s="177">
        <v>67</v>
      </c>
      <c r="B149" s="180">
        <v>47</v>
      </c>
      <c r="C149" s="14">
        <f>A149-A161</f>
        <v>4</v>
      </c>
      <c r="D149" s="14">
        <f>A149-A164</f>
        <v>5</v>
      </c>
      <c r="E149" s="14">
        <f>A149-A185</f>
        <v>12</v>
      </c>
      <c r="F149" s="14">
        <f>A149-A170</f>
        <v>7</v>
      </c>
      <c r="G149" s="14">
        <f>A149-A188</f>
        <v>13</v>
      </c>
      <c r="H149" s="14">
        <f>A149-A167</f>
        <v>6</v>
      </c>
      <c r="I149" s="45"/>
      <c r="J149" s="156">
        <f>A149-A170-1</f>
        <v>6</v>
      </c>
      <c r="K149" s="45"/>
      <c r="L149" s="186">
        <v>46043</v>
      </c>
      <c r="M149" s="45"/>
      <c r="N149" s="4">
        <v>21</v>
      </c>
      <c r="O149" s="4">
        <v>22</v>
      </c>
      <c r="P149" s="4">
        <v>23</v>
      </c>
      <c r="Q149" s="4">
        <v>24</v>
      </c>
      <c r="R149" s="4">
        <v>25</v>
      </c>
      <c r="S149" s="4">
        <v>26</v>
      </c>
      <c r="T149" s="4">
        <v>27</v>
      </c>
      <c r="U149" s="4">
        <v>28</v>
      </c>
      <c r="V149" s="4">
        <v>29</v>
      </c>
      <c r="W149" s="41">
        <v>30</v>
      </c>
      <c r="X149" s="44"/>
      <c r="AI149" s="150"/>
      <c r="DZ149" s="20"/>
      <c r="EA149" s="38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1"/>
      <c r="FT149" s="11"/>
      <c r="FU149" s="81"/>
    </row>
    <row r="150" spans="1:183" s="13" customFormat="1" ht="13.2" customHeight="1" x14ac:dyDescent="0.25">
      <c r="A150" s="178"/>
      <c r="B150" s="180"/>
      <c r="C150" s="118">
        <v>6</v>
      </c>
      <c r="D150" s="118">
        <v>23</v>
      </c>
      <c r="E150" s="118">
        <v>40</v>
      </c>
      <c r="F150" s="118">
        <v>50</v>
      </c>
      <c r="G150" s="118">
        <v>71</v>
      </c>
      <c r="H150" s="118">
        <v>89</v>
      </c>
      <c r="I150" s="45"/>
      <c r="J150" s="118">
        <v>4</v>
      </c>
      <c r="K150" s="45"/>
      <c r="L150" s="186"/>
      <c r="M150" s="45"/>
      <c r="N150" s="4">
        <v>31</v>
      </c>
      <c r="O150" s="4">
        <v>32</v>
      </c>
      <c r="P150" s="4">
        <v>33</v>
      </c>
      <c r="Q150" s="4">
        <v>34</v>
      </c>
      <c r="R150" s="6">
        <v>35</v>
      </c>
      <c r="S150" s="4">
        <v>36</v>
      </c>
      <c r="T150" s="4">
        <v>37</v>
      </c>
      <c r="U150" s="4">
        <v>38</v>
      </c>
      <c r="V150" s="4">
        <v>39</v>
      </c>
      <c r="W150" s="41">
        <v>40</v>
      </c>
      <c r="X150" s="44"/>
      <c r="AI150" s="150"/>
      <c r="DZ150" s="20"/>
      <c r="EA150" s="38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1"/>
      <c r="FT150" s="11"/>
      <c r="FU150" s="81"/>
    </row>
    <row r="151" spans="1:183" s="13" customFormat="1" ht="13.2" customHeight="1" x14ac:dyDescent="0.25">
      <c r="A151" s="179"/>
      <c r="B151" s="180"/>
      <c r="C151" s="10">
        <f>C163+1</f>
        <v>10</v>
      </c>
      <c r="D151" s="10">
        <f>D166+1</f>
        <v>9</v>
      </c>
      <c r="E151" s="10">
        <f>F187+1</f>
        <v>5</v>
      </c>
      <c r="F151" s="10">
        <f>F172+1</f>
        <v>5</v>
      </c>
      <c r="G151" s="10">
        <f>H190+1</f>
        <v>4</v>
      </c>
      <c r="H151" s="10">
        <f>H169+1</f>
        <v>3</v>
      </c>
      <c r="I151" s="45"/>
      <c r="J151" s="156">
        <f>C172+1</f>
        <v>8</v>
      </c>
      <c r="K151" s="45"/>
      <c r="L151" s="186"/>
      <c r="M151" s="45"/>
      <c r="N151" s="4">
        <v>41</v>
      </c>
      <c r="O151" s="4">
        <v>42</v>
      </c>
      <c r="P151" s="4">
        <v>43</v>
      </c>
      <c r="Q151" s="4">
        <v>44</v>
      </c>
      <c r="R151" s="4">
        <v>45</v>
      </c>
      <c r="S151" s="4">
        <v>46</v>
      </c>
      <c r="T151" s="4">
        <v>47</v>
      </c>
      <c r="U151" s="4">
        <v>48</v>
      </c>
      <c r="V151" s="4">
        <v>49</v>
      </c>
      <c r="W151" s="41">
        <v>50</v>
      </c>
      <c r="X151" s="155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50"/>
      <c r="DZ151" s="20"/>
      <c r="EA151" s="38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1"/>
      <c r="FT151" s="11"/>
      <c r="FU151" s="81"/>
    </row>
    <row r="152" spans="1:183" s="13" customFormat="1" ht="13.2" customHeight="1" x14ac:dyDescent="0.25">
      <c r="A152" s="177">
        <v>66</v>
      </c>
      <c r="B152" s="180">
        <v>48</v>
      </c>
      <c r="C152" s="14">
        <f>A152-A158</f>
        <v>2</v>
      </c>
      <c r="D152" s="14">
        <f>A152-A350</f>
        <v>66</v>
      </c>
      <c r="E152" s="14">
        <f>A152-A191</f>
        <v>13</v>
      </c>
      <c r="F152" s="14">
        <f>A152-A203</f>
        <v>17</v>
      </c>
      <c r="G152" s="14">
        <f>A152-A182</f>
        <v>10</v>
      </c>
      <c r="H152" s="14">
        <f>A152-A248</f>
        <v>32</v>
      </c>
      <c r="I152" s="45"/>
      <c r="J152" s="156">
        <f>A152-A215-1</f>
        <v>20</v>
      </c>
      <c r="K152" s="45"/>
      <c r="L152" s="186">
        <v>46041</v>
      </c>
      <c r="M152" s="45"/>
      <c r="N152" s="4">
        <v>51</v>
      </c>
      <c r="O152" s="4">
        <v>52</v>
      </c>
      <c r="P152" s="6">
        <v>53</v>
      </c>
      <c r="Q152" s="4">
        <v>54</v>
      </c>
      <c r="R152" s="6">
        <v>55</v>
      </c>
      <c r="S152" s="4">
        <v>56</v>
      </c>
      <c r="T152" s="4">
        <v>57</v>
      </c>
      <c r="U152" s="4">
        <v>58</v>
      </c>
      <c r="V152" s="4">
        <v>59</v>
      </c>
      <c r="W152" s="41">
        <v>60</v>
      </c>
      <c r="X152" s="155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150"/>
      <c r="DZ152" s="20"/>
      <c r="EA152" s="38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1"/>
      <c r="FT152" s="11"/>
      <c r="FU152" s="81"/>
    </row>
    <row r="153" spans="1:183" s="13" customFormat="1" ht="13.2" customHeight="1" x14ac:dyDescent="0.25">
      <c r="A153" s="178"/>
      <c r="B153" s="180"/>
      <c r="C153" s="118">
        <v>2</v>
      </c>
      <c r="D153" s="118">
        <v>21</v>
      </c>
      <c r="E153" s="118">
        <v>27</v>
      </c>
      <c r="F153" s="118">
        <v>62</v>
      </c>
      <c r="G153" s="118">
        <v>74</v>
      </c>
      <c r="H153" s="118">
        <v>81</v>
      </c>
      <c r="I153" s="45"/>
      <c r="J153" s="118">
        <v>33</v>
      </c>
      <c r="K153" s="45"/>
      <c r="L153" s="186"/>
      <c r="M153" s="45"/>
      <c r="N153" s="4">
        <v>61</v>
      </c>
      <c r="O153" s="4">
        <v>62</v>
      </c>
      <c r="P153" s="4">
        <v>63</v>
      </c>
      <c r="Q153" s="4">
        <v>64</v>
      </c>
      <c r="R153" s="4">
        <v>65</v>
      </c>
      <c r="S153" s="4">
        <v>66</v>
      </c>
      <c r="T153" s="4">
        <v>67</v>
      </c>
      <c r="U153" s="4">
        <v>68</v>
      </c>
      <c r="V153" s="4">
        <v>69</v>
      </c>
      <c r="W153" s="41">
        <v>70</v>
      </c>
      <c r="X153" s="155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50"/>
      <c r="DZ153" s="20"/>
      <c r="EA153" s="38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20"/>
      <c r="FT153" s="20"/>
      <c r="FU153" s="20"/>
    </row>
    <row r="154" spans="1:183" s="1" customFormat="1" ht="13.2" customHeight="1" x14ac:dyDescent="0.25">
      <c r="A154" s="179"/>
      <c r="B154" s="180"/>
      <c r="C154" s="10">
        <f>C160+1</f>
        <v>9</v>
      </c>
      <c r="D154" s="10">
        <v>1</v>
      </c>
      <c r="E154" s="10">
        <f>D193+1</f>
        <v>8</v>
      </c>
      <c r="F154" s="10">
        <f>G205+1</f>
        <v>6</v>
      </c>
      <c r="G154" s="10">
        <f>G184+1</f>
        <v>5</v>
      </c>
      <c r="H154" s="10">
        <f>H250+1</f>
        <v>2</v>
      </c>
      <c r="I154" s="45"/>
      <c r="J154" s="156">
        <f>D217+1</f>
        <v>8</v>
      </c>
      <c r="K154" s="45"/>
      <c r="L154" s="186"/>
      <c r="M154" s="45"/>
      <c r="N154" s="4">
        <v>71</v>
      </c>
      <c r="O154" s="4">
        <v>72</v>
      </c>
      <c r="P154" s="4">
        <v>73</v>
      </c>
      <c r="Q154" s="4">
        <v>74</v>
      </c>
      <c r="R154" s="4">
        <v>75</v>
      </c>
      <c r="S154" s="4">
        <v>76</v>
      </c>
      <c r="T154" s="4">
        <v>77</v>
      </c>
      <c r="U154" s="4">
        <v>78</v>
      </c>
      <c r="V154" s="4">
        <v>79</v>
      </c>
      <c r="W154" s="41">
        <v>80</v>
      </c>
      <c r="X154" s="155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50"/>
      <c r="DZ154" s="20"/>
      <c r="EA154" s="38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20"/>
      <c r="FT154" s="20"/>
      <c r="FU154" s="20"/>
      <c r="FV154" s="13"/>
      <c r="FW154" s="13"/>
      <c r="FX154" s="13"/>
      <c r="FY154" s="13"/>
      <c r="FZ154" s="13"/>
      <c r="GA154" s="13"/>
    </row>
    <row r="155" spans="1:183" s="1" customFormat="1" ht="13.2" customHeight="1" x14ac:dyDescent="0.25">
      <c r="A155" s="177">
        <v>65</v>
      </c>
      <c r="B155" s="180">
        <v>49</v>
      </c>
      <c r="C155" s="14">
        <f>A155-A266</f>
        <v>37</v>
      </c>
      <c r="D155" s="14">
        <f>A155-A332</f>
        <v>59</v>
      </c>
      <c r="E155" s="14">
        <f>A155-A194</f>
        <v>13</v>
      </c>
      <c r="F155" s="14">
        <f>A155-A179</f>
        <v>8</v>
      </c>
      <c r="G155" s="14">
        <f>A155-A233</f>
        <v>26</v>
      </c>
      <c r="H155" s="14">
        <f>A155-A164</f>
        <v>3</v>
      </c>
      <c r="I155" s="45"/>
      <c r="J155" s="156">
        <f>A155-A224-1</f>
        <v>22</v>
      </c>
      <c r="K155" s="45"/>
      <c r="L155" s="186">
        <v>46039</v>
      </c>
      <c r="M155" s="45"/>
      <c r="N155" s="4">
        <v>81</v>
      </c>
      <c r="O155" s="4">
        <v>82</v>
      </c>
      <c r="P155" s="4">
        <v>83</v>
      </c>
      <c r="Q155" s="4">
        <v>84</v>
      </c>
      <c r="R155" s="4">
        <v>85</v>
      </c>
      <c r="S155" s="6">
        <v>86</v>
      </c>
      <c r="T155" s="4">
        <v>87</v>
      </c>
      <c r="U155" s="4">
        <v>88</v>
      </c>
      <c r="V155" s="4">
        <v>89</v>
      </c>
      <c r="W155" s="41">
        <v>90</v>
      </c>
      <c r="X155" s="155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50"/>
      <c r="DZ155" s="20"/>
      <c r="EA155" s="38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1"/>
      <c r="FT155" s="20"/>
      <c r="FU155" s="20"/>
      <c r="FV155" s="13"/>
      <c r="FW155" s="13"/>
      <c r="FX155" s="13"/>
      <c r="FY155" s="13"/>
      <c r="FZ155" s="13"/>
      <c r="GA155" s="13"/>
    </row>
    <row r="156" spans="1:183" s="13" customFormat="1" ht="13.2" customHeight="1" x14ac:dyDescent="0.25">
      <c r="A156" s="178"/>
      <c r="B156" s="180"/>
      <c r="C156" s="118">
        <v>10</v>
      </c>
      <c r="D156" s="118">
        <v>26</v>
      </c>
      <c r="E156" s="118">
        <v>28</v>
      </c>
      <c r="F156" s="118">
        <v>57</v>
      </c>
      <c r="G156" s="118">
        <v>65</v>
      </c>
      <c r="H156" s="118">
        <v>82</v>
      </c>
      <c r="I156" s="45"/>
      <c r="J156" s="118">
        <v>34</v>
      </c>
      <c r="K156" s="45"/>
      <c r="L156" s="186"/>
      <c r="M156" s="45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55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50"/>
      <c r="DZ156" s="20"/>
      <c r="EA156" s="38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20"/>
      <c r="FT156" s="20"/>
      <c r="FU156" s="20"/>
    </row>
    <row r="157" spans="1:183" s="13" customFormat="1" ht="13.2" customHeight="1" x14ac:dyDescent="0.25">
      <c r="A157" s="179"/>
      <c r="B157" s="180"/>
      <c r="C157" s="10">
        <f>E268+1</f>
        <v>5</v>
      </c>
      <c r="D157" s="10">
        <f>G334+1</f>
        <v>2</v>
      </c>
      <c r="E157" s="10">
        <f>F196+1</f>
        <v>3</v>
      </c>
      <c r="F157" s="10">
        <f>D181+1</f>
        <v>8</v>
      </c>
      <c r="G157" s="10">
        <f>H235+1</f>
        <v>6</v>
      </c>
      <c r="H157" s="10">
        <f>H166+1</f>
        <v>7</v>
      </c>
      <c r="I157" s="45"/>
      <c r="J157" s="156">
        <f>D226+1</f>
        <v>4</v>
      </c>
      <c r="K157" s="45"/>
      <c r="L157" s="186"/>
      <c r="M157" s="45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55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50"/>
      <c r="DZ157" s="20"/>
      <c r="EA157" s="38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20"/>
      <c r="FT157" s="20"/>
      <c r="FU157" s="20"/>
    </row>
    <row r="158" spans="1:183" s="13" customFormat="1" ht="13.2" customHeight="1" x14ac:dyDescent="0.25">
      <c r="A158" s="177">
        <v>64</v>
      </c>
      <c r="B158" s="180">
        <v>50</v>
      </c>
      <c r="C158" s="14">
        <f>A158-A197</f>
        <v>13</v>
      </c>
      <c r="D158" s="14">
        <f>A158-A164</f>
        <v>2</v>
      </c>
      <c r="E158" s="14">
        <f>A158-A194</f>
        <v>12</v>
      </c>
      <c r="F158" s="14">
        <f>A158-A170</f>
        <v>4</v>
      </c>
      <c r="G158" s="14">
        <f>A158-A161</f>
        <v>1</v>
      </c>
      <c r="H158" s="14">
        <f>A158-A236</f>
        <v>26</v>
      </c>
      <c r="I158" s="45"/>
      <c r="J158" s="156">
        <f>A158-A191-1</f>
        <v>10</v>
      </c>
      <c r="K158" s="45"/>
      <c r="L158" s="186">
        <v>46036</v>
      </c>
      <c r="M158" s="45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55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50"/>
      <c r="DZ158" s="20"/>
      <c r="EA158" s="3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20"/>
      <c r="FT158" s="20"/>
      <c r="FU158" s="20"/>
    </row>
    <row r="159" spans="1:183" s="13" customFormat="1" ht="13.2" customHeight="1" x14ac:dyDescent="0.25">
      <c r="A159" s="178"/>
      <c r="B159" s="180"/>
      <c r="C159" s="118">
        <v>2</v>
      </c>
      <c r="D159" s="118">
        <v>3</v>
      </c>
      <c r="E159" s="118">
        <v>8</v>
      </c>
      <c r="F159" s="118">
        <v>41</v>
      </c>
      <c r="G159" s="118">
        <v>68</v>
      </c>
      <c r="H159" s="118">
        <v>90</v>
      </c>
      <c r="I159" s="45"/>
      <c r="J159" s="118">
        <v>5</v>
      </c>
      <c r="K159" s="45"/>
      <c r="L159" s="186"/>
      <c r="M159" s="45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55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50"/>
      <c r="DZ159" s="20"/>
      <c r="EA159" s="3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20"/>
      <c r="FT159" s="20"/>
      <c r="FU159" s="20"/>
    </row>
    <row r="160" spans="1:183" s="13" customFormat="1" ht="13.2" customHeight="1" x14ac:dyDescent="0.25">
      <c r="A160" s="179"/>
      <c r="B160" s="180"/>
      <c r="C160" s="10">
        <f>C199+1</f>
        <v>8</v>
      </c>
      <c r="D160" s="10">
        <f>C166+1</f>
        <v>5</v>
      </c>
      <c r="E160" s="10">
        <f>E196+1</f>
        <v>5</v>
      </c>
      <c r="F160" s="10">
        <f>J172+1</f>
        <v>8</v>
      </c>
      <c r="G160" s="10">
        <f>H163+1</f>
        <v>8</v>
      </c>
      <c r="H160" s="10">
        <f>H238+1</f>
        <v>5</v>
      </c>
      <c r="I160" s="45"/>
      <c r="J160" s="156">
        <f>C193+1</f>
        <v>8</v>
      </c>
      <c r="K160" s="45"/>
      <c r="L160" s="186"/>
      <c r="M160" s="45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55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50"/>
      <c r="DZ160" s="20"/>
      <c r="EA160" s="31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20"/>
      <c r="FT160" s="20"/>
      <c r="FU160" s="20"/>
    </row>
    <row r="161" spans="1:177" s="13" customFormat="1" ht="13.2" customHeight="1" x14ac:dyDescent="0.25">
      <c r="A161" s="177">
        <v>63</v>
      </c>
      <c r="B161" s="180">
        <v>51</v>
      </c>
      <c r="C161" s="14">
        <f>A161-A194</f>
        <v>11</v>
      </c>
      <c r="D161" s="14">
        <f>A161-A233</f>
        <v>24</v>
      </c>
      <c r="E161" s="14">
        <f>A161-A203</f>
        <v>14</v>
      </c>
      <c r="F161" s="14">
        <f>A161-A335</f>
        <v>58</v>
      </c>
      <c r="G161" s="14">
        <f>A161-A236</f>
        <v>25</v>
      </c>
      <c r="H161" s="14">
        <f>A161-A173</f>
        <v>4</v>
      </c>
      <c r="I161" s="45"/>
      <c r="J161" s="156">
        <f>A161-A206-1</f>
        <v>14</v>
      </c>
      <c r="K161" s="45"/>
      <c r="L161" s="186">
        <v>46034</v>
      </c>
      <c r="M161" s="45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55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50"/>
      <c r="DZ161" s="20"/>
      <c r="EA161" s="31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20"/>
      <c r="FT161" s="20"/>
      <c r="FU161" s="20"/>
    </row>
    <row r="162" spans="1:177" s="13" customFormat="1" ht="13.2" customHeight="1" x14ac:dyDescent="0.25">
      <c r="A162" s="178"/>
      <c r="B162" s="180"/>
      <c r="C162" s="118">
        <v>6</v>
      </c>
      <c r="D162" s="118">
        <v>31</v>
      </c>
      <c r="E162" s="118">
        <v>38</v>
      </c>
      <c r="F162" s="118">
        <v>51</v>
      </c>
      <c r="G162" s="118">
        <v>66</v>
      </c>
      <c r="H162" s="118">
        <v>68</v>
      </c>
      <c r="I162" s="45"/>
      <c r="J162" s="118">
        <v>88</v>
      </c>
      <c r="K162" s="45"/>
      <c r="L162" s="186"/>
      <c r="M162" s="45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55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50"/>
      <c r="DZ162" s="20"/>
      <c r="EA162" s="19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20"/>
      <c r="FT162" s="20"/>
      <c r="FU162" s="20"/>
    </row>
    <row r="163" spans="1:177" s="13" customFormat="1" ht="13.2" customHeight="1" x14ac:dyDescent="0.25">
      <c r="A163" s="179"/>
      <c r="B163" s="180"/>
      <c r="C163" s="10">
        <f>D196+2</f>
        <v>9</v>
      </c>
      <c r="D163" s="10">
        <f>E235+1</f>
        <v>3</v>
      </c>
      <c r="E163" s="10">
        <f>D205+1</f>
        <v>5</v>
      </c>
      <c r="F163" s="10">
        <f>E337+1</f>
        <v>2</v>
      </c>
      <c r="G163" s="10">
        <f>F238+1</f>
        <v>2</v>
      </c>
      <c r="H163" s="10">
        <f>F175+1</f>
        <v>7</v>
      </c>
      <c r="I163" s="45"/>
      <c r="J163" s="156">
        <f>H208+1</f>
        <v>4</v>
      </c>
      <c r="K163" s="45"/>
      <c r="L163" s="186"/>
      <c r="M163" s="45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55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50"/>
      <c r="DZ163" s="20"/>
      <c r="EA163" s="19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20"/>
      <c r="FT163" s="20"/>
      <c r="FU163" s="20"/>
    </row>
    <row r="164" spans="1:177" s="13" customFormat="1" ht="13.2" customHeight="1" x14ac:dyDescent="0.25">
      <c r="A164" s="177">
        <v>62</v>
      </c>
      <c r="B164" s="180">
        <v>52</v>
      </c>
      <c r="C164" s="14">
        <f>A164-A194</f>
        <v>10</v>
      </c>
      <c r="D164" s="14">
        <f>A164-A176-1</f>
        <v>3</v>
      </c>
      <c r="E164" s="14">
        <f>A164-A194</f>
        <v>10</v>
      </c>
      <c r="F164" s="14">
        <f>A164-A179</f>
        <v>5</v>
      </c>
      <c r="G164" s="14">
        <f>A164-A350</f>
        <v>62</v>
      </c>
      <c r="H164" s="17">
        <f>A164-A194</f>
        <v>10</v>
      </c>
      <c r="I164" s="45"/>
      <c r="J164" s="156">
        <f>A164-A179-1</f>
        <v>4</v>
      </c>
      <c r="K164" s="45"/>
      <c r="L164" s="186">
        <v>46032</v>
      </c>
      <c r="M164" s="45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55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50"/>
      <c r="DZ164" s="20"/>
      <c r="EA164" s="19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20"/>
      <c r="FT164" s="20"/>
      <c r="FU164" s="20"/>
    </row>
    <row r="165" spans="1:177" s="13" customFormat="1" ht="13.2" customHeight="1" x14ac:dyDescent="0.25">
      <c r="A165" s="178"/>
      <c r="B165" s="180"/>
      <c r="C165" s="118">
        <v>3</v>
      </c>
      <c r="D165" s="118">
        <v>23</v>
      </c>
      <c r="E165" s="118">
        <v>55</v>
      </c>
      <c r="F165" s="118">
        <v>59</v>
      </c>
      <c r="G165" s="118">
        <v>69</v>
      </c>
      <c r="H165" s="114">
        <v>82</v>
      </c>
      <c r="I165" s="45"/>
      <c r="J165" s="114">
        <v>36</v>
      </c>
      <c r="K165" s="45"/>
      <c r="L165" s="186"/>
      <c r="M165" s="45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55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50"/>
      <c r="DZ165" s="20"/>
      <c r="EA165" s="19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20"/>
      <c r="FT165" s="20"/>
      <c r="FU165" s="20"/>
    </row>
    <row r="166" spans="1:177" s="13" customFormat="1" ht="13.2" customHeight="1" x14ac:dyDescent="0.25">
      <c r="A166" s="179"/>
      <c r="B166" s="180"/>
      <c r="C166" s="10">
        <f>C196+1</f>
        <v>4</v>
      </c>
      <c r="D166" s="10">
        <f>J178+1</f>
        <v>8</v>
      </c>
      <c r="E166" s="10">
        <f>G196+1</f>
        <v>3</v>
      </c>
      <c r="F166" s="10">
        <f>E181+1</f>
        <v>5</v>
      </c>
      <c r="G166" s="10">
        <v>1</v>
      </c>
      <c r="H166" s="18">
        <f>H196+1</f>
        <v>6</v>
      </c>
      <c r="I166" s="45"/>
      <c r="J166" s="158">
        <f>C181+1</f>
        <v>9</v>
      </c>
      <c r="K166" s="45"/>
      <c r="L166" s="186"/>
      <c r="M166" s="45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55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50"/>
      <c r="DZ166" s="20"/>
      <c r="EA166" s="19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20"/>
      <c r="FT166" s="20"/>
      <c r="FU166" s="20"/>
    </row>
    <row r="167" spans="1:177" s="13" customFormat="1" ht="12" customHeight="1" x14ac:dyDescent="0.25">
      <c r="A167" s="177">
        <v>61</v>
      </c>
      <c r="B167" s="180">
        <v>53</v>
      </c>
      <c r="C167" s="14">
        <f>A167-A176</f>
        <v>3</v>
      </c>
      <c r="D167" s="14">
        <f>A167-A185</f>
        <v>6</v>
      </c>
      <c r="E167" s="14">
        <f>A167-A188</f>
        <v>7</v>
      </c>
      <c r="F167" s="14">
        <f>A167-A239</f>
        <v>24</v>
      </c>
      <c r="G167" s="14">
        <f>A167-A179</f>
        <v>4</v>
      </c>
      <c r="H167" s="14">
        <f>A167-A170</f>
        <v>1</v>
      </c>
      <c r="I167" s="45"/>
      <c r="J167" s="156">
        <f>A167-A182-1</f>
        <v>4</v>
      </c>
      <c r="K167" s="45"/>
      <c r="L167" s="186">
        <v>46029</v>
      </c>
      <c r="M167" s="45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55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50"/>
      <c r="DZ167" s="20"/>
      <c r="EA167" s="19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20"/>
      <c r="FT167" s="20"/>
      <c r="FU167" s="20"/>
    </row>
    <row r="168" spans="1:177" s="13" customFormat="1" ht="13.2" customHeight="1" x14ac:dyDescent="0.25">
      <c r="A168" s="178"/>
      <c r="B168" s="180"/>
      <c r="C168" s="118">
        <v>13</v>
      </c>
      <c r="D168" s="118">
        <v>24</v>
      </c>
      <c r="E168" s="118">
        <v>44</v>
      </c>
      <c r="F168" s="118">
        <v>79</v>
      </c>
      <c r="G168" s="118">
        <v>80</v>
      </c>
      <c r="H168" s="118">
        <v>89</v>
      </c>
      <c r="I168" s="45"/>
      <c r="J168" s="118">
        <v>39</v>
      </c>
      <c r="K168" s="45"/>
      <c r="L168" s="186"/>
      <c r="M168" s="45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55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50"/>
      <c r="DZ168" s="20"/>
      <c r="EA168" s="19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20"/>
      <c r="FT168" s="20"/>
      <c r="FU168" s="20"/>
    </row>
    <row r="169" spans="1:177" s="13" customFormat="1" ht="13.2" customHeight="1" x14ac:dyDescent="0.25">
      <c r="A169" s="179"/>
      <c r="B169" s="180"/>
      <c r="C169" s="10">
        <f>D184+1</f>
        <v>5</v>
      </c>
      <c r="D169" s="10">
        <f>D187+1</f>
        <v>8</v>
      </c>
      <c r="E169" s="10">
        <f>F190+1</f>
        <v>6</v>
      </c>
      <c r="F169" s="10">
        <f>G250+1</f>
        <v>4</v>
      </c>
      <c r="G169" s="10">
        <f>G181+1</f>
        <v>4</v>
      </c>
      <c r="H169" s="10">
        <f>H172+1</f>
        <v>2</v>
      </c>
      <c r="I169" s="45"/>
      <c r="J169" s="156">
        <f>J184+1</f>
        <v>8</v>
      </c>
      <c r="K169" s="45"/>
      <c r="L169" s="186"/>
      <c r="M169" s="45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55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50"/>
      <c r="DZ169" s="20"/>
      <c r="EA169" s="19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20"/>
      <c r="FT169" s="20"/>
      <c r="FU169" s="20"/>
    </row>
    <row r="170" spans="1:177" s="13" customFormat="1" ht="13.2" customHeight="1" x14ac:dyDescent="0.25">
      <c r="A170" s="177">
        <v>60</v>
      </c>
      <c r="B170" s="180">
        <v>54</v>
      </c>
      <c r="C170" s="14">
        <f>A170-A200-1</f>
        <v>9</v>
      </c>
      <c r="D170" s="14">
        <f>A170-A257</f>
        <v>29</v>
      </c>
      <c r="E170" s="14">
        <f>A170-A173</f>
        <v>1</v>
      </c>
      <c r="F170" s="14">
        <f>A170-A254</f>
        <v>28</v>
      </c>
      <c r="G170" s="14">
        <f>A170-A191</f>
        <v>7</v>
      </c>
      <c r="H170" s="14">
        <f>A170-A350</f>
        <v>60</v>
      </c>
      <c r="I170" s="45"/>
      <c r="J170" s="156">
        <f>A170-A182-1</f>
        <v>3</v>
      </c>
      <c r="K170" s="45"/>
      <c r="L170" s="186">
        <v>46027</v>
      </c>
      <c r="M170" s="45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55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50"/>
      <c r="DZ170" s="20"/>
      <c r="EA170" s="19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20"/>
      <c r="FT170" s="20"/>
      <c r="FU170" s="20"/>
    </row>
    <row r="171" spans="1:177" s="13" customFormat="1" ht="13.2" customHeight="1" x14ac:dyDescent="0.25">
      <c r="A171" s="178"/>
      <c r="B171" s="180"/>
      <c r="C171" s="118">
        <v>4</v>
      </c>
      <c r="D171" s="118">
        <v>12</v>
      </c>
      <c r="E171" s="118">
        <v>37</v>
      </c>
      <c r="F171" s="118">
        <v>50</v>
      </c>
      <c r="G171" s="118">
        <v>64</v>
      </c>
      <c r="H171" s="118">
        <v>89</v>
      </c>
      <c r="I171" s="45"/>
      <c r="J171" s="118">
        <v>41</v>
      </c>
      <c r="K171" s="45"/>
      <c r="L171" s="186"/>
      <c r="M171" s="45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55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50"/>
      <c r="DZ171" s="20"/>
      <c r="EA171" s="19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20"/>
      <c r="FT171" s="20"/>
      <c r="FU171" s="20"/>
    </row>
    <row r="172" spans="1:177" s="13" customFormat="1" ht="13.2" customHeight="1" x14ac:dyDescent="0.25">
      <c r="A172" s="179"/>
      <c r="B172" s="180"/>
      <c r="C172" s="10">
        <f>J202+1</f>
        <v>7</v>
      </c>
      <c r="D172" s="10">
        <f>E259+1</f>
        <v>5</v>
      </c>
      <c r="E172" s="10">
        <f>J175+1</f>
        <v>4</v>
      </c>
      <c r="F172" s="10">
        <f>F256+1</f>
        <v>4</v>
      </c>
      <c r="G172" s="10">
        <f>F193+1</f>
        <v>4</v>
      </c>
      <c r="H172" s="10">
        <v>1</v>
      </c>
      <c r="I172" s="45"/>
      <c r="J172" s="156">
        <f>F184+1</f>
        <v>7</v>
      </c>
      <c r="K172" s="45"/>
      <c r="L172" s="186"/>
      <c r="M172" s="45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55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50"/>
      <c r="DZ172" s="20"/>
      <c r="EA172" s="19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20"/>
      <c r="FT172" s="20"/>
      <c r="FU172" s="20"/>
    </row>
    <row r="173" spans="1:177" s="13" customFormat="1" ht="13.2" customHeight="1" x14ac:dyDescent="0.25">
      <c r="A173" s="177">
        <v>59</v>
      </c>
      <c r="B173" s="180">
        <v>55</v>
      </c>
      <c r="C173" s="14">
        <f>A173-A185</f>
        <v>4</v>
      </c>
      <c r="D173" s="14">
        <f>A173-A185</f>
        <v>4</v>
      </c>
      <c r="E173" s="14">
        <f>A173-A287</f>
        <v>38</v>
      </c>
      <c r="F173" s="14">
        <f>A173-A197</f>
        <v>8</v>
      </c>
      <c r="G173" s="14">
        <f>A173-A200</f>
        <v>9</v>
      </c>
      <c r="H173" s="14">
        <f>A173-A350</f>
        <v>59</v>
      </c>
      <c r="I173" s="45"/>
      <c r="J173" s="156">
        <f>A173-A284-1</f>
        <v>36</v>
      </c>
      <c r="K173" s="45"/>
      <c r="L173" s="186">
        <v>46025</v>
      </c>
      <c r="M173" s="45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55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50"/>
      <c r="DZ173" s="20"/>
      <c r="EA173" s="19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20"/>
      <c r="FT173" s="20"/>
      <c r="FU173" s="20"/>
    </row>
    <row r="174" spans="1:177" s="13" customFormat="1" ht="13.2" customHeight="1" x14ac:dyDescent="0.25">
      <c r="A174" s="178"/>
      <c r="B174" s="180"/>
      <c r="C174" s="118">
        <v>30</v>
      </c>
      <c r="D174" s="118">
        <v>47</v>
      </c>
      <c r="E174" s="118">
        <v>58</v>
      </c>
      <c r="F174" s="118">
        <v>68</v>
      </c>
      <c r="G174" s="118">
        <v>70</v>
      </c>
      <c r="H174" s="118">
        <v>78</v>
      </c>
      <c r="I174" s="45"/>
      <c r="J174" s="118">
        <v>37</v>
      </c>
      <c r="K174" s="45"/>
      <c r="L174" s="186"/>
      <c r="M174" s="45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55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50"/>
      <c r="DZ174" s="20"/>
      <c r="EA174" s="21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20"/>
      <c r="FT174" s="20"/>
      <c r="FU174" s="20"/>
    </row>
    <row r="175" spans="1:177" s="13" customFormat="1" ht="13.2" customHeight="1" x14ac:dyDescent="0.25">
      <c r="A175" s="179"/>
      <c r="B175" s="180"/>
      <c r="C175" s="10">
        <f>E187+1</f>
        <v>4</v>
      </c>
      <c r="D175" s="10">
        <f>J187+1</f>
        <v>5</v>
      </c>
      <c r="E175" s="10">
        <f>G289+1</f>
        <v>3</v>
      </c>
      <c r="F175" s="10">
        <f>G199+1</f>
        <v>6</v>
      </c>
      <c r="G175" s="10">
        <f>F202+1</f>
        <v>6</v>
      </c>
      <c r="H175" s="10">
        <v>1</v>
      </c>
      <c r="I175" s="45"/>
      <c r="J175" s="156">
        <f>E286+1</f>
        <v>3</v>
      </c>
      <c r="K175" s="45"/>
      <c r="L175" s="186"/>
      <c r="M175" s="45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55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50"/>
      <c r="DZ175" s="20"/>
      <c r="EA175" s="21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20"/>
      <c r="FT175" s="20"/>
      <c r="FU175" s="20"/>
    </row>
    <row r="176" spans="1:177" s="13" customFormat="1" ht="13.2" customHeight="1" x14ac:dyDescent="0.25">
      <c r="A176" s="177">
        <v>58</v>
      </c>
      <c r="B176" s="180">
        <v>56</v>
      </c>
      <c r="C176" s="14">
        <f>A176-A182</f>
        <v>2</v>
      </c>
      <c r="D176" s="14">
        <f>A176-A209</f>
        <v>11</v>
      </c>
      <c r="E176" s="14">
        <f>A176-A188</f>
        <v>4</v>
      </c>
      <c r="F176" s="14">
        <f>A176-A239</f>
        <v>21</v>
      </c>
      <c r="G176" s="14">
        <f>A176-A218</f>
        <v>14</v>
      </c>
      <c r="H176" s="14">
        <f>A176-A248</f>
        <v>24</v>
      </c>
      <c r="I176" s="45"/>
      <c r="J176" s="156">
        <f>A176-A188-1</f>
        <v>3</v>
      </c>
      <c r="K176" s="45"/>
      <c r="L176" s="186">
        <v>46022</v>
      </c>
      <c r="M176" s="45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55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50"/>
      <c r="DZ176" s="20"/>
      <c r="EA176" s="21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20"/>
      <c r="FT176" s="20"/>
      <c r="FU176" s="20"/>
    </row>
    <row r="177" spans="1:180" s="13" customFormat="1" ht="13.2" customHeight="1" x14ac:dyDescent="0.25">
      <c r="A177" s="178"/>
      <c r="B177" s="180"/>
      <c r="C177" s="114">
        <v>13</v>
      </c>
      <c r="D177" s="115">
        <v>14</v>
      </c>
      <c r="E177" s="115">
        <v>19</v>
      </c>
      <c r="F177" s="115">
        <v>25</v>
      </c>
      <c r="G177" s="115">
        <v>32</v>
      </c>
      <c r="H177" s="115">
        <v>45</v>
      </c>
      <c r="I177" s="45"/>
      <c r="J177" s="115">
        <v>23</v>
      </c>
      <c r="K177" s="45"/>
      <c r="L177" s="186"/>
      <c r="M177" s="45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55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50"/>
      <c r="DZ177" s="20"/>
      <c r="EA177" s="21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20"/>
      <c r="FT177" s="20"/>
      <c r="FU177" s="20"/>
    </row>
    <row r="178" spans="1:180" s="13" customFormat="1" ht="13.2" customHeight="1" x14ac:dyDescent="0.25">
      <c r="A178" s="179"/>
      <c r="B178" s="180"/>
      <c r="C178" s="10">
        <f>D184+1</f>
        <v>5</v>
      </c>
      <c r="D178" s="10">
        <f>C211+1</f>
        <v>8</v>
      </c>
      <c r="E178" s="10">
        <f>C190+1</f>
        <v>5</v>
      </c>
      <c r="F178" s="10">
        <f>E241+1</f>
        <v>4</v>
      </c>
      <c r="G178" s="10">
        <f>E220+1</f>
        <v>8</v>
      </c>
      <c r="H178" s="10">
        <f>D250+1</f>
        <v>5</v>
      </c>
      <c r="I178" s="45"/>
      <c r="J178" s="156">
        <f>J190+1</f>
        <v>7</v>
      </c>
      <c r="K178" s="45"/>
      <c r="L178" s="186"/>
      <c r="M178" s="45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55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50"/>
      <c r="DZ178" s="20"/>
      <c r="EA178" s="161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5"/>
      <c r="FT178" s="5"/>
      <c r="FU178" s="5"/>
      <c r="FV178" s="15"/>
      <c r="FW178" s="15"/>
      <c r="FX178" s="15"/>
    </row>
    <row r="179" spans="1:180" s="13" customFormat="1" ht="13.2" customHeight="1" x14ac:dyDescent="0.25">
      <c r="A179" s="177">
        <v>57</v>
      </c>
      <c r="B179" s="180">
        <v>57</v>
      </c>
      <c r="C179" s="14">
        <f>A179-A257</f>
        <v>26</v>
      </c>
      <c r="D179" s="14">
        <f>A179-A200</f>
        <v>7</v>
      </c>
      <c r="E179" s="14">
        <f>A179-A224</f>
        <v>15</v>
      </c>
      <c r="F179" s="14">
        <f>A179-A200</f>
        <v>7</v>
      </c>
      <c r="G179" s="14">
        <f>A179-A227</f>
        <v>16</v>
      </c>
      <c r="H179" s="14">
        <f>A179-A221</f>
        <v>14</v>
      </c>
      <c r="I179" s="45"/>
      <c r="J179" s="156">
        <f>A179-A227-1</f>
        <v>15</v>
      </c>
      <c r="K179" s="45"/>
      <c r="L179" s="188">
        <v>46020</v>
      </c>
      <c r="M179" s="45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55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50"/>
      <c r="DZ179" s="20"/>
      <c r="EA179" s="81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5"/>
      <c r="FT179" s="5"/>
      <c r="FU179" s="5"/>
      <c r="FV179" s="15"/>
      <c r="FW179" s="15"/>
      <c r="FX179" s="15"/>
    </row>
    <row r="180" spans="1:180" s="13" customFormat="1" ht="13.2" customHeight="1" x14ac:dyDescent="0.25">
      <c r="A180" s="178"/>
      <c r="B180" s="180"/>
      <c r="C180" s="114">
        <v>36</v>
      </c>
      <c r="D180" s="115">
        <v>57</v>
      </c>
      <c r="E180" s="115">
        <v>59</v>
      </c>
      <c r="F180" s="115">
        <v>67</v>
      </c>
      <c r="G180" s="115">
        <v>80</v>
      </c>
      <c r="H180" s="115">
        <v>85</v>
      </c>
      <c r="I180" s="45"/>
      <c r="J180" s="115">
        <v>18</v>
      </c>
      <c r="K180" s="45"/>
      <c r="L180" s="188"/>
      <c r="M180" s="45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55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50"/>
      <c r="DZ180" s="20"/>
      <c r="EA180" s="81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5"/>
      <c r="FT180" s="5"/>
      <c r="FU180" s="5"/>
      <c r="FV180" s="15"/>
      <c r="FW180" s="15"/>
      <c r="FX180" s="15"/>
    </row>
    <row r="181" spans="1:180" s="13" customFormat="1" ht="13.2" customHeight="1" x14ac:dyDescent="0.25">
      <c r="A181" s="179"/>
      <c r="B181" s="180"/>
      <c r="C181" s="10">
        <f>G259+2</f>
        <v>8</v>
      </c>
      <c r="D181" s="10">
        <f>D202+1</f>
        <v>7</v>
      </c>
      <c r="E181" s="10">
        <f>E226+1</f>
        <v>4</v>
      </c>
      <c r="F181" s="10">
        <f>E202+1</f>
        <v>2</v>
      </c>
      <c r="G181" s="10">
        <f>G229+1</f>
        <v>3</v>
      </c>
      <c r="H181" s="10">
        <f>H223+1</f>
        <v>5</v>
      </c>
      <c r="I181" s="45"/>
      <c r="J181" s="156">
        <f>C229+1</f>
        <v>6</v>
      </c>
      <c r="K181" s="45"/>
      <c r="L181" s="188"/>
      <c r="M181" s="45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55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50"/>
      <c r="DZ181" s="20"/>
      <c r="EA181" s="81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5"/>
      <c r="FT181" s="5"/>
      <c r="FU181" s="5"/>
      <c r="FV181" s="15"/>
      <c r="FW181" s="15"/>
      <c r="FX181" s="15"/>
    </row>
    <row r="182" spans="1:180" s="13" customFormat="1" ht="13.2" customHeight="1" x14ac:dyDescent="0.25">
      <c r="A182" s="177">
        <v>56</v>
      </c>
      <c r="B182" s="180">
        <v>58</v>
      </c>
      <c r="C182" s="14">
        <f>A182-A350</f>
        <v>56</v>
      </c>
      <c r="D182" s="14">
        <f>A182-A185</f>
        <v>1</v>
      </c>
      <c r="E182" s="14">
        <f>A182-A206</f>
        <v>8</v>
      </c>
      <c r="F182" s="14">
        <f>A182-A188</f>
        <v>2</v>
      </c>
      <c r="G182" s="14">
        <f>A182-A200</f>
        <v>6</v>
      </c>
      <c r="H182" s="14">
        <f>A182-A221</f>
        <v>13</v>
      </c>
      <c r="I182" s="45"/>
      <c r="J182" s="156">
        <f>A182-A245-1</f>
        <v>20</v>
      </c>
      <c r="K182" s="45"/>
      <c r="L182" s="186">
        <v>46018</v>
      </c>
      <c r="M182" s="45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55"/>
      <c r="Y182" s="146"/>
      <c r="Z182" s="146"/>
      <c r="AA182" s="146"/>
      <c r="AB182" s="146"/>
      <c r="AC182" s="146"/>
      <c r="AD182" s="146"/>
      <c r="AE182" s="146"/>
      <c r="AF182" s="146"/>
      <c r="AG182" s="146"/>
      <c r="AH182" s="146"/>
      <c r="AI182" s="150"/>
      <c r="DZ182" s="20"/>
      <c r="EA182" s="81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5"/>
      <c r="FT182" s="5"/>
      <c r="FU182" s="5"/>
      <c r="FV182" s="15"/>
      <c r="FW182" s="15"/>
      <c r="FX182" s="15"/>
    </row>
    <row r="183" spans="1:180" s="13" customFormat="1" ht="13.2" customHeight="1" x14ac:dyDescent="0.25">
      <c r="A183" s="178"/>
      <c r="B183" s="180"/>
      <c r="C183" s="114">
        <v>9</v>
      </c>
      <c r="D183" s="115">
        <v>13</v>
      </c>
      <c r="E183" s="115">
        <v>29</v>
      </c>
      <c r="F183" s="115">
        <v>41</v>
      </c>
      <c r="G183" s="115">
        <v>74</v>
      </c>
      <c r="H183" s="115">
        <v>82</v>
      </c>
      <c r="I183" s="45"/>
      <c r="J183" s="115">
        <v>39</v>
      </c>
      <c r="K183" s="45"/>
      <c r="L183" s="186"/>
      <c r="M183" s="45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55"/>
      <c r="Y183" s="146"/>
      <c r="Z183" s="146"/>
      <c r="AA183" s="146"/>
      <c r="AB183" s="146"/>
      <c r="AC183" s="146"/>
      <c r="AD183" s="146"/>
      <c r="AE183" s="146"/>
      <c r="AF183" s="146"/>
      <c r="AG183" s="146"/>
      <c r="AH183" s="146"/>
      <c r="AI183" s="150"/>
      <c r="DZ183" s="20"/>
      <c r="EA183" s="81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5"/>
      <c r="FT183" s="5"/>
      <c r="FU183" s="5"/>
      <c r="FV183" s="15"/>
      <c r="FW183" s="15"/>
      <c r="FX183" s="15"/>
    </row>
    <row r="184" spans="1:180" s="13" customFormat="1" ht="13.2" customHeight="1" x14ac:dyDescent="0.25">
      <c r="A184" s="179"/>
      <c r="B184" s="180"/>
      <c r="C184" s="10">
        <v>1</v>
      </c>
      <c r="D184" s="10">
        <f>C187+1</f>
        <v>4</v>
      </c>
      <c r="E184" s="10">
        <f>J199+1</f>
        <v>7</v>
      </c>
      <c r="F184" s="10">
        <f>E190+1</f>
        <v>6</v>
      </c>
      <c r="G184" s="10">
        <f>G202+1</f>
        <v>4</v>
      </c>
      <c r="H184" s="10">
        <f>H223+1</f>
        <v>5</v>
      </c>
      <c r="I184" s="45"/>
      <c r="J184" s="156">
        <f>E247+1</f>
        <v>7</v>
      </c>
      <c r="K184" s="45"/>
      <c r="L184" s="186"/>
      <c r="M184" s="45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55"/>
      <c r="Y184" s="146"/>
      <c r="Z184" s="146"/>
      <c r="AA184" s="146"/>
      <c r="AB184" s="146"/>
      <c r="AC184" s="146"/>
      <c r="AD184" s="146"/>
      <c r="AE184" s="146"/>
      <c r="AF184" s="146"/>
      <c r="AG184" s="146"/>
      <c r="AH184" s="146"/>
      <c r="AI184" s="150"/>
      <c r="DZ184" s="20"/>
      <c r="EA184" s="81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5"/>
      <c r="FT184" s="5"/>
      <c r="FU184" s="5"/>
      <c r="FV184" s="15"/>
      <c r="FW184" s="15"/>
      <c r="FX184" s="15"/>
    </row>
    <row r="185" spans="1:180" s="13" customFormat="1" ht="13.2" customHeight="1" x14ac:dyDescent="0.25">
      <c r="A185" s="177">
        <v>55</v>
      </c>
      <c r="B185" s="180">
        <v>59</v>
      </c>
      <c r="C185" s="14">
        <f>A185-A206-1</f>
        <v>6</v>
      </c>
      <c r="D185" s="14">
        <f>A185-A188-1</f>
        <v>0</v>
      </c>
      <c r="E185" s="14">
        <f>A185-A203</f>
        <v>6</v>
      </c>
      <c r="F185" s="14">
        <f>A185-A293</f>
        <v>36</v>
      </c>
      <c r="G185" s="14">
        <f>A185-A215</f>
        <v>10</v>
      </c>
      <c r="H185" s="14">
        <f>A185-A242-1</f>
        <v>18</v>
      </c>
      <c r="I185" s="45"/>
      <c r="J185" s="156">
        <f>A185-A212-1</f>
        <v>8</v>
      </c>
      <c r="K185" s="45"/>
      <c r="L185" s="186">
        <v>46015</v>
      </c>
      <c r="M185" s="45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55"/>
      <c r="Y185" s="146"/>
      <c r="Z185" s="146"/>
      <c r="AA185" s="146"/>
      <c r="AB185" s="146"/>
      <c r="AC185" s="146"/>
      <c r="AD185" s="146"/>
      <c r="AE185" s="146"/>
      <c r="AF185" s="146"/>
      <c r="AG185" s="146"/>
      <c r="AH185" s="146"/>
      <c r="AI185" s="150"/>
      <c r="DZ185" s="20"/>
      <c r="EA185" s="81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20"/>
      <c r="FT185" s="20"/>
      <c r="FU185" s="20"/>
    </row>
    <row r="186" spans="1:180" s="13" customFormat="1" ht="13.2" customHeight="1" x14ac:dyDescent="0.25">
      <c r="A186" s="178"/>
      <c r="B186" s="180"/>
      <c r="C186" s="116">
        <v>13</v>
      </c>
      <c r="D186" s="116">
        <v>24</v>
      </c>
      <c r="E186" s="116">
        <v>30</v>
      </c>
      <c r="F186" s="116">
        <v>40</v>
      </c>
      <c r="G186" s="116">
        <v>60</v>
      </c>
      <c r="H186" s="116">
        <v>75</v>
      </c>
      <c r="I186" s="45"/>
      <c r="J186" s="116">
        <v>47</v>
      </c>
      <c r="K186" s="45"/>
      <c r="L186" s="186"/>
      <c r="M186" s="45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55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 s="150"/>
      <c r="DZ186" s="20"/>
      <c r="EA186" s="81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20"/>
      <c r="FT186" s="20"/>
      <c r="FU186" s="20"/>
    </row>
    <row r="187" spans="1:180" s="13" customFormat="1" ht="13.2" customHeight="1" x14ac:dyDescent="0.25">
      <c r="A187" s="179"/>
      <c r="B187" s="180"/>
      <c r="C187" s="10">
        <f>J208+1</f>
        <v>3</v>
      </c>
      <c r="D187" s="10">
        <f>D190+1</f>
        <v>7</v>
      </c>
      <c r="E187" s="10">
        <f>C205+1</f>
        <v>3</v>
      </c>
      <c r="F187" s="10">
        <f>E295+1</f>
        <v>4</v>
      </c>
      <c r="G187" s="10">
        <f>J217+1</f>
        <v>4</v>
      </c>
      <c r="H187" s="10">
        <f>F244+1</f>
        <v>4</v>
      </c>
      <c r="I187" s="45"/>
      <c r="J187" s="156">
        <f>F214+1</f>
        <v>4</v>
      </c>
      <c r="K187" s="45"/>
      <c r="L187" s="186"/>
      <c r="M187" s="45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55"/>
      <c r="Y187" s="146"/>
      <c r="Z187" s="146"/>
      <c r="AA187" s="146"/>
      <c r="AB187" s="146"/>
      <c r="AC187" s="146"/>
      <c r="AD187" s="146"/>
      <c r="AE187" s="146"/>
      <c r="AF187" s="146"/>
      <c r="AG187" s="146"/>
      <c r="AH187" s="146"/>
      <c r="AI187" s="150"/>
      <c r="DZ187" s="20"/>
      <c r="EA187" s="81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20"/>
      <c r="FT187" s="20"/>
      <c r="FU187" s="20"/>
    </row>
    <row r="188" spans="1:180" s="13" customFormat="1" ht="13.2" customHeight="1" x14ac:dyDescent="0.25">
      <c r="A188" s="177">
        <v>54</v>
      </c>
      <c r="B188" s="180">
        <v>60</v>
      </c>
      <c r="C188" s="14">
        <f>A188-A212</f>
        <v>8</v>
      </c>
      <c r="D188" s="14">
        <f>A188-A221</f>
        <v>11</v>
      </c>
      <c r="E188" s="14">
        <f>A188-A218</f>
        <v>10</v>
      </c>
      <c r="F188" s="14">
        <f>A188-A191-1</f>
        <v>0</v>
      </c>
      <c r="G188" s="14">
        <f>A188-A209</f>
        <v>7</v>
      </c>
      <c r="H188" s="14">
        <f>A188-A203</f>
        <v>5</v>
      </c>
      <c r="I188" s="45"/>
      <c r="J188" s="156">
        <f>A188-A221-1</f>
        <v>10</v>
      </c>
      <c r="K188" s="45"/>
      <c r="L188" s="186">
        <v>46013</v>
      </c>
      <c r="M188" s="45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55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 s="150"/>
      <c r="DZ188" s="20"/>
      <c r="EA188" s="21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20"/>
      <c r="FT188" s="20"/>
      <c r="FU188" s="20"/>
    </row>
    <row r="189" spans="1:180" s="13" customFormat="1" ht="13.2" customHeight="1" x14ac:dyDescent="0.25">
      <c r="A189" s="178"/>
      <c r="B189" s="180"/>
      <c r="C189" s="117">
        <v>19</v>
      </c>
      <c r="D189" s="117">
        <v>24</v>
      </c>
      <c r="E189" s="117">
        <v>41</v>
      </c>
      <c r="F189" s="117">
        <v>44</v>
      </c>
      <c r="G189" s="117">
        <v>56</v>
      </c>
      <c r="H189" s="117">
        <v>71</v>
      </c>
      <c r="I189" s="45"/>
      <c r="J189" s="117">
        <v>23</v>
      </c>
      <c r="K189" s="45"/>
      <c r="L189" s="186"/>
      <c r="M189" s="45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55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 s="150"/>
      <c r="DZ189" s="20"/>
      <c r="EA189" s="161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20"/>
      <c r="FT189" s="20"/>
      <c r="FU189" s="20"/>
    </row>
    <row r="190" spans="1:180" s="13" customFormat="1" ht="13.2" customHeight="1" x14ac:dyDescent="0.25">
      <c r="A190" s="179"/>
      <c r="B190" s="180"/>
      <c r="C190" s="10">
        <f>E214+1</f>
        <v>4</v>
      </c>
      <c r="D190" s="10">
        <f>E223+1</f>
        <v>6</v>
      </c>
      <c r="E190" s="10">
        <f>F220+1</f>
        <v>5</v>
      </c>
      <c r="F190" s="10">
        <f>J193+1</f>
        <v>5</v>
      </c>
      <c r="G190" s="10">
        <f>E211+1</f>
        <v>6</v>
      </c>
      <c r="H190" s="10">
        <f>H205+1</f>
        <v>3</v>
      </c>
      <c r="I190" s="45"/>
      <c r="J190" s="156">
        <f>D223+1</f>
        <v>6</v>
      </c>
      <c r="K190" s="45"/>
      <c r="L190" s="186"/>
      <c r="M190" s="45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55"/>
      <c r="Y190" s="146"/>
      <c r="Z190" s="146"/>
      <c r="AA190" s="146"/>
      <c r="AB190" s="146"/>
      <c r="AC190" s="146"/>
      <c r="AD190" s="146"/>
      <c r="AE190" s="146"/>
      <c r="AF190" s="146"/>
      <c r="AG190" s="146"/>
      <c r="AH190" s="146"/>
      <c r="AI190" s="150"/>
      <c r="DZ190" s="20"/>
      <c r="EA190" s="81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20"/>
      <c r="FT190" s="20"/>
      <c r="FU190" s="20"/>
    </row>
    <row r="191" spans="1:180" s="13" customFormat="1" ht="13.2" customHeight="1" x14ac:dyDescent="0.25">
      <c r="A191" s="177">
        <v>53</v>
      </c>
      <c r="B191" s="180">
        <v>61</v>
      </c>
      <c r="C191" s="14">
        <f>A191-A230</f>
        <v>13</v>
      </c>
      <c r="D191" s="14">
        <f>A191-A221</f>
        <v>10</v>
      </c>
      <c r="E191" s="14">
        <f>A191-A350</f>
        <v>53</v>
      </c>
      <c r="F191" s="14">
        <f>A191-A302</f>
        <v>37</v>
      </c>
      <c r="G191" s="14">
        <f>A191-A206</f>
        <v>5</v>
      </c>
      <c r="H191" s="14">
        <f>A191-A239</f>
        <v>16</v>
      </c>
      <c r="I191" s="45"/>
      <c r="J191" s="156">
        <f>A191-A218-1</f>
        <v>8</v>
      </c>
      <c r="K191" s="45"/>
      <c r="L191" s="187">
        <v>46011</v>
      </c>
      <c r="M191" s="45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55"/>
      <c r="Y191" s="146"/>
      <c r="Z191" s="146"/>
      <c r="AA191" s="146"/>
      <c r="AB191" s="146"/>
      <c r="AC191" s="146"/>
      <c r="AD191" s="146"/>
      <c r="AE191" s="146"/>
      <c r="AF191" s="146"/>
      <c r="AG191" s="146"/>
      <c r="AH191" s="146"/>
      <c r="AI191" s="150"/>
      <c r="DZ191" s="20"/>
      <c r="EA191" s="81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20"/>
      <c r="FT191" s="20"/>
      <c r="FU191" s="20"/>
    </row>
    <row r="192" spans="1:180" s="13" customFormat="1" ht="13.2" customHeight="1" x14ac:dyDescent="0.25">
      <c r="A192" s="178"/>
      <c r="B192" s="180"/>
      <c r="C192" s="118">
        <v>5</v>
      </c>
      <c r="D192" s="118">
        <v>27</v>
      </c>
      <c r="E192" s="118">
        <v>52</v>
      </c>
      <c r="F192" s="118">
        <v>64</v>
      </c>
      <c r="G192" s="118">
        <v>73</v>
      </c>
      <c r="H192" s="118">
        <v>83</v>
      </c>
      <c r="I192" s="45"/>
      <c r="J192" s="118">
        <v>44</v>
      </c>
      <c r="K192" s="45"/>
      <c r="L192" s="186"/>
      <c r="M192" s="45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55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50"/>
      <c r="DZ192" s="20"/>
      <c r="EA192" s="81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20"/>
      <c r="FT192" s="20"/>
      <c r="FU192" s="20"/>
    </row>
    <row r="193" spans="1:177" s="13" customFormat="1" ht="13.2" customHeight="1" x14ac:dyDescent="0.25">
      <c r="A193" s="179"/>
      <c r="B193" s="180"/>
      <c r="C193" s="10">
        <f>C232+1</f>
        <v>7</v>
      </c>
      <c r="D193" s="10">
        <f>F223+1</f>
        <v>7</v>
      </c>
      <c r="E193" s="10">
        <v>1</v>
      </c>
      <c r="F193" s="10">
        <f>G304+1</f>
        <v>3</v>
      </c>
      <c r="G193" s="10">
        <f>F208+1</f>
        <v>6</v>
      </c>
      <c r="H193" s="10">
        <f>H241+1</f>
        <v>5</v>
      </c>
      <c r="I193" s="45"/>
      <c r="J193" s="156">
        <f>J220+1</f>
        <v>4</v>
      </c>
      <c r="K193" s="45"/>
      <c r="L193" s="186"/>
      <c r="M193" s="45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55"/>
      <c r="Y193" s="146"/>
      <c r="Z193" s="146"/>
      <c r="AA193" s="146"/>
      <c r="AB193" s="146"/>
      <c r="AC193" s="146"/>
      <c r="AD193" s="146"/>
      <c r="AE193" s="146"/>
      <c r="AF193" s="146"/>
      <c r="AG193" s="146"/>
      <c r="AH193" s="146"/>
      <c r="AI193" s="150"/>
      <c r="DZ193" s="20"/>
      <c r="EA193" s="81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20"/>
      <c r="FT193" s="20"/>
      <c r="FU193" s="20"/>
    </row>
    <row r="194" spans="1:177" s="13" customFormat="1" ht="13.2" customHeight="1" x14ac:dyDescent="0.25">
      <c r="A194" s="177">
        <v>52</v>
      </c>
      <c r="B194" s="180">
        <v>62</v>
      </c>
      <c r="C194" s="14">
        <f>A194-A317</f>
        <v>41</v>
      </c>
      <c r="D194" s="14">
        <f>A194-A212</f>
        <v>6</v>
      </c>
      <c r="E194" s="14">
        <f>A194-A206</f>
        <v>4</v>
      </c>
      <c r="F194" s="14">
        <f>A194-A293</f>
        <v>33</v>
      </c>
      <c r="G194" s="14">
        <f>A194-A281</f>
        <v>29</v>
      </c>
      <c r="H194" s="14">
        <f>A194-A197</f>
        <v>1</v>
      </c>
      <c r="I194" s="45"/>
      <c r="J194" s="156">
        <f>A194-A197-1</f>
        <v>0</v>
      </c>
      <c r="K194" s="45"/>
      <c r="L194" s="186">
        <v>46008</v>
      </c>
      <c r="M194" s="45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55"/>
      <c r="Y194" s="146"/>
      <c r="Z194" s="146"/>
      <c r="AA194" s="146"/>
      <c r="AB194" s="146"/>
      <c r="AC194" s="146"/>
      <c r="AD194" s="146"/>
      <c r="AE194" s="146"/>
      <c r="AF194" s="146"/>
      <c r="AG194" s="146"/>
      <c r="AH194" s="146"/>
      <c r="AI194" s="150"/>
      <c r="DZ194" s="20"/>
      <c r="EA194" s="81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20"/>
      <c r="FT194" s="20"/>
      <c r="FU194" s="20"/>
    </row>
    <row r="195" spans="1:177" s="13" customFormat="1" ht="13.2" customHeight="1" x14ac:dyDescent="0.25">
      <c r="A195" s="178"/>
      <c r="B195" s="180"/>
      <c r="C195" s="118">
        <v>3</v>
      </c>
      <c r="D195" s="118">
        <v>6</v>
      </c>
      <c r="E195" s="118">
        <v>8</v>
      </c>
      <c r="F195" s="118">
        <v>28</v>
      </c>
      <c r="G195" s="118">
        <v>55</v>
      </c>
      <c r="H195" s="118">
        <v>82</v>
      </c>
      <c r="I195" s="45"/>
      <c r="J195" s="118">
        <v>17</v>
      </c>
      <c r="K195" s="45"/>
      <c r="L195" s="186"/>
      <c r="M195" s="45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55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50"/>
      <c r="DZ195" s="20"/>
      <c r="EA195" s="81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20"/>
      <c r="FT195" s="20"/>
      <c r="FU195" s="20"/>
    </row>
    <row r="196" spans="1:177" s="13" customFormat="1" ht="13.2" customHeight="1" x14ac:dyDescent="0.25">
      <c r="A196" s="179"/>
      <c r="B196" s="180"/>
      <c r="C196" s="10">
        <f>C319+1</f>
        <v>3</v>
      </c>
      <c r="D196" s="10">
        <f>D214+1</f>
        <v>7</v>
      </c>
      <c r="E196" s="10">
        <f>C208+1</f>
        <v>4</v>
      </c>
      <c r="F196" s="10">
        <f>D295+1</f>
        <v>2</v>
      </c>
      <c r="G196" s="10">
        <f>H283+1</f>
        <v>2</v>
      </c>
      <c r="H196" s="10">
        <f>H199+1</f>
        <v>5</v>
      </c>
      <c r="I196" s="45"/>
      <c r="J196" s="156">
        <f>E199+1</f>
        <v>3</v>
      </c>
      <c r="K196" s="45"/>
      <c r="L196" s="186"/>
      <c r="M196" s="45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55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50"/>
      <c r="DZ196" s="20"/>
      <c r="EA196" s="81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20"/>
      <c r="FT196" s="20"/>
      <c r="FU196" s="20"/>
    </row>
    <row r="197" spans="1:177" s="13" customFormat="1" ht="13.2" customHeight="1" x14ac:dyDescent="0.25">
      <c r="A197" s="177">
        <v>51</v>
      </c>
      <c r="B197" s="180">
        <v>63</v>
      </c>
      <c r="C197" s="14">
        <f>A197-A212</f>
        <v>5</v>
      </c>
      <c r="D197" s="14">
        <f>A197-A327</f>
        <v>51</v>
      </c>
      <c r="E197" s="14">
        <f>A197-A233</f>
        <v>12</v>
      </c>
      <c r="F197" s="14">
        <f>A197-A284</f>
        <v>29</v>
      </c>
      <c r="G197" s="14">
        <f>A197-A248</f>
        <v>17</v>
      </c>
      <c r="H197" s="14">
        <f>A197-A230</f>
        <v>11</v>
      </c>
      <c r="I197" s="45"/>
      <c r="J197" s="156">
        <f>A197-A209-1</f>
        <v>3</v>
      </c>
      <c r="K197" s="45"/>
      <c r="L197" s="186">
        <v>46006</v>
      </c>
      <c r="M197" s="45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55"/>
      <c r="Y197" s="146"/>
      <c r="Z197" s="146"/>
      <c r="AA197" s="146"/>
      <c r="AB197" s="146"/>
      <c r="AC197" s="146"/>
      <c r="AD197" s="146"/>
      <c r="AE197" s="146"/>
      <c r="AF197" s="146"/>
      <c r="AG197" s="146"/>
      <c r="AH197" s="146"/>
      <c r="AI197" s="150"/>
      <c r="DZ197" s="20"/>
      <c r="EA197" s="81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20"/>
      <c r="FT197" s="20"/>
      <c r="FU197" s="20"/>
    </row>
    <row r="198" spans="1:177" s="13" customFormat="1" ht="13.2" customHeight="1" x14ac:dyDescent="0.25">
      <c r="A198" s="178"/>
      <c r="B198" s="180"/>
      <c r="C198" s="118">
        <v>2</v>
      </c>
      <c r="D198" s="118">
        <v>3</v>
      </c>
      <c r="E198" s="118">
        <v>17</v>
      </c>
      <c r="F198" s="118">
        <v>48</v>
      </c>
      <c r="G198" s="118">
        <v>68</v>
      </c>
      <c r="H198" s="118">
        <v>82</v>
      </c>
      <c r="I198" s="45"/>
      <c r="J198" s="118">
        <v>29</v>
      </c>
      <c r="K198" s="45"/>
      <c r="L198" s="186"/>
      <c r="M198" s="45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55"/>
      <c r="Y198" s="146"/>
      <c r="Z198" s="146"/>
      <c r="AA198" s="146"/>
      <c r="AB198" s="146"/>
      <c r="AC198" s="146"/>
      <c r="AD198" s="146"/>
      <c r="AE198" s="146"/>
      <c r="AF198" s="146"/>
      <c r="AG198" s="146"/>
      <c r="AH198" s="146"/>
      <c r="AI198" s="150"/>
      <c r="DZ198" s="20"/>
      <c r="EA198" s="81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20"/>
      <c r="FT198" s="20"/>
      <c r="FU198" s="20"/>
    </row>
    <row r="199" spans="1:177" s="13" customFormat="1" ht="13.2" customHeight="1" x14ac:dyDescent="0.25">
      <c r="A199" s="179"/>
      <c r="B199" s="180"/>
      <c r="C199" s="10">
        <f>C214+1</f>
        <v>7</v>
      </c>
      <c r="D199" s="10">
        <f>C319+1</f>
        <v>3</v>
      </c>
      <c r="E199" s="10">
        <f>C235+1</f>
        <v>2</v>
      </c>
      <c r="F199" s="10">
        <f>G286+1</f>
        <v>4</v>
      </c>
      <c r="G199" s="10">
        <f>F250+1</f>
        <v>5</v>
      </c>
      <c r="H199" s="10">
        <f>G232+1</f>
        <v>4</v>
      </c>
      <c r="I199" s="45"/>
      <c r="J199" s="156">
        <f>D208+1</f>
        <v>6</v>
      </c>
      <c r="K199" s="45"/>
      <c r="L199" s="186"/>
      <c r="M199" s="45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55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50"/>
      <c r="DZ199" s="20"/>
      <c r="EA199" s="21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20"/>
      <c r="FT199" s="20"/>
      <c r="FU199" s="20"/>
    </row>
    <row r="200" spans="1:177" s="13" customFormat="1" ht="13.2" customHeight="1" x14ac:dyDescent="0.25">
      <c r="A200" s="177">
        <v>50</v>
      </c>
      <c r="B200" s="180">
        <v>64</v>
      </c>
      <c r="C200" s="14">
        <f>A200-A218</f>
        <v>6</v>
      </c>
      <c r="D200" s="14">
        <f>A200-A260</f>
        <v>20</v>
      </c>
      <c r="E200" s="14">
        <f>A200-A350</f>
        <v>50</v>
      </c>
      <c r="F200" s="14">
        <f>A200-A224</f>
        <v>8</v>
      </c>
      <c r="G200" s="14">
        <f>A200-A209</f>
        <v>3</v>
      </c>
      <c r="H200" s="14">
        <f>A200-A230</f>
        <v>10</v>
      </c>
      <c r="I200" s="45"/>
      <c r="J200" s="156">
        <f>A200-A245-1</f>
        <v>14</v>
      </c>
      <c r="K200" s="45"/>
      <c r="L200" s="186">
        <v>46004</v>
      </c>
      <c r="M200" s="45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55"/>
      <c r="Y200" s="146"/>
      <c r="Z200" s="146"/>
      <c r="AA200" s="146"/>
      <c r="AB200" s="146"/>
      <c r="AC200" s="146"/>
      <c r="AD200" s="146"/>
      <c r="AE200" s="146"/>
      <c r="AF200" s="146"/>
      <c r="AG200" s="146"/>
      <c r="AH200" s="146"/>
      <c r="AI200" s="150"/>
      <c r="DZ200" s="20"/>
      <c r="EA200" s="161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20"/>
      <c r="FT200" s="20"/>
      <c r="FU200" s="20"/>
    </row>
    <row r="201" spans="1:177" s="13" customFormat="1" ht="13.2" customHeight="1" x14ac:dyDescent="0.25">
      <c r="A201" s="178"/>
      <c r="B201" s="180"/>
      <c r="C201" s="118">
        <v>7</v>
      </c>
      <c r="D201" s="118">
        <v>57</v>
      </c>
      <c r="E201" s="118">
        <v>67</v>
      </c>
      <c r="F201" s="118">
        <v>70</v>
      </c>
      <c r="G201" s="118">
        <v>74</v>
      </c>
      <c r="H201" s="118">
        <v>86</v>
      </c>
      <c r="I201" s="45"/>
      <c r="J201" s="118">
        <v>4</v>
      </c>
      <c r="K201" s="45"/>
      <c r="L201" s="186"/>
      <c r="M201" s="45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55"/>
      <c r="Y201" s="146"/>
      <c r="Z201" s="146"/>
      <c r="AA201" s="146"/>
      <c r="AB201" s="146"/>
      <c r="AC201" s="146"/>
      <c r="AD201" s="146"/>
      <c r="AE201" s="146"/>
      <c r="AF201" s="146"/>
      <c r="AG201" s="146"/>
      <c r="AH201" s="146"/>
      <c r="AI201" s="150"/>
      <c r="DZ201" s="20"/>
      <c r="EA201" s="81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20"/>
      <c r="FT201" s="20"/>
      <c r="FU201" s="20"/>
    </row>
    <row r="202" spans="1:177" s="13" customFormat="1" ht="13.2" customHeight="1" x14ac:dyDescent="0.25">
      <c r="A202" s="179"/>
      <c r="B202" s="180"/>
      <c r="C202" s="10">
        <f>C220+1</f>
        <v>8</v>
      </c>
      <c r="D202" s="10">
        <f>G262+1</f>
        <v>6</v>
      </c>
      <c r="E202" s="10">
        <v>1</v>
      </c>
      <c r="F202" s="10">
        <f>H226+1</f>
        <v>5</v>
      </c>
      <c r="G202" s="10">
        <f>G211+1</f>
        <v>3</v>
      </c>
      <c r="H202" s="10">
        <f>H232+1</f>
        <v>5</v>
      </c>
      <c r="I202" s="45"/>
      <c r="J202" s="156">
        <f>C247+1</f>
        <v>6</v>
      </c>
      <c r="K202" s="45"/>
      <c r="L202" s="186"/>
      <c r="M202" s="45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55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50"/>
      <c r="DZ202" s="20"/>
      <c r="EA202" s="81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20"/>
      <c r="FT202" s="20"/>
      <c r="FU202" s="20"/>
    </row>
    <row r="203" spans="1:177" s="13" customFormat="1" ht="13.2" customHeight="1" x14ac:dyDescent="0.25">
      <c r="A203" s="177">
        <v>49</v>
      </c>
      <c r="B203" s="180">
        <v>65</v>
      </c>
      <c r="C203" s="14">
        <f>A203-A326</f>
        <v>41</v>
      </c>
      <c r="D203" s="14">
        <f>A203-A206</f>
        <v>1</v>
      </c>
      <c r="E203" s="14">
        <f>A203-A233</f>
        <v>10</v>
      </c>
      <c r="F203" s="14">
        <f>A203-A293</f>
        <v>30</v>
      </c>
      <c r="G203" s="14">
        <f>A203-A212</f>
        <v>3</v>
      </c>
      <c r="H203" s="14">
        <f>A203-A266</f>
        <v>21</v>
      </c>
      <c r="I203" s="45"/>
      <c r="J203" s="156">
        <f>A203-A209-1</f>
        <v>1</v>
      </c>
      <c r="K203" s="45"/>
      <c r="L203" s="186">
        <v>46001</v>
      </c>
      <c r="M203" s="45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55"/>
      <c r="Y203" s="146"/>
      <c r="Z203" s="146"/>
      <c r="AA203" s="146"/>
      <c r="AB203" s="146"/>
      <c r="AC203" s="146"/>
      <c r="AD203" s="146"/>
      <c r="AE203" s="146"/>
      <c r="AF203" s="146"/>
      <c r="AG203" s="146"/>
      <c r="AH203" s="146"/>
      <c r="AI203" s="150"/>
      <c r="DZ203" s="20"/>
      <c r="EA203" s="81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20"/>
      <c r="FT203" s="20"/>
      <c r="FU203" s="20"/>
    </row>
    <row r="204" spans="1:177" s="13" customFormat="1" ht="13.2" customHeight="1" x14ac:dyDescent="0.25">
      <c r="A204" s="178"/>
      <c r="B204" s="180"/>
      <c r="C204" s="118">
        <v>30</v>
      </c>
      <c r="D204" s="118">
        <v>38</v>
      </c>
      <c r="E204" s="118">
        <v>43</v>
      </c>
      <c r="F204" s="118">
        <v>54</v>
      </c>
      <c r="G204" s="118">
        <v>62</v>
      </c>
      <c r="H204" s="118">
        <v>71</v>
      </c>
      <c r="I204" s="45"/>
      <c r="J204" s="118">
        <v>74</v>
      </c>
      <c r="K204" s="45"/>
      <c r="L204" s="186"/>
      <c r="M204" s="45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55"/>
      <c r="Y204" s="146"/>
      <c r="Z204" s="146"/>
      <c r="AA204" s="146"/>
      <c r="AB204" s="146"/>
      <c r="AC204" s="146"/>
      <c r="AD204" s="146"/>
      <c r="AE204" s="146"/>
      <c r="AF204" s="146"/>
      <c r="AG204" s="146"/>
      <c r="AH204" s="146"/>
      <c r="AI204" s="150"/>
      <c r="DZ204" s="20"/>
      <c r="EA204" s="81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20"/>
      <c r="FT204" s="20"/>
      <c r="FU204" s="20"/>
    </row>
    <row r="205" spans="1:177" s="13" customFormat="1" ht="13.2" customHeight="1" x14ac:dyDescent="0.25">
      <c r="A205" s="179"/>
      <c r="B205" s="180"/>
      <c r="C205" s="10">
        <f>F328+1</f>
        <v>2</v>
      </c>
      <c r="D205" s="10">
        <f>E208+1</f>
        <v>4</v>
      </c>
      <c r="E205" s="10">
        <f>G235+1</f>
        <v>5</v>
      </c>
      <c r="F205" s="10">
        <f>F295+1</f>
        <v>2</v>
      </c>
      <c r="G205" s="10">
        <f>H214+1</f>
        <v>5</v>
      </c>
      <c r="H205" s="10">
        <f>H268+1</f>
        <v>2</v>
      </c>
      <c r="I205" s="45"/>
      <c r="J205" s="156">
        <f>G211+1</f>
        <v>3</v>
      </c>
      <c r="K205" s="45"/>
      <c r="L205" s="186"/>
      <c r="M205" s="45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55"/>
      <c r="Y205" s="146"/>
      <c r="Z205" s="146"/>
      <c r="AA205" s="146"/>
      <c r="AB205" s="146"/>
      <c r="AC205" s="146"/>
      <c r="AD205" s="146"/>
      <c r="AE205" s="146"/>
      <c r="AF205" s="146"/>
      <c r="AG205" s="146"/>
      <c r="AH205" s="146"/>
      <c r="AI205" s="150"/>
      <c r="DZ205" s="20"/>
      <c r="EA205" s="81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20"/>
      <c r="FT205" s="20"/>
      <c r="FU205" s="20"/>
    </row>
    <row r="206" spans="1:177" s="13" customFormat="1" ht="13.2" customHeight="1" x14ac:dyDescent="0.25">
      <c r="A206" s="177">
        <v>48</v>
      </c>
      <c r="B206" s="180">
        <v>66</v>
      </c>
      <c r="C206" s="14">
        <f>A206-A239</f>
        <v>11</v>
      </c>
      <c r="D206" s="14">
        <f>A206-A209-1</f>
        <v>0</v>
      </c>
      <c r="E206" s="14">
        <f>A206-A209</f>
        <v>1</v>
      </c>
      <c r="F206" s="14">
        <f>A206-A209</f>
        <v>1</v>
      </c>
      <c r="G206" s="14">
        <f>A206-A242</f>
        <v>12</v>
      </c>
      <c r="H206" s="14">
        <f>A206-A269</f>
        <v>21</v>
      </c>
      <c r="I206" s="45"/>
      <c r="J206" s="156">
        <f>A206-A272-1</f>
        <v>21</v>
      </c>
      <c r="K206" s="45"/>
      <c r="L206" s="187">
        <v>45999</v>
      </c>
      <c r="M206" s="45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55"/>
      <c r="Y206" s="146"/>
      <c r="Z206" s="146"/>
      <c r="AA206" s="146"/>
      <c r="AB206" s="146"/>
      <c r="AC206" s="146"/>
      <c r="AD206" s="146"/>
      <c r="AE206" s="146"/>
      <c r="AF206" s="146"/>
      <c r="AG206" s="146"/>
      <c r="AH206" s="146"/>
      <c r="AI206" s="150"/>
      <c r="DZ206" s="20"/>
      <c r="EA206" s="81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20"/>
      <c r="FT206" s="20"/>
      <c r="FU206" s="20"/>
    </row>
    <row r="207" spans="1:177" s="13" customFormat="1" ht="13.2" customHeight="1" x14ac:dyDescent="0.25">
      <c r="A207" s="178"/>
      <c r="B207" s="180"/>
      <c r="C207" s="118">
        <v>8</v>
      </c>
      <c r="D207" s="118">
        <v>29</v>
      </c>
      <c r="E207" s="118">
        <v>38</v>
      </c>
      <c r="F207" s="118">
        <v>73</v>
      </c>
      <c r="G207" s="118">
        <v>76</v>
      </c>
      <c r="H207" s="118">
        <v>88</v>
      </c>
      <c r="I207" s="45"/>
      <c r="J207" s="118">
        <v>13</v>
      </c>
      <c r="K207" s="45"/>
      <c r="L207" s="187"/>
      <c r="M207" s="45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55"/>
      <c r="Y207" s="146"/>
      <c r="Z207" s="146"/>
      <c r="AA207" s="146"/>
      <c r="AB207" s="146"/>
      <c r="AC207" s="146"/>
      <c r="AD207" s="146"/>
      <c r="AE207" s="146"/>
      <c r="AF207" s="146"/>
      <c r="AG207" s="146"/>
      <c r="AH207" s="146"/>
      <c r="AI207" s="150"/>
      <c r="DZ207" s="20"/>
      <c r="EA207" s="81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20"/>
      <c r="FT207" s="20"/>
      <c r="FU207" s="20"/>
    </row>
    <row r="208" spans="1:177" s="13" customFormat="1" ht="13.2" customHeight="1" x14ac:dyDescent="0.25">
      <c r="A208" s="179"/>
      <c r="B208" s="180"/>
      <c r="C208" s="10">
        <f>D241+1</f>
        <v>3</v>
      </c>
      <c r="D208" s="10">
        <f>J211+1</f>
        <v>5</v>
      </c>
      <c r="E208" s="10">
        <f>D211+1</f>
        <v>3</v>
      </c>
      <c r="F208" s="10">
        <f>F211+1</f>
        <v>5</v>
      </c>
      <c r="G208" s="10">
        <f>G244+1</f>
        <v>5</v>
      </c>
      <c r="H208" s="10">
        <f>H271+1</f>
        <v>3</v>
      </c>
      <c r="I208" s="45"/>
      <c r="J208" s="156">
        <f>D274+1</f>
        <v>2</v>
      </c>
      <c r="K208" s="45"/>
      <c r="L208" s="187"/>
      <c r="M208" s="45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55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50"/>
      <c r="DZ208" s="20"/>
      <c r="EA208" s="81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</row>
    <row r="209" spans="1:174" s="13" customFormat="1" ht="13.2" customHeight="1" x14ac:dyDescent="0.25">
      <c r="A209" s="177">
        <v>47</v>
      </c>
      <c r="B209" s="180">
        <v>67</v>
      </c>
      <c r="C209" s="14">
        <f>A209-A221</f>
        <v>4</v>
      </c>
      <c r="D209" s="14">
        <f>A209-A239</f>
        <v>10</v>
      </c>
      <c r="E209" s="14">
        <f>A209-A218</f>
        <v>3</v>
      </c>
      <c r="F209" s="14">
        <f>A209-A275</f>
        <v>22</v>
      </c>
      <c r="G209" s="14">
        <f>A209-A311</f>
        <v>34</v>
      </c>
      <c r="H209" s="14">
        <f>A209-A227</f>
        <v>6</v>
      </c>
      <c r="I209" s="45"/>
      <c r="J209" s="156">
        <f>A209-A269-1</f>
        <v>19</v>
      </c>
      <c r="K209" s="45"/>
      <c r="L209" s="186">
        <v>45997</v>
      </c>
      <c r="M209" s="45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55"/>
      <c r="Y209" s="146"/>
      <c r="Z209" s="146"/>
      <c r="AA209" s="146"/>
      <c r="AB209" s="146"/>
      <c r="AC209" s="146"/>
      <c r="AD209" s="146"/>
      <c r="AE209" s="146"/>
      <c r="AF209" s="146"/>
      <c r="AG209" s="146"/>
      <c r="AH209" s="146"/>
      <c r="AI209" s="150"/>
      <c r="DZ209" s="20"/>
      <c r="EA209" s="81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</row>
    <row r="210" spans="1:174" s="13" customFormat="1" ht="13.2" customHeight="1" x14ac:dyDescent="0.25">
      <c r="A210" s="178"/>
      <c r="B210" s="180"/>
      <c r="C210" s="118">
        <v>14</v>
      </c>
      <c r="D210" s="118">
        <v>38</v>
      </c>
      <c r="E210" s="118">
        <v>56</v>
      </c>
      <c r="F210" s="118">
        <v>73</v>
      </c>
      <c r="G210" s="118">
        <v>74</v>
      </c>
      <c r="H210" s="118">
        <v>87</v>
      </c>
      <c r="I210" s="45"/>
      <c r="J210" s="118">
        <v>29</v>
      </c>
      <c r="K210" s="45"/>
      <c r="L210" s="186"/>
      <c r="M210" s="45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55"/>
      <c r="Y210" s="146"/>
      <c r="Z210" s="146"/>
      <c r="AA210" s="146"/>
      <c r="AB210" s="146"/>
      <c r="AC210" s="146"/>
      <c r="AD210" s="146"/>
      <c r="AE210" s="146"/>
      <c r="AF210" s="146"/>
      <c r="AG210" s="146"/>
      <c r="AH210" s="146"/>
      <c r="AI210" s="150"/>
      <c r="DZ210" s="20"/>
      <c r="EA210" s="21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</row>
    <row r="211" spans="1:174" s="13" customFormat="1" ht="13.2" customHeight="1" x14ac:dyDescent="0.25">
      <c r="A211" s="179"/>
      <c r="B211" s="180"/>
      <c r="C211" s="10">
        <f>C223+1</f>
        <v>7</v>
      </c>
      <c r="D211" s="10">
        <f>F241+1</f>
        <v>2</v>
      </c>
      <c r="E211" s="10">
        <f>J214+1</f>
        <v>5</v>
      </c>
      <c r="F211" s="10">
        <f>F277+1</f>
        <v>4</v>
      </c>
      <c r="G211" s="10">
        <f>G313+1</f>
        <v>2</v>
      </c>
      <c r="H211" s="10">
        <f>H229+1</f>
        <v>5</v>
      </c>
      <c r="I211" s="45"/>
      <c r="J211" s="156">
        <f>D271+1</f>
        <v>4</v>
      </c>
      <c r="K211" s="45"/>
      <c r="L211" s="186"/>
      <c r="M211" s="45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55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50"/>
      <c r="DZ211" s="20"/>
      <c r="EA211" s="161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</row>
    <row r="212" spans="1:174" s="13" customFormat="1" ht="13.2" customHeight="1" x14ac:dyDescent="0.25">
      <c r="A212" s="177">
        <v>46</v>
      </c>
      <c r="B212" s="180">
        <v>68</v>
      </c>
      <c r="C212" s="14">
        <f>A212-A242</f>
        <v>10</v>
      </c>
      <c r="D212" s="14">
        <f>A212-A257</f>
        <v>15</v>
      </c>
      <c r="E212" s="14">
        <f>A212-A281</f>
        <v>23</v>
      </c>
      <c r="F212" s="14">
        <f>A212-A254</f>
        <v>14</v>
      </c>
      <c r="G212" s="14">
        <f>A212-A257</f>
        <v>15</v>
      </c>
      <c r="H212" s="14">
        <f>A212-A251</f>
        <v>13</v>
      </c>
      <c r="I212" s="45"/>
      <c r="J212" s="156">
        <f>A212-A218-1</f>
        <v>1</v>
      </c>
      <c r="K212" s="45"/>
      <c r="L212" s="186">
        <v>45994</v>
      </c>
      <c r="M212" s="45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55"/>
      <c r="Y212" s="146"/>
      <c r="Z212" s="146"/>
      <c r="AA212" s="146"/>
      <c r="AB212" s="146"/>
      <c r="AC212" s="146"/>
      <c r="AD212" s="146"/>
      <c r="AE212" s="146"/>
      <c r="AF212" s="146"/>
      <c r="AG212" s="146"/>
      <c r="AH212" s="146"/>
      <c r="AI212" s="150"/>
      <c r="DY212" s="43"/>
      <c r="DZ212" s="20"/>
      <c r="EA212" s="81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</row>
    <row r="213" spans="1:174" s="13" customFormat="1" ht="13.2" customHeight="1" x14ac:dyDescent="0.25">
      <c r="A213" s="178"/>
      <c r="B213" s="180"/>
      <c r="C213" s="118">
        <v>2</v>
      </c>
      <c r="D213" s="118">
        <v>6</v>
      </c>
      <c r="E213" s="118">
        <v>19</v>
      </c>
      <c r="F213" s="118">
        <v>47</v>
      </c>
      <c r="G213" s="118">
        <v>53</v>
      </c>
      <c r="H213" s="118">
        <v>62</v>
      </c>
      <c r="I213" s="45"/>
      <c r="J213" s="118">
        <v>56</v>
      </c>
      <c r="K213" s="45"/>
      <c r="L213" s="186"/>
      <c r="M213" s="45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55"/>
      <c r="Y213" s="146"/>
      <c r="Z213" s="146"/>
      <c r="AA213" s="146"/>
      <c r="AB213" s="146"/>
      <c r="AC213" s="146"/>
      <c r="AD213" s="146"/>
      <c r="AE213" s="146"/>
      <c r="AF213" s="146"/>
      <c r="AG213" s="146"/>
      <c r="AH213" s="146"/>
      <c r="AI213" s="150"/>
      <c r="DY213" s="43"/>
      <c r="DZ213" s="20"/>
      <c r="EA213" s="81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</row>
    <row r="214" spans="1:174" s="13" customFormat="1" ht="13.2" customHeight="1" x14ac:dyDescent="0.25">
      <c r="A214" s="179"/>
      <c r="B214" s="180"/>
      <c r="C214" s="10">
        <f>C244+1</f>
        <v>6</v>
      </c>
      <c r="D214" s="10">
        <f>D259+1</f>
        <v>6</v>
      </c>
      <c r="E214" s="10">
        <f>G283+1</f>
        <v>3</v>
      </c>
      <c r="F214" s="10">
        <f>E256+1</f>
        <v>3</v>
      </c>
      <c r="G214" s="10">
        <f>J226+1</f>
        <v>7</v>
      </c>
      <c r="H214" s="10">
        <f>H253+1</f>
        <v>4</v>
      </c>
      <c r="I214" s="45"/>
      <c r="J214" s="156">
        <f>G220+1</f>
        <v>4</v>
      </c>
      <c r="K214" s="45"/>
      <c r="L214" s="186"/>
      <c r="M214" s="45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55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50"/>
      <c r="DY214" s="43"/>
      <c r="DZ214" s="20"/>
      <c r="EA214" s="81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</row>
    <row r="215" spans="1:174" s="13" customFormat="1" ht="13.2" customHeight="1" x14ac:dyDescent="0.25">
      <c r="A215" s="177">
        <v>45</v>
      </c>
      <c r="B215" s="180">
        <v>69</v>
      </c>
      <c r="C215" s="14">
        <f>A215-A242</f>
        <v>9</v>
      </c>
      <c r="D215" s="14">
        <f>A215-A236</f>
        <v>7</v>
      </c>
      <c r="E215" s="14">
        <f>A215-A224</f>
        <v>3</v>
      </c>
      <c r="F215" s="14">
        <f>A215-A272</f>
        <v>19</v>
      </c>
      <c r="G215" s="14">
        <f>A215-A218</f>
        <v>1</v>
      </c>
      <c r="H215" s="14">
        <f>A215-A350</f>
        <v>45</v>
      </c>
      <c r="I215" s="45"/>
      <c r="J215" s="156">
        <f>A215-A224-1</f>
        <v>2</v>
      </c>
      <c r="K215" s="45"/>
      <c r="L215" s="186">
        <v>45992</v>
      </c>
      <c r="M215" s="45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55"/>
      <c r="Y215" s="146"/>
      <c r="Z215" s="146"/>
      <c r="AA215" s="146"/>
      <c r="AB215" s="146"/>
      <c r="AC215" s="146"/>
      <c r="AD215" s="146"/>
      <c r="AE215" s="146"/>
      <c r="AF215" s="146"/>
      <c r="AG215" s="146"/>
      <c r="AH215" s="146"/>
      <c r="AI215" s="150"/>
      <c r="DY215" s="43"/>
      <c r="DZ215" s="20"/>
      <c r="EA215" s="81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</row>
    <row r="216" spans="1:174" s="13" customFormat="1" ht="13.2" customHeight="1" x14ac:dyDescent="0.25">
      <c r="A216" s="178"/>
      <c r="B216" s="180"/>
      <c r="C216" s="118">
        <v>16</v>
      </c>
      <c r="D216" s="118">
        <v>33</v>
      </c>
      <c r="E216" s="118">
        <v>61</v>
      </c>
      <c r="F216" s="118">
        <v>63</v>
      </c>
      <c r="G216" s="118">
        <v>72</v>
      </c>
      <c r="H216" s="118">
        <v>84</v>
      </c>
      <c r="I216" s="45"/>
      <c r="J216" s="118">
        <v>60</v>
      </c>
      <c r="K216" s="45"/>
      <c r="L216" s="186"/>
      <c r="M216" s="45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55"/>
      <c r="Y216" s="146"/>
      <c r="Z216" s="146"/>
      <c r="AA216" s="146"/>
      <c r="AB216" s="146"/>
      <c r="AC216" s="146"/>
      <c r="AD216" s="146"/>
      <c r="AE216" s="146"/>
      <c r="AF216" s="146"/>
      <c r="AG216" s="146"/>
      <c r="AH216" s="146"/>
      <c r="AI216" s="150"/>
      <c r="DY216" s="43"/>
      <c r="DZ216" s="20"/>
      <c r="EA216" s="81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</row>
    <row r="217" spans="1:174" s="13" customFormat="1" ht="13.2" customHeight="1" x14ac:dyDescent="0.25">
      <c r="A217" s="179"/>
      <c r="B217" s="180"/>
      <c r="C217" s="10">
        <f>D244+1</f>
        <v>4</v>
      </c>
      <c r="D217" s="10">
        <f>C238+1</f>
        <v>7</v>
      </c>
      <c r="E217" s="10">
        <f>G226+1</f>
        <v>6</v>
      </c>
      <c r="F217" s="10">
        <f>G274+1</f>
        <v>3</v>
      </c>
      <c r="G217" s="10">
        <f>H220+1</f>
        <v>6</v>
      </c>
      <c r="H217" s="10">
        <v>1</v>
      </c>
      <c r="I217" s="45"/>
      <c r="J217" s="156">
        <f>F226+1</f>
        <v>3</v>
      </c>
      <c r="K217" s="45"/>
      <c r="L217" s="186"/>
      <c r="M217" s="45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55"/>
      <c r="Y217" s="146"/>
      <c r="Z217" s="146"/>
      <c r="AA217" s="146"/>
      <c r="AB217" s="146"/>
      <c r="AC217" s="146"/>
      <c r="AD217" s="146"/>
      <c r="AE217" s="146"/>
      <c r="AF217" s="146"/>
      <c r="AG217" s="146"/>
      <c r="AH217" s="146"/>
      <c r="AI217" s="150"/>
      <c r="DY217" s="43"/>
      <c r="DZ217" s="20"/>
      <c r="EA217" s="81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</row>
    <row r="218" spans="1:174" s="13" customFormat="1" ht="13.2" customHeight="1" x14ac:dyDescent="0.25">
      <c r="A218" s="177">
        <v>44</v>
      </c>
      <c r="B218" s="180">
        <v>70</v>
      </c>
      <c r="C218" s="14">
        <f>A218-A251</f>
        <v>11</v>
      </c>
      <c r="D218" s="14">
        <f>A218-A251</f>
        <v>11</v>
      </c>
      <c r="E218" s="14">
        <f>A218-A227</f>
        <v>3</v>
      </c>
      <c r="F218" s="14">
        <f>A218-A284</f>
        <v>22</v>
      </c>
      <c r="G218" s="14">
        <f>A218-A290</f>
        <v>24</v>
      </c>
      <c r="H218" s="14">
        <f>A218-A227</f>
        <v>3</v>
      </c>
      <c r="I218" s="45"/>
      <c r="J218" s="156">
        <f>A218-A338-1</f>
        <v>39</v>
      </c>
      <c r="K218" s="45"/>
      <c r="L218" s="186">
        <v>45990</v>
      </c>
      <c r="M218" s="45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55"/>
      <c r="Y218" s="146"/>
      <c r="Z218" s="146"/>
      <c r="AA218" s="146"/>
      <c r="AB218" s="146"/>
      <c r="AC218" s="146"/>
      <c r="AD218" s="146"/>
      <c r="AE218" s="146"/>
      <c r="AF218" s="146"/>
      <c r="AG218" s="146"/>
      <c r="AH218" s="146"/>
      <c r="AI218" s="150"/>
      <c r="DY218" s="43"/>
      <c r="DZ218" s="20"/>
      <c r="EA218" s="81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</row>
    <row r="219" spans="1:174" s="13" customFormat="1" ht="13.2" customHeight="1" x14ac:dyDescent="0.25">
      <c r="A219" s="178"/>
      <c r="B219" s="180"/>
      <c r="C219" s="118">
        <v>7</v>
      </c>
      <c r="D219" s="118">
        <v>20</v>
      </c>
      <c r="E219" s="118">
        <v>32</v>
      </c>
      <c r="F219" s="118">
        <v>41</v>
      </c>
      <c r="G219" s="118">
        <v>56</v>
      </c>
      <c r="H219" s="118">
        <v>72</v>
      </c>
      <c r="I219" s="45"/>
      <c r="J219" s="118">
        <v>44</v>
      </c>
      <c r="K219" s="45"/>
      <c r="L219" s="186"/>
      <c r="M219" s="45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55"/>
      <c r="Y219" s="146"/>
      <c r="Z219" s="146"/>
      <c r="AA219" s="146"/>
      <c r="AB219" s="146"/>
      <c r="AC219" s="146"/>
      <c r="AD219" s="146"/>
      <c r="AE219" s="146"/>
      <c r="AF219" s="146"/>
      <c r="AG219" s="146"/>
      <c r="AH219" s="146"/>
      <c r="AI219" s="150"/>
      <c r="DY219" s="43"/>
      <c r="DZ219" s="20"/>
      <c r="EA219" s="81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</row>
    <row r="220" spans="1:174" s="13" customFormat="1" ht="13.2" customHeight="1" x14ac:dyDescent="0.25">
      <c r="A220" s="179"/>
      <c r="B220" s="180"/>
      <c r="C220" s="10">
        <f>C253+1</f>
        <v>7</v>
      </c>
      <c r="D220" s="10">
        <f>F253+1</f>
        <v>3</v>
      </c>
      <c r="E220" s="10">
        <f>D229+1</f>
        <v>7</v>
      </c>
      <c r="F220" s="10">
        <f>F286+1</f>
        <v>4</v>
      </c>
      <c r="G220" s="10">
        <f>H292+1</f>
        <v>3</v>
      </c>
      <c r="H220" s="10">
        <f>F229+1</f>
        <v>5</v>
      </c>
      <c r="I220" s="45"/>
      <c r="J220" s="156">
        <f>F340+1</f>
        <v>3</v>
      </c>
      <c r="K220" s="45"/>
      <c r="L220" s="186"/>
      <c r="M220" s="45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55"/>
      <c r="Y220" s="146"/>
      <c r="Z220" s="146"/>
      <c r="AA220" s="146"/>
      <c r="AB220" s="146"/>
      <c r="AC220" s="146"/>
      <c r="AD220" s="146"/>
      <c r="AE220" s="146"/>
      <c r="AF220" s="146"/>
      <c r="AG220" s="146"/>
      <c r="AH220" s="146"/>
      <c r="AI220" s="150"/>
      <c r="DY220" s="43"/>
      <c r="DZ220" s="20"/>
      <c r="EA220" s="81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</row>
    <row r="221" spans="1:174" s="13" customFormat="1" ht="13.2" customHeight="1" x14ac:dyDescent="0.25">
      <c r="A221" s="177">
        <v>43</v>
      </c>
      <c r="B221" s="180">
        <v>71</v>
      </c>
      <c r="C221" s="14">
        <f>A221-A248</f>
        <v>9</v>
      </c>
      <c r="D221" s="14">
        <f>A221-A287</f>
        <v>22</v>
      </c>
      <c r="E221" s="14">
        <f>A221-A224</f>
        <v>1</v>
      </c>
      <c r="F221" s="14">
        <f>A221-A233</f>
        <v>4</v>
      </c>
      <c r="G221" s="14">
        <f>A221-A248</f>
        <v>9</v>
      </c>
      <c r="H221" s="14">
        <f>A221-A227-1</f>
        <v>1</v>
      </c>
      <c r="I221" s="45"/>
      <c r="J221" s="156">
        <f>A221-A350-1</f>
        <v>42</v>
      </c>
      <c r="K221" s="45"/>
      <c r="L221" s="186">
        <v>45987</v>
      </c>
      <c r="M221" s="45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55"/>
      <c r="Y221" s="146"/>
      <c r="Z221" s="146"/>
      <c r="AA221" s="146"/>
      <c r="AB221" s="146"/>
      <c r="AC221" s="146"/>
      <c r="AD221" s="146"/>
      <c r="AE221" s="146"/>
      <c r="AF221" s="146"/>
      <c r="AG221" s="146"/>
      <c r="AH221" s="146"/>
      <c r="AI221" s="150"/>
      <c r="DY221" s="43"/>
      <c r="DZ221" s="20"/>
      <c r="EA221" s="21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</row>
    <row r="222" spans="1:174" s="13" customFormat="1" ht="13.2" customHeight="1" x14ac:dyDescent="0.25">
      <c r="A222" s="178"/>
      <c r="B222" s="180"/>
      <c r="C222" s="118">
        <v>14</v>
      </c>
      <c r="D222" s="118">
        <v>23</v>
      </c>
      <c r="E222" s="118">
        <v>24</v>
      </c>
      <c r="F222" s="118">
        <v>27</v>
      </c>
      <c r="G222" s="118">
        <v>49</v>
      </c>
      <c r="H222" s="118">
        <v>85</v>
      </c>
      <c r="I222" s="45"/>
      <c r="J222" s="118">
        <v>22</v>
      </c>
      <c r="K222" s="45"/>
      <c r="L222" s="186"/>
      <c r="M222" s="45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55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50"/>
      <c r="DY222" s="43"/>
      <c r="DZ222" s="20"/>
      <c r="EA222" s="161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</row>
    <row r="223" spans="1:174" s="13" customFormat="1" ht="13.2" customHeight="1" x14ac:dyDescent="0.25">
      <c r="A223" s="179"/>
      <c r="B223" s="180"/>
      <c r="C223" s="10">
        <f>C250+1</f>
        <v>6</v>
      </c>
      <c r="D223" s="10">
        <f>C289+1</f>
        <v>5</v>
      </c>
      <c r="E223" s="10">
        <f>C226+1</f>
        <v>5</v>
      </c>
      <c r="F223" s="10">
        <f>D235+1</f>
        <v>6</v>
      </c>
      <c r="G223" s="10">
        <f>E250+1</f>
        <v>5</v>
      </c>
      <c r="H223" s="10">
        <f>J229+1</f>
        <v>4</v>
      </c>
      <c r="I223" s="45"/>
      <c r="J223" s="156">
        <v>1</v>
      </c>
      <c r="K223" s="45"/>
      <c r="L223" s="186"/>
      <c r="M223" s="45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55"/>
      <c r="Y223" s="146"/>
      <c r="Z223" s="146"/>
      <c r="AA223" s="146"/>
      <c r="AB223" s="146"/>
      <c r="AC223" s="146"/>
      <c r="AD223" s="146"/>
      <c r="AE223" s="146"/>
      <c r="AF223" s="146"/>
      <c r="AG223" s="146"/>
      <c r="AH223" s="146"/>
      <c r="AI223" s="150"/>
      <c r="DY223" s="43"/>
      <c r="DZ223" s="20"/>
      <c r="EA223" s="81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</row>
    <row r="224" spans="1:174" s="13" customFormat="1" ht="13.2" customHeight="1" x14ac:dyDescent="0.25">
      <c r="A224" s="177">
        <v>42</v>
      </c>
      <c r="B224" s="180">
        <v>72</v>
      </c>
      <c r="C224" s="14">
        <f>A224-A278</f>
        <v>18</v>
      </c>
      <c r="D224" s="14">
        <f>A224-A290</f>
        <v>22</v>
      </c>
      <c r="E224" s="14">
        <f>A224-A230</f>
        <v>2</v>
      </c>
      <c r="F224" s="14">
        <f>A224-A308</f>
        <v>28</v>
      </c>
      <c r="G224" s="14">
        <f>A224-A230</f>
        <v>2</v>
      </c>
      <c r="H224" s="14">
        <f>A224-A239</f>
        <v>5</v>
      </c>
      <c r="I224" s="45"/>
      <c r="J224" s="156">
        <f>A224-A263-1</f>
        <v>12</v>
      </c>
      <c r="K224" s="45"/>
      <c r="L224" s="186">
        <v>45985</v>
      </c>
      <c r="M224" s="45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55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146"/>
      <c r="AI224" s="150"/>
      <c r="DY224" s="43"/>
      <c r="DZ224" s="20"/>
      <c r="EA224" s="81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</row>
    <row r="225" spans="1:174" s="13" customFormat="1" ht="13.2" customHeight="1" x14ac:dyDescent="0.25">
      <c r="A225" s="178"/>
      <c r="B225" s="180"/>
      <c r="C225" s="118">
        <v>24</v>
      </c>
      <c r="D225" s="118">
        <v>34</v>
      </c>
      <c r="E225" s="118">
        <v>59</v>
      </c>
      <c r="F225" s="118">
        <v>60</v>
      </c>
      <c r="G225" s="118">
        <v>61</v>
      </c>
      <c r="H225" s="118">
        <v>70</v>
      </c>
      <c r="I225" s="45"/>
      <c r="J225" s="118">
        <v>53</v>
      </c>
      <c r="K225" s="45"/>
      <c r="L225" s="186"/>
      <c r="M225" s="45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55"/>
      <c r="Y225" s="146"/>
      <c r="Z225" s="146"/>
      <c r="AA225" s="146"/>
      <c r="AB225" s="146"/>
      <c r="AC225" s="146"/>
      <c r="AD225" s="146"/>
      <c r="AE225" s="146"/>
      <c r="AF225" s="146"/>
      <c r="AG225" s="146"/>
      <c r="AH225" s="146"/>
      <c r="AI225" s="150"/>
      <c r="DY225" s="43"/>
      <c r="DZ225" s="20"/>
      <c r="EA225" s="81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</row>
    <row r="226" spans="1:174" s="13" customFormat="1" ht="13.2" customHeight="1" x14ac:dyDescent="0.25">
      <c r="A226" s="179"/>
      <c r="B226" s="180"/>
      <c r="C226" s="10">
        <f>C280+1</f>
        <v>4</v>
      </c>
      <c r="D226" s="10">
        <f>G292+1</f>
        <v>3</v>
      </c>
      <c r="E226" s="10">
        <f>E232+1</f>
        <v>3</v>
      </c>
      <c r="F226" s="10">
        <f>F310+1</f>
        <v>2</v>
      </c>
      <c r="G226" s="10">
        <f>F232+1</f>
        <v>5</v>
      </c>
      <c r="H226" s="10">
        <f>G241+1</f>
        <v>4</v>
      </c>
      <c r="I226" s="45"/>
      <c r="J226" s="156">
        <f>J265+1</f>
        <v>6</v>
      </c>
      <c r="K226" s="45"/>
      <c r="L226" s="186"/>
      <c r="M226" s="45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55"/>
      <c r="Y226" s="146"/>
      <c r="Z226" s="146"/>
      <c r="AA226" s="146"/>
      <c r="AB226" s="146"/>
      <c r="AC226" s="146"/>
      <c r="AD226" s="146"/>
      <c r="AE226" s="146"/>
      <c r="AF226" s="146"/>
      <c r="AG226" s="146"/>
      <c r="AH226" s="146"/>
      <c r="AI226" s="150"/>
      <c r="DY226" s="43"/>
      <c r="DZ226" s="20"/>
      <c r="EA226" s="81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</row>
    <row r="227" spans="1:174" s="13" customFormat="1" ht="13.2" customHeight="1" x14ac:dyDescent="0.25">
      <c r="A227" s="177">
        <v>41</v>
      </c>
      <c r="B227" s="180">
        <v>73</v>
      </c>
      <c r="C227" s="14">
        <f>A227-A245</f>
        <v>6</v>
      </c>
      <c r="D227" s="14">
        <f>A227-A233</f>
        <v>2</v>
      </c>
      <c r="E227" s="14">
        <f>A227-A236</f>
        <v>3</v>
      </c>
      <c r="F227" s="14">
        <f>A227-A236</f>
        <v>3</v>
      </c>
      <c r="G227" s="14">
        <f>A227-A335</f>
        <v>36</v>
      </c>
      <c r="H227" s="14">
        <f>A227-A245</f>
        <v>6</v>
      </c>
      <c r="I227" s="45"/>
      <c r="J227" s="156">
        <f>A227-A272-1</f>
        <v>14</v>
      </c>
      <c r="K227" s="45"/>
      <c r="L227" s="186">
        <v>45983</v>
      </c>
      <c r="M227" s="45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55"/>
      <c r="Y227" s="146"/>
      <c r="Z227" s="146"/>
      <c r="AA227" s="146"/>
      <c r="AB227" s="146"/>
      <c r="AC227" s="146"/>
      <c r="AD227" s="146"/>
      <c r="AE227" s="146"/>
      <c r="AF227" s="146"/>
      <c r="AG227" s="146"/>
      <c r="AH227" s="146"/>
      <c r="AI227" s="150"/>
      <c r="DY227" s="43"/>
      <c r="DZ227" s="20"/>
      <c r="EA227" s="81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</row>
    <row r="228" spans="1:174" s="13" customFormat="1" ht="13.2" customHeight="1" x14ac:dyDescent="0.25">
      <c r="A228" s="178"/>
      <c r="B228" s="180"/>
      <c r="C228" s="118">
        <v>18</v>
      </c>
      <c r="D228" s="118">
        <v>32</v>
      </c>
      <c r="E228" s="118">
        <v>35</v>
      </c>
      <c r="F228" s="118">
        <v>72</v>
      </c>
      <c r="G228" s="118">
        <v>80</v>
      </c>
      <c r="H228" s="118">
        <v>87</v>
      </c>
      <c r="I228" s="45"/>
      <c r="J228" s="118">
        <v>85</v>
      </c>
      <c r="K228" s="45"/>
      <c r="L228" s="186"/>
      <c r="M228" s="45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55"/>
      <c r="Y228" s="146"/>
      <c r="Z228" s="146"/>
      <c r="AA228" s="146"/>
      <c r="AB228" s="146"/>
      <c r="AC228" s="146"/>
      <c r="AD228" s="146"/>
      <c r="AE228" s="146"/>
      <c r="AF228" s="146"/>
      <c r="AG228" s="146"/>
      <c r="AH228" s="146"/>
      <c r="AI228" s="150"/>
      <c r="DY228" s="43"/>
      <c r="DZ228" s="20"/>
      <c r="EA228" s="81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</row>
    <row r="229" spans="1:174" s="13" customFormat="1" ht="13.2" customHeight="1" x14ac:dyDescent="0.25">
      <c r="A229" s="179"/>
      <c r="B229" s="180"/>
      <c r="C229" s="10">
        <f>D247+1</f>
        <v>5</v>
      </c>
      <c r="D229" s="10">
        <f>F235+1</f>
        <v>6</v>
      </c>
      <c r="E229" s="10">
        <f>J238+1</f>
        <v>5</v>
      </c>
      <c r="F229" s="10">
        <f>G238+1</f>
        <v>4</v>
      </c>
      <c r="G229" s="10">
        <f>H337+1</f>
        <v>2</v>
      </c>
      <c r="H229" s="10">
        <f>F247+1</f>
        <v>4</v>
      </c>
      <c r="I229" s="45"/>
      <c r="J229" s="156">
        <f>H274+1</f>
        <v>3</v>
      </c>
      <c r="K229" s="45"/>
      <c r="L229" s="186"/>
      <c r="M229" s="45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55"/>
      <c r="Y229" s="146"/>
      <c r="Z229" s="146"/>
      <c r="AA229" s="146"/>
      <c r="AB229" s="146"/>
      <c r="AC229" s="146"/>
      <c r="AD229" s="146"/>
      <c r="AE229" s="146"/>
      <c r="AF229" s="146"/>
      <c r="AG229" s="146"/>
      <c r="AH229" s="146"/>
      <c r="AI229" s="150"/>
      <c r="DY229" s="43"/>
      <c r="DZ229" s="20"/>
      <c r="EA229" s="81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</row>
    <row r="230" spans="1:174" s="13" customFormat="1" ht="13.2" customHeight="1" x14ac:dyDescent="0.25">
      <c r="A230" s="177">
        <v>40</v>
      </c>
      <c r="B230" s="180">
        <v>74</v>
      </c>
      <c r="C230" s="14">
        <f>A230-A311</f>
        <v>27</v>
      </c>
      <c r="D230" s="14">
        <f>A230-A266</f>
        <v>12</v>
      </c>
      <c r="E230" s="14">
        <f>A230-A305</f>
        <v>25</v>
      </c>
      <c r="F230" s="14">
        <f>A230-A302</f>
        <v>24</v>
      </c>
      <c r="G230" s="14">
        <f>A230-A311</f>
        <v>27</v>
      </c>
      <c r="H230" s="14">
        <f>A230-A242</f>
        <v>4</v>
      </c>
      <c r="I230" s="45"/>
      <c r="J230" s="156"/>
      <c r="K230" s="45"/>
      <c r="L230" s="186">
        <v>45980</v>
      </c>
      <c r="M230" s="45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55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50"/>
      <c r="DY230" s="43"/>
      <c r="DZ230" s="20"/>
      <c r="EA230" s="81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</row>
    <row r="231" spans="1:174" s="13" customFormat="1" ht="13.2" customHeight="1" x14ac:dyDescent="0.25">
      <c r="A231" s="178"/>
      <c r="B231" s="180"/>
      <c r="C231" s="118">
        <v>5</v>
      </c>
      <c r="D231" s="118">
        <v>15</v>
      </c>
      <c r="E231" s="118">
        <v>59</v>
      </c>
      <c r="F231" s="118">
        <v>61</v>
      </c>
      <c r="G231" s="118">
        <v>82</v>
      </c>
      <c r="H231" s="118">
        <v>86</v>
      </c>
      <c r="I231" s="45"/>
      <c r="J231" s="118"/>
      <c r="K231" s="45"/>
      <c r="L231" s="186"/>
      <c r="M231" s="45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55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50"/>
      <c r="DY231" s="43"/>
      <c r="DZ231" s="20"/>
      <c r="EA231" s="81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</row>
    <row r="232" spans="1:174" s="13" customFormat="1" ht="13.2" customHeight="1" x14ac:dyDescent="0.25">
      <c r="A232" s="179"/>
      <c r="B232" s="180"/>
      <c r="C232" s="10">
        <f>C313+1</f>
        <v>6</v>
      </c>
      <c r="D232" s="10">
        <f>F268+1</f>
        <v>4</v>
      </c>
      <c r="E232" s="10">
        <f>D307+1</f>
        <v>2</v>
      </c>
      <c r="F232" s="10">
        <f>F304+1</f>
        <v>4</v>
      </c>
      <c r="G232" s="10">
        <f>H313+1</f>
        <v>3</v>
      </c>
      <c r="H232" s="10">
        <f>H244+1</f>
        <v>4</v>
      </c>
      <c r="I232" s="45"/>
      <c r="J232" s="156"/>
      <c r="K232" s="45"/>
      <c r="L232" s="186"/>
      <c r="M232" s="45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55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50"/>
      <c r="DY232" s="43"/>
      <c r="DZ232" s="20"/>
      <c r="EA232" s="21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</row>
    <row r="233" spans="1:174" s="13" customFormat="1" ht="13.2" customHeight="1" x14ac:dyDescent="0.25">
      <c r="A233" s="177">
        <v>39</v>
      </c>
      <c r="B233" s="180">
        <v>75</v>
      </c>
      <c r="C233" s="14">
        <f>A233-A358</f>
        <v>39</v>
      </c>
      <c r="D233" s="14">
        <f>A233-A251</f>
        <v>6</v>
      </c>
      <c r="E233" s="14">
        <f>A233-A287</f>
        <v>18</v>
      </c>
      <c r="F233" s="14">
        <f>A233-A242</f>
        <v>3</v>
      </c>
      <c r="G233" s="14">
        <f>A233-A236</f>
        <v>1</v>
      </c>
      <c r="H233" s="14">
        <f>A233-A278</f>
        <v>15</v>
      </c>
      <c r="I233" s="45"/>
      <c r="J233" s="156"/>
      <c r="K233" s="45"/>
      <c r="L233" s="186">
        <v>45978</v>
      </c>
      <c r="M233" s="45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55"/>
      <c r="Y233" s="146"/>
      <c r="Z233" s="146"/>
      <c r="AA233" s="146"/>
      <c r="AB233" s="146"/>
      <c r="AC233" s="146"/>
      <c r="AD233" s="146"/>
      <c r="AE233" s="146"/>
      <c r="AF233" s="146"/>
      <c r="AG233" s="146"/>
      <c r="AH233" s="146"/>
      <c r="AI233" s="150"/>
      <c r="DY233" s="43"/>
      <c r="DZ233" s="20"/>
      <c r="EA233" s="161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</row>
    <row r="234" spans="1:174" s="13" customFormat="1" ht="13.2" customHeight="1" x14ac:dyDescent="0.25">
      <c r="A234" s="178"/>
      <c r="B234" s="180"/>
      <c r="C234" s="118">
        <v>17</v>
      </c>
      <c r="D234" s="118">
        <v>27</v>
      </c>
      <c r="E234" s="118">
        <v>31</v>
      </c>
      <c r="F234" s="118">
        <v>32</v>
      </c>
      <c r="G234" s="118">
        <v>43</v>
      </c>
      <c r="H234" s="118">
        <v>65</v>
      </c>
      <c r="I234" s="45"/>
      <c r="J234" s="118"/>
      <c r="K234" s="45"/>
      <c r="L234" s="186"/>
      <c r="M234" s="45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55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50"/>
      <c r="DY234" s="43"/>
      <c r="DZ234" s="20"/>
      <c r="EA234" s="81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</row>
    <row r="235" spans="1:174" s="13" customFormat="1" ht="13.2" customHeight="1" x14ac:dyDescent="0.25">
      <c r="A235" s="179"/>
      <c r="B235" s="180"/>
      <c r="C235" s="10">
        <v>1</v>
      </c>
      <c r="D235" s="10">
        <f>G253+1</f>
        <v>5</v>
      </c>
      <c r="E235" s="10">
        <f>D289+1</f>
        <v>2</v>
      </c>
      <c r="F235" s="10">
        <f>E244+1</f>
        <v>5</v>
      </c>
      <c r="G235" s="10">
        <f>D238+1</f>
        <v>4</v>
      </c>
      <c r="H235" s="10">
        <f>G280+1</f>
        <v>5</v>
      </c>
      <c r="I235" s="45"/>
      <c r="J235" s="156"/>
      <c r="K235" s="45"/>
      <c r="L235" s="186"/>
      <c r="M235" s="45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55"/>
      <c r="Y235" s="146"/>
      <c r="Z235" s="146"/>
      <c r="AA235" s="146"/>
      <c r="AB235" s="146"/>
      <c r="AC235" s="146"/>
      <c r="AD235" s="146"/>
      <c r="AE235" s="146"/>
      <c r="AF235" s="146"/>
      <c r="AG235" s="146"/>
      <c r="AH235" s="146"/>
      <c r="AI235" s="150"/>
      <c r="DY235" s="43"/>
      <c r="DZ235" s="20"/>
      <c r="EA235" s="81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</row>
    <row r="236" spans="1:174" s="13" customFormat="1" ht="13.2" customHeight="1" x14ac:dyDescent="0.25">
      <c r="A236" s="177">
        <v>38</v>
      </c>
      <c r="B236" s="180">
        <v>76</v>
      </c>
      <c r="C236" s="14">
        <f>A236-A254</f>
        <v>6</v>
      </c>
      <c r="D236" s="14">
        <f>A236-A269</f>
        <v>11</v>
      </c>
      <c r="E236" s="14">
        <f>A236-A263</f>
        <v>9</v>
      </c>
      <c r="F236" s="14">
        <f>A236-A347</f>
        <v>37</v>
      </c>
      <c r="G236" s="14">
        <f>A236-A254</f>
        <v>6</v>
      </c>
      <c r="H236" s="14">
        <f>A236-A245</f>
        <v>3</v>
      </c>
      <c r="I236" s="45"/>
      <c r="J236" s="156">
        <f>A236-A296-1</f>
        <v>19</v>
      </c>
      <c r="K236" s="45"/>
      <c r="L236" s="186">
        <v>45976</v>
      </c>
      <c r="M236" s="45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55"/>
      <c r="Y236" s="146"/>
      <c r="Z236" s="146"/>
      <c r="AA236" s="146"/>
      <c r="AB236" s="146"/>
      <c r="AC236" s="146"/>
      <c r="AD236" s="146"/>
      <c r="AE236" s="146"/>
      <c r="AF236" s="146"/>
      <c r="AG236" s="146"/>
      <c r="AH236" s="146"/>
      <c r="AI236" s="150"/>
      <c r="DY236" s="43"/>
      <c r="DZ236" s="20"/>
      <c r="EA236" s="81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</row>
    <row r="237" spans="1:174" s="13" customFormat="1" ht="13.2" customHeight="1" x14ac:dyDescent="0.25">
      <c r="A237" s="178"/>
      <c r="B237" s="180"/>
      <c r="C237" s="118">
        <v>33</v>
      </c>
      <c r="D237" s="118">
        <v>43</v>
      </c>
      <c r="E237" s="118">
        <v>46</v>
      </c>
      <c r="F237" s="118">
        <v>66</v>
      </c>
      <c r="G237" s="118">
        <v>72</v>
      </c>
      <c r="H237" s="118">
        <v>90</v>
      </c>
      <c r="I237" s="45"/>
      <c r="J237" s="118">
        <v>35</v>
      </c>
      <c r="K237" s="45"/>
      <c r="L237" s="186"/>
      <c r="M237" s="45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55"/>
      <c r="Y237" s="146"/>
      <c r="Z237" s="146"/>
      <c r="AA237" s="146"/>
      <c r="AB237" s="146"/>
      <c r="AC237" s="146"/>
      <c r="AD237" s="146"/>
      <c r="AE237" s="146"/>
      <c r="AF237" s="146"/>
      <c r="AG237" s="146"/>
      <c r="AH237" s="146"/>
      <c r="AI237" s="150"/>
      <c r="DY237" s="43"/>
      <c r="DZ237" s="20"/>
      <c r="EA237" s="81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</row>
    <row r="238" spans="1:174" s="13" customFormat="1" ht="13.2" customHeight="1" x14ac:dyDescent="0.25">
      <c r="A238" s="179"/>
      <c r="B238" s="180"/>
      <c r="C238" s="10">
        <f>C256+1</f>
        <v>6</v>
      </c>
      <c r="D238" s="10">
        <f>E271+1</f>
        <v>3</v>
      </c>
      <c r="E238" s="10">
        <f>F265+1</f>
        <v>2</v>
      </c>
      <c r="F238" s="10">
        <v>1</v>
      </c>
      <c r="G238" s="10">
        <f>G256+1</f>
        <v>3</v>
      </c>
      <c r="H238" s="10">
        <f>H247+1</f>
        <v>4</v>
      </c>
      <c r="I238" s="45"/>
      <c r="J238" s="156">
        <f>D298+1</f>
        <v>4</v>
      </c>
      <c r="K238" s="45"/>
      <c r="L238" s="186"/>
      <c r="M238" s="45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55"/>
      <c r="Y238" s="146"/>
      <c r="Z238" s="146"/>
      <c r="AA238" s="146"/>
      <c r="AB238" s="146"/>
      <c r="AC238" s="146"/>
      <c r="AD238" s="146"/>
      <c r="AE238" s="146"/>
      <c r="AF238" s="146"/>
      <c r="AG238" s="146"/>
      <c r="AH238" s="146"/>
      <c r="AI238" s="150"/>
      <c r="DY238" s="43"/>
      <c r="DZ238" s="20"/>
      <c r="EA238" s="81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</row>
    <row r="239" spans="1:174" s="13" customFormat="1" ht="13.2" customHeight="1" x14ac:dyDescent="0.25">
      <c r="A239" s="177">
        <v>37</v>
      </c>
      <c r="B239" s="180">
        <v>77</v>
      </c>
      <c r="C239" s="14">
        <f>A239-A266</f>
        <v>9</v>
      </c>
      <c r="D239" s="14">
        <f>A239-A290</f>
        <v>17</v>
      </c>
      <c r="E239" s="14">
        <f>A239-A260</f>
        <v>7</v>
      </c>
      <c r="F239" s="14">
        <f>A239-A344</f>
        <v>35</v>
      </c>
      <c r="G239" s="14">
        <f>A239-A296</f>
        <v>19</v>
      </c>
      <c r="H239" s="14">
        <f>A239-A296</f>
        <v>19</v>
      </c>
      <c r="I239" s="45"/>
      <c r="J239" s="156"/>
      <c r="K239" s="45"/>
      <c r="L239" s="186">
        <v>45973</v>
      </c>
      <c r="M239" s="45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55"/>
      <c r="Y239" s="146"/>
      <c r="Z239" s="146"/>
      <c r="AA239" s="146"/>
      <c r="AB239" s="146"/>
      <c r="AC239" s="146"/>
      <c r="AD239" s="146"/>
      <c r="AE239" s="146"/>
      <c r="AF239" s="146"/>
      <c r="AG239" s="146"/>
      <c r="AH239" s="146"/>
      <c r="AI239" s="150"/>
      <c r="AJ239" s="19"/>
      <c r="AK239" s="19"/>
      <c r="AL239" s="19"/>
      <c r="AM239" s="19"/>
      <c r="AN239" s="42"/>
      <c r="AO239" s="54"/>
      <c r="AP239" s="19"/>
      <c r="AQ239" s="1"/>
      <c r="AR239" s="74"/>
      <c r="AS239" s="42"/>
      <c r="AT239" s="54"/>
      <c r="AU239" s="54"/>
      <c r="AV239" s="19"/>
      <c r="AW239" s="54"/>
      <c r="AX239" s="57"/>
      <c r="AY239" s="54"/>
      <c r="AZ239" s="54"/>
      <c r="BA239" s="54"/>
      <c r="BB239" s="54"/>
      <c r="BC239" s="57"/>
      <c r="BD239" s="19"/>
      <c r="BE239" s="19"/>
      <c r="BF239" s="19"/>
      <c r="BG239" s="54"/>
      <c r="BH239" s="43"/>
      <c r="BI239" s="54"/>
      <c r="BJ239" s="55"/>
      <c r="BK239" s="55"/>
      <c r="BL239" s="54"/>
      <c r="BM239" s="56"/>
      <c r="BN239" s="56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  <c r="CE239" s="52"/>
      <c r="CF239" s="52"/>
      <c r="CG239" s="52"/>
      <c r="CH239" s="52"/>
      <c r="CI239" s="52"/>
      <c r="CJ239" s="52"/>
      <c r="CK239" s="52"/>
      <c r="CL239" s="52"/>
      <c r="CM239" s="52"/>
      <c r="CN239" s="52"/>
      <c r="CO239" s="52"/>
      <c r="CP239" s="52"/>
      <c r="CQ239" s="52"/>
      <c r="CR239" s="52"/>
      <c r="CS239" s="52"/>
      <c r="CT239" s="52"/>
      <c r="CU239" s="52"/>
      <c r="CV239" s="52"/>
      <c r="CW239" s="52"/>
      <c r="CX239" s="52"/>
      <c r="CY239" s="52"/>
      <c r="CZ239" s="52"/>
      <c r="DA239" s="52"/>
      <c r="DB239" s="52"/>
      <c r="DC239" s="52"/>
      <c r="DD239" s="52"/>
      <c r="DE239" s="52"/>
      <c r="DF239" s="52"/>
      <c r="DG239" s="52"/>
      <c r="DH239" s="52"/>
      <c r="DI239" s="52"/>
      <c r="DJ239" s="52"/>
      <c r="DK239" s="52"/>
      <c r="DL239" s="52"/>
      <c r="DM239" s="52"/>
      <c r="DN239" s="52"/>
      <c r="DO239" s="52"/>
      <c r="DP239" s="52"/>
      <c r="DQ239" s="52"/>
      <c r="DR239" s="52"/>
      <c r="DS239" s="52"/>
      <c r="DT239" s="52"/>
      <c r="DU239" s="52"/>
      <c r="DV239" s="52"/>
      <c r="DW239" s="52"/>
      <c r="DX239" s="52"/>
      <c r="DY239" s="43"/>
      <c r="DZ239" s="20"/>
      <c r="EA239" s="81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</row>
    <row r="240" spans="1:174" ht="13.2" customHeight="1" x14ac:dyDescent="0.25">
      <c r="A240" s="178"/>
      <c r="B240" s="180"/>
      <c r="C240" s="118">
        <v>1</v>
      </c>
      <c r="D240" s="118">
        <v>8</v>
      </c>
      <c r="E240" s="118">
        <v>25</v>
      </c>
      <c r="F240" s="118">
        <v>38</v>
      </c>
      <c r="G240" s="118">
        <v>70</v>
      </c>
      <c r="H240" s="118">
        <v>83</v>
      </c>
      <c r="I240" s="45"/>
      <c r="J240" s="118"/>
      <c r="K240" s="45"/>
      <c r="L240" s="186"/>
      <c r="M240" s="45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55"/>
      <c r="Y240" s="146"/>
      <c r="Z240" s="146"/>
      <c r="AA240" s="146"/>
      <c r="AB240" s="146"/>
      <c r="AC240" s="146"/>
      <c r="AD240" s="146"/>
      <c r="AE240" s="146"/>
      <c r="AF240" s="146"/>
      <c r="AG240" s="146"/>
      <c r="AH240" s="146"/>
      <c r="AI240" s="150"/>
      <c r="DZ240" s="20"/>
      <c r="EA240" s="81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</row>
    <row r="241" spans="1:183" s="1" customFormat="1" ht="13.2" customHeight="1" x14ac:dyDescent="0.25">
      <c r="A241" s="179"/>
      <c r="B241" s="180"/>
      <c r="C241" s="10">
        <f>C268+1</f>
        <v>3</v>
      </c>
      <c r="D241" s="10">
        <f>C292+1</f>
        <v>2</v>
      </c>
      <c r="E241" s="10">
        <f>E262+1</f>
        <v>3</v>
      </c>
      <c r="F241" s="10">
        <v>1</v>
      </c>
      <c r="G241" s="10">
        <f>F298+1</f>
        <v>3</v>
      </c>
      <c r="H241" s="10">
        <f>H298+1</f>
        <v>4</v>
      </c>
      <c r="I241" s="45"/>
      <c r="J241" s="156"/>
      <c r="K241" s="45"/>
      <c r="L241" s="186"/>
      <c r="M241" s="45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55"/>
      <c r="Y241" s="146"/>
      <c r="Z241" s="146"/>
      <c r="AA241" s="146"/>
      <c r="AB241" s="146"/>
      <c r="AC241" s="146"/>
      <c r="AD241" s="146"/>
      <c r="AE241" s="146"/>
      <c r="AF241" s="146"/>
      <c r="AG241" s="146"/>
      <c r="AH241" s="146"/>
      <c r="AI241" s="150"/>
      <c r="DY241" s="43"/>
      <c r="DZ241" s="20"/>
      <c r="EA241" s="81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3"/>
      <c r="FT241" s="13"/>
      <c r="FU241" s="13"/>
      <c r="FV241" s="13"/>
      <c r="FW241" s="13"/>
      <c r="FX241" s="13"/>
      <c r="FY241" s="13"/>
      <c r="FZ241" s="13"/>
      <c r="GA241" s="13"/>
    </row>
    <row r="242" spans="1:183" ht="13.2" customHeight="1" x14ac:dyDescent="0.25">
      <c r="A242" s="177">
        <v>36</v>
      </c>
      <c r="B242" s="180">
        <v>78</v>
      </c>
      <c r="C242" s="14">
        <f>A242-A257</f>
        <v>5</v>
      </c>
      <c r="D242" s="14">
        <f>A242-A251</f>
        <v>3</v>
      </c>
      <c r="E242" s="14">
        <f>A242-A299</f>
        <v>19</v>
      </c>
      <c r="F242" s="14">
        <f>A242-A269</f>
        <v>9</v>
      </c>
      <c r="G242" s="14">
        <f>A242-A254</f>
        <v>4</v>
      </c>
      <c r="H242" s="14">
        <f>A242-A272</f>
        <v>10</v>
      </c>
      <c r="I242" s="45"/>
      <c r="J242" s="156"/>
      <c r="K242" s="45"/>
      <c r="L242" s="186">
        <v>45971</v>
      </c>
      <c r="M242" s="45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55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146"/>
      <c r="AI242" s="150"/>
      <c r="DZ242" s="20"/>
      <c r="EA242" s="81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</row>
    <row r="243" spans="1:183" s="13" customFormat="1" ht="13.2" customHeight="1" x14ac:dyDescent="0.25">
      <c r="A243" s="178"/>
      <c r="B243" s="180"/>
      <c r="C243" s="118">
        <v>2</v>
      </c>
      <c r="D243" s="118">
        <v>16</v>
      </c>
      <c r="E243" s="118">
        <v>32</v>
      </c>
      <c r="F243" s="118">
        <v>75</v>
      </c>
      <c r="G243" s="118">
        <v>76</v>
      </c>
      <c r="H243" s="118">
        <v>86</v>
      </c>
      <c r="I243" s="45"/>
      <c r="J243" s="118"/>
      <c r="K243" s="45"/>
      <c r="L243" s="186"/>
      <c r="M243" s="45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55"/>
      <c r="Y243" s="146"/>
      <c r="Z243" s="146"/>
      <c r="AA243" s="146"/>
      <c r="AB243" s="146"/>
      <c r="AC243" s="146"/>
      <c r="AD243" s="146"/>
      <c r="AE243" s="146"/>
      <c r="AF243" s="146"/>
      <c r="AG243" s="146"/>
      <c r="AH243" s="146"/>
      <c r="AI243" s="150"/>
      <c r="DY243" s="43"/>
      <c r="DZ243" s="20"/>
      <c r="EA243" s="21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</row>
    <row r="244" spans="1:183" s="13" customFormat="1" ht="13.2" customHeight="1" x14ac:dyDescent="0.25">
      <c r="A244" s="179"/>
      <c r="B244" s="180"/>
      <c r="C244" s="10">
        <f>C259+1</f>
        <v>5</v>
      </c>
      <c r="D244" s="10">
        <f>C265+1</f>
        <v>3</v>
      </c>
      <c r="E244" s="10">
        <f>D301+1</f>
        <v>4</v>
      </c>
      <c r="F244" s="10">
        <f>G271+1</f>
        <v>3</v>
      </c>
      <c r="G244" s="10">
        <f>H256+1</f>
        <v>4</v>
      </c>
      <c r="H244" s="10">
        <f>H274+1</f>
        <v>3</v>
      </c>
      <c r="I244" s="45"/>
      <c r="J244" s="156"/>
      <c r="K244" s="45"/>
      <c r="L244" s="186"/>
      <c r="M244" s="45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55"/>
      <c r="Y244" s="146"/>
      <c r="Z244" s="146"/>
      <c r="AA244" s="146"/>
      <c r="AB244" s="146"/>
      <c r="AC244" s="146"/>
      <c r="AD244" s="146"/>
      <c r="AE244" s="146"/>
      <c r="AF244" s="146"/>
      <c r="AG244" s="146"/>
      <c r="AH244" s="146"/>
      <c r="AI244" s="150"/>
      <c r="DY244" s="43"/>
      <c r="DZ244" s="20"/>
      <c r="EA244" s="21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</row>
    <row r="245" spans="1:183" s="13" customFormat="1" ht="13.2" customHeight="1" x14ac:dyDescent="0.25">
      <c r="A245" s="177">
        <v>35</v>
      </c>
      <c r="B245" s="180">
        <v>79</v>
      </c>
      <c r="C245" s="14">
        <f>A245-A260</f>
        <v>5</v>
      </c>
      <c r="D245" s="14">
        <f>A245-A257</f>
        <v>4</v>
      </c>
      <c r="E245" s="14">
        <f>A245-A272</f>
        <v>9</v>
      </c>
      <c r="F245" s="14">
        <f>A245-A299</f>
        <v>18</v>
      </c>
      <c r="G245" s="14">
        <f>A245-A269</f>
        <v>8</v>
      </c>
      <c r="H245" s="17">
        <f>A245-A275</f>
        <v>10</v>
      </c>
      <c r="I245" s="45"/>
      <c r="J245" s="158"/>
      <c r="K245" s="45"/>
      <c r="L245" s="186">
        <v>45969</v>
      </c>
      <c r="M245" s="45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55"/>
      <c r="Y245" s="146"/>
      <c r="Z245" s="146"/>
      <c r="AA245" s="146"/>
      <c r="AB245" s="146"/>
      <c r="AC245" s="146"/>
      <c r="AD245" s="146"/>
      <c r="AE245" s="146"/>
      <c r="AF245" s="146"/>
      <c r="AG245" s="146"/>
      <c r="AH245" s="146"/>
      <c r="AI245" s="150"/>
      <c r="DY245" s="43"/>
      <c r="DZ245" s="20"/>
      <c r="EA245" s="21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</row>
    <row r="246" spans="1:183" s="13" customFormat="1" ht="13.2" customHeight="1" x14ac:dyDescent="0.25">
      <c r="A246" s="178"/>
      <c r="B246" s="180"/>
      <c r="C246" s="118">
        <v>4</v>
      </c>
      <c r="D246" s="118">
        <v>18</v>
      </c>
      <c r="E246" s="118">
        <v>39</v>
      </c>
      <c r="F246" s="118">
        <v>87</v>
      </c>
      <c r="G246" s="118">
        <v>88</v>
      </c>
      <c r="H246" s="114">
        <v>90</v>
      </c>
      <c r="I246" s="45"/>
      <c r="J246" s="114"/>
      <c r="K246" s="45"/>
      <c r="L246" s="186"/>
      <c r="M246" s="45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55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50"/>
      <c r="DY246" s="43"/>
      <c r="DZ246" s="20"/>
      <c r="EA246" s="21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</row>
    <row r="247" spans="1:183" s="13" customFormat="1" ht="13.2" customHeight="1" x14ac:dyDescent="0.25">
      <c r="A247" s="179"/>
      <c r="B247" s="180"/>
      <c r="C247" s="10">
        <f>C262+1</f>
        <v>5</v>
      </c>
      <c r="D247" s="10">
        <f>F259+1</f>
        <v>4</v>
      </c>
      <c r="E247" s="10">
        <f>F274+1</f>
        <v>6</v>
      </c>
      <c r="F247" s="10">
        <f>H301+1</f>
        <v>3</v>
      </c>
      <c r="G247" s="10">
        <f>H271+1</f>
        <v>3</v>
      </c>
      <c r="H247" s="18">
        <f>H277+1</f>
        <v>3</v>
      </c>
      <c r="I247" s="45"/>
      <c r="J247" s="158"/>
      <c r="K247" s="45"/>
      <c r="L247" s="186"/>
      <c r="M247" s="45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55"/>
      <c r="Y247" s="146"/>
      <c r="Z247" s="146"/>
      <c r="AA247" s="146"/>
      <c r="AB247" s="146"/>
      <c r="AC247" s="146"/>
      <c r="AD247" s="146"/>
      <c r="AE247" s="146"/>
      <c r="AF247" s="146"/>
      <c r="AG247" s="146"/>
      <c r="AH247" s="146"/>
      <c r="AI247" s="150"/>
      <c r="DY247" s="43"/>
      <c r="DZ247" s="20"/>
      <c r="EA247" s="21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</row>
    <row r="248" spans="1:183" s="13" customFormat="1" ht="13.2" customHeight="1" x14ac:dyDescent="0.25">
      <c r="A248" s="177">
        <v>34</v>
      </c>
      <c r="B248" s="180">
        <v>80</v>
      </c>
      <c r="C248" s="14">
        <f>A248-A251</f>
        <v>1</v>
      </c>
      <c r="D248" s="14">
        <f>A248-A254</f>
        <v>2</v>
      </c>
      <c r="E248" s="14">
        <f>A248-A299</f>
        <v>17</v>
      </c>
      <c r="F248" s="14">
        <f>A248-A278</f>
        <v>10</v>
      </c>
      <c r="G248" s="14">
        <f>A248-A263</f>
        <v>5</v>
      </c>
      <c r="H248" s="14">
        <f>A248-A344</f>
        <v>32</v>
      </c>
      <c r="I248" s="45"/>
      <c r="J248" s="156"/>
      <c r="K248" s="45"/>
      <c r="L248" s="186">
        <v>45966</v>
      </c>
      <c r="M248" s="45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55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50"/>
      <c r="DY248" s="43"/>
      <c r="DZ248" s="20"/>
      <c r="EA248" s="21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</row>
    <row r="249" spans="1:183" s="13" customFormat="1" ht="13.2" customHeight="1" x14ac:dyDescent="0.25">
      <c r="A249" s="178"/>
      <c r="B249" s="180"/>
      <c r="C249" s="118">
        <v>14</v>
      </c>
      <c r="D249" s="118">
        <v>45</v>
      </c>
      <c r="E249" s="118">
        <v>49</v>
      </c>
      <c r="F249" s="118">
        <v>68</v>
      </c>
      <c r="G249" s="118">
        <v>79</v>
      </c>
      <c r="H249" s="118">
        <v>81</v>
      </c>
      <c r="I249" s="45"/>
      <c r="J249" s="118"/>
      <c r="K249" s="45"/>
      <c r="L249" s="186"/>
      <c r="M249" s="45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55"/>
      <c r="Y249" s="146"/>
      <c r="Z249" s="146"/>
      <c r="AA249" s="146"/>
      <c r="AB249" s="146"/>
      <c r="AC249" s="146"/>
      <c r="AD249" s="146"/>
      <c r="AE249" s="146"/>
      <c r="AF249" s="146"/>
      <c r="AG249" s="146"/>
      <c r="AH249" s="146"/>
      <c r="AI249" s="150"/>
      <c r="DY249" s="43"/>
      <c r="DZ249" s="20"/>
      <c r="EA249" s="21"/>
      <c r="EB249" s="21"/>
      <c r="EC249" s="21"/>
      <c r="ED249" s="21"/>
      <c r="EE249" s="21"/>
      <c r="EF249" s="21"/>
      <c r="EG249" s="21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5"/>
      <c r="EW249" s="5"/>
      <c r="EX249" s="5"/>
      <c r="EY249" s="5"/>
      <c r="EZ249" s="5"/>
      <c r="FA249" s="5"/>
      <c r="FB249" s="5"/>
      <c r="FC249" s="5"/>
      <c r="FD249" s="5"/>
      <c r="FE249" s="20"/>
      <c r="FF249" s="20"/>
      <c r="FG249" s="20"/>
      <c r="FH249" s="20"/>
      <c r="FI249" s="20"/>
      <c r="FJ249" s="20"/>
      <c r="FK249" s="20"/>
      <c r="FL249" s="20"/>
    </row>
    <row r="250" spans="1:183" s="13" customFormat="1" ht="13.2" customHeight="1" x14ac:dyDescent="0.25">
      <c r="A250" s="179"/>
      <c r="B250" s="180"/>
      <c r="C250" s="10">
        <f>D253+1</f>
        <v>5</v>
      </c>
      <c r="D250" s="10">
        <f>D256+1</f>
        <v>4</v>
      </c>
      <c r="E250" s="10">
        <f>F301+1</f>
        <v>4</v>
      </c>
      <c r="F250" s="10">
        <f>H280+1</f>
        <v>4</v>
      </c>
      <c r="G250" s="10">
        <f>H265+1</f>
        <v>3</v>
      </c>
      <c r="H250" s="10">
        <v>1</v>
      </c>
      <c r="I250" s="45"/>
      <c r="J250" s="156"/>
      <c r="K250" s="45"/>
      <c r="L250" s="186"/>
      <c r="M250" s="45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55"/>
      <c r="Y250" s="146"/>
      <c r="Z250" s="146"/>
      <c r="AA250" s="146"/>
      <c r="AB250" s="146"/>
      <c r="AC250" s="146"/>
      <c r="AD250" s="146"/>
      <c r="AE250" s="146"/>
      <c r="AF250" s="146"/>
      <c r="AG250" s="146"/>
      <c r="AH250" s="146"/>
      <c r="AI250" s="150"/>
      <c r="DY250" s="43"/>
      <c r="DZ250" s="20"/>
      <c r="EA250" s="21"/>
      <c r="EB250" s="21"/>
      <c r="EC250" s="21"/>
      <c r="ED250" s="21"/>
      <c r="EE250" s="21"/>
      <c r="EF250" s="21"/>
      <c r="EG250" s="21"/>
      <c r="EH250" s="20"/>
      <c r="EI250" s="161"/>
      <c r="EJ250" s="161"/>
      <c r="EK250" s="161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5"/>
      <c r="EW250" s="5"/>
      <c r="EX250" s="5"/>
      <c r="EY250" s="5"/>
      <c r="EZ250" s="5"/>
      <c r="FA250" s="5"/>
      <c r="FB250" s="5"/>
      <c r="FC250" s="5"/>
      <c r="FD250" s="5"/>
      <c r="FE250" s="20"/>
      <c r="FF250" s="20"/>
      <c r="FG250" s="20"/>
      <c r="FH250" s="20"/>
      <c r="FI250" s="20"/>
      <c r="FJ250" s="20"/>
      <c r="FK250" s="20"/>
      <c r="FL250" s="20"/>
    </row>
    <row r="251" spans="1:183" s="13" customFormat="1" ht="13.2" customHeight="1" x14ac:dyDescent="0.25">
      <c r="A251" s="177">
        <v>33</v>
      </c>
      <c r="B251" s="180">
        <v>81</v>
      </c>
      <c r="C251" s="14">
        <f>A251-A266</f>
        <v>5</v>
      </c>
      <c r="D251" s="14">
        <f>A251-A296</f>
        <v>15</v>
      </c>
      <c r="E251" s="14">
        <f>A251-A263</f>
        <v>4</v>
      </c>
      <c r="F251" s="14">
        <f>A251-A263</f>
        <v>4</v>
      </c>
      <c r="G251" s="14">
        <f>A251-A263</f>
        <v>4</v>
      </c>
      <c r="H251" s="14">
        <f>A251-A305</f>
        <v>18</v>
      </c>
      <c r="I251" s="45"/>
      <c r="J251" s="156"/>
      <c r="K251" s="45"/>
      <c r="L251" s="186">
        <v>45964</v>
      </c>
      <c r="M251" s="45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55"/>
      <c r="Y251" s="146"/>
      <c r="Z251" s="146"/>
      <c r="AA251" s="146"/>
      <c r="AB251" s="146"/>
      <c r="AC251" s="146"/>
      <c r="AD251" s="146"/>
      <c r="AE251" s="146"/>
      <c r="AF251" s="146"/>
      <c r="AG251" s="146"/>
      <c r="AH251" s="146"/>
      <c r="AI251" s="150"/>
      <c r="DY251" s="43"/>
      <c r="DZ251" s="20"/>
      <c r="EA251" s="21"/>
      <c r="EB251" s="21"/>
      <c r="EC251" s="21"/>
      <c r="ED251" s="21"/>
      <c r="EE251" s="21"/>
      <c r="EF251" s="21"/>
      <c r="EG251" s="21"/>
      <c r="EH251" s="20"/>
      <c r="EI251" s="11"/>
      <c r="EJ251" s="11"/>
      <c r="EK251" s="11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5"/>
      <c r="EW251" s="5"/>
      <c r="EX251" s="5"/>
      <c r="EY251" s="5"/>
      <c r="EZ251" s="5"/>
      <c r="FA251" s="5"/>
      <c r="FB251" s="5"/>
      <c r="FC251" s="5"/>
      <c r="FD251" s="5"/>
      <c r="FE251" s="20"/>
      <c r="FF251" s="20"/>
      <c r="FG251" s="20"/>
      <c r="FH251" s="20"/>
      <c r="FI251" s="20"/>
      <c r="FJ251" s="20"/>
      <c r="FK251" s="20"/>
      <c r="FL251" s="20"/>
    </row>
    <row r="252" spans="1:183" s="13" customFormat="1" ht="13.2" customHeight="1" x14ac:dyDescent="0.25">
      <c r="A252" s="178"/>
      <c r="B252" s="180"/>
      <c r="C252" s="118">
        <v>7</v>
      </c>
      <c r="D252" s="118">
        <v>14</v>
      </c>
      <c r="E252" s="118">
        <v>16</v>
      </c>
      <c r="F252" s="118">
        <v>20</v>
      </c>
      <c r="G252" s="118">
        <v>27</v>
      </c>
      <c r="H252" s="118">
        <v>62</v>
      </c>
      <c r="I252" s="45"/>
      <c r="J252" s="118"/>
      <c r="K252" s="45"/>
      <c r="L252" s="186"/>
      <c r="M252" s="45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55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50"/>
      <c r="DY252" s="43"/>
      <c r="DZ252" s="20"/>
      <c r="EA252" s="21"/>
      <c r="EB252" s="21"/>
      <c r="EC252" s="21"/>
      <c r="ED252" s="21"/>
      <c r="EE252" s="21"/>
      <c r="EF252" s="21"/>
      <c r="EG252" s="21"/>
      <c r="EH252" s="20"/>
      <c r="EI252" s="11"/>
      <c r="EJ252" s="11"/>
      <c r="EK252" s="11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5"/>
      <c r="EW252" s="5"/>
      <c r="EX252" s="5"/>
      <c r="EY252" s="5"/>
      <c r="EZ252" s="5"/>
      <c r="FA252" s="5"/>
      <c r="FB252" s="5"/>
      <c r="FC252" s="5"/>
      <c r="FD252" s="5"/>
      <c r="FE252" s="20"/>
      <c r="FF252" s="20"/>
      <c r="FG252" s="20"/>
      <c r="FH252" s="20"/>
      <c r="FI252" s="20"/>
      <c r="FJ252" s="20"/>
      <c r="FK252" s="20"/>
      <c r="FL252" s="20"/>
    </row>
    <row r="253" spans="1:183" s="13" customFormat="1" ht="13.2" customHeight="1" x14ac:dyDescent="0.25">
      <c r="A253" s="179"/>
      <c r="B253" s="180"/>
      <c r="C253" s="10">
        <f>D268+1</f>
        <v>6</v>
      </c>
      <c r="D253" s="10">
        <f>C298+1</f>
        <v>4</v>
      </c>
      <c r="E253" s="10">
        <f>C265+1</f>
        <v>3</v>
      </c>
      <c r="F253" s="10">
        <f>D265+1</f>
        <v>2</v>
      </c>
      <c r="G253" s="10">
        <f>E265+1</f>
        <v>4</v>
      </c>
      <c r="H253" s="10">
        <f>E307+1</f>
        <v>3</v>
      </c>
      <c r="I253" s="45"/>
      <c r="J253" s="156"/>
      <c r="K253" s="45"/>
      <c r="L253" s="186"/>
      <c r="M253" s="45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55"/>
      <c r="Y253" s="146"/>
      <c r="Z253" s="146"/>
      <c r="AA253" s="146"/>
      <c r="AB253" s="146"/>
      <c r="AC253" s="146"/>
      <c r="AD253" s="146"/>
      <c r="AE253" s="146"/>
      <c r="AF253" s="146"/>
      <c r="AG253" s="146"/>
      <c r="AH253" s="146"/>
      <c r="AI253" s="150"/>
      <c r="DY253" s="43"/>
      <c r="DZ253" s="20"/>
      <c r="EA253" s="21"/>
      <c r="EB253" s="21"/>
      <c r="EC253" s="21"/>
      <c r="ED253" s="21"/>
      <c r="EE253" s="21"/>
      <c r="EF253" s="21"/>
      <c r="EG253" s="21"/>
      <c r="EH253" s="20"/>
      <c r="EI253" s="11"/>
      <c r="EJ253" s="11"/>
      <c r="EK253" s="11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5"/>
      <c r="EW253" s="5"/>
      <c r="EX253" s="5"/>
      <c r="EY253" s="5"/>
      <c r="EZ253" s="5"/>
      <c r="FA253" s="5"/>
      <c r="FB253" s="5"/>
      <c r="FC253" s="5"/>
      <c r="FD253" s="5"/>
      <c r="FE253" s="20"/>
      <c r="FF253" s="20"/>
      <c r="FG253" s="20"/>
      <c r="FH253" s="20"/>
      <c r="FI253" s="20"/>
      <c r="FJ253" s="20"/>
      <c r="FK253" s="20"/>
      <c r="FL253" s="20"/>
    </row>
    <row r="254" spans="1:183" s="13" customFormat="1" ht="13.2" customHeight="1" x14ac:dyDescent="0.25">
      <c r="A254" s="177">
        <v>32</v>
      </c>
      <c r="B254" s="180">
        <v>82</v>
      </c>
      <c r="C254" s="14">
        <f>A254-A266</f>
        <v>4</v>
      </c>
      <c r="D254" s="14">
        <f>A254-A260</f>
        <v>2</v>
      </c>
      <c r="E254" s="14">
        <f>A254-A314</f>
        <v>20</v>
      </c>
      <c r="F254" s="14">
        <f>A254-A278</f>
        <v>8</v>
      </c>
      <c r="G254" s="14">
        <f>A254-A338</f>
        <v>28</v>
      </c>
      <c r="H254" s="14">
        <f>A254-A296</f>
        <v>14</v>
      </c>
      <c r="I254" s="47"/>
      <c r="J254" s="156"/>
      <c r="K254" s="47"/>
      <c r="L254" s="186">
        <v>45962</v>
      </c>
      <c r="M254" s="47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55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52"/>
      <c r="DY254" s="43"/>
      <c r="DZ254" s="5"/>
      <c r="EA254" s="21"/>
      <c r="EB254" s="21"/>
      <c r="EC254" s="21"/>
      <c r="ED254" s="21"/>
      <c r="EE254" s="21"/>
      <c r="EF254" s="21"/>
      <c r="EG254" s="21"/>
      <c r="EH254" s="20"/>
      <c r="EI254" s="11"/>
      <c r="EJ254" s="11"/>
      <c r="EK254" s="11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</row>
    <row r="255" spans="1:183" s="13" customFormat="1" ht="13.2" customHeight="1" x14ac:dyDescent="0.25">
      <c r="A255" s="178"/>
      <c r="B255" s="180"/>
      <c r="C255" s="118">
        <v>33</v>
      </c>
      <c r="D255" s="118">
        <v>45</v>
      </c>
      <c r="E255" s="118">
        <v>47</v>
      </c>
      <c r="F255" s="118">
        <v>50</v>
      </c>
      <c r="G255" s="118">
        <v>72</v>
      </c>
      <c r="H255" s="118">
        <v>76</v>
      </c>
      <c r="I255" s="47"/>
      <c r="J255" s="118"/>
      <c r="K255" s="47"/>
      <c r="L255" s="186"/>
      <c r="M255" s="47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55"/>
      <c r="Y255" s="146"/>
      <c r="Z255" s="146"/>
      <c r="AA255" s="146"/>
      <c r="AB255" s="146"/>
      <c r="AC255" s="146"/>
      <c r="AD255" s="146"/>
      <c r="AE255" s="146"/>
      <c r="AF255" s="146"/>
      <c r="AG255" s="146"/>
      <c r="AH255" s="146"/>
      <c r="AI255" s="152"/>
      <c r="DY255" s="43"/>
      <c r="DZ255" s="5"/>
      <c r="EA255" s="21"/>
      <c r="EB255" s="21"/>
      <c r="EC255" s="21"/>
      <c r="ED255" s="21"/>
      <c r="EE255" s="21"/>
      <c r="EF255" s="21"/>
      <c r="EG255" s="21"/>
      <c r="EH255" s="20"/>
      <c r="EI255" s="11"/>
      <c r="EJ255" s="11"/>
      <c r="EK255" s="11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</row>
    <row r="256" spans="1:183" s="13" customFormat="1" ht="13.2" customHeight="1" x14ac:dyDescent="0.25">
      <c r="A256" s="179"/>
      <c r="B256" s="180"/>
      <c r="C256" s="10">
        <f>G268+1</f>
        <v>5</v>
      </c>
      <c r="D256" s="10">
        <f>F262+1</f>
        <v>3</v>
      </c>
      <c r="E256" s="10">
        <f>G316+1</f>
        <v>2</v>
      </c>
      <c r="F256" s="10">
        <f>E280+1</f>
        <v>3</v>
      </c>
      <c r="G256" s="10">
        <f>G340+1</f>
        <v>2</v>
      </c>
      <c r="H256" s="10">
        <f>G298+1</f>
        <v>3</v>
      </c>
      <c r="I256" s="47"/>
      <c r="J256" s="156"/>
      <c r="K256" s="47"/>
      <c r="L256" s="186"/>
      <c r="M256" s="47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55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52"/>
      <c r="DY256" s="43"/>
      <c r="DZ256" s="5"/>
      <c r="EA256" s="21"/>
      <c r="EB256" s="21"/>
      <c r="EC256" s="21"/>
      <c r="ED256" s="21"/>
      <c r="EE256" s="21"/>
      <c r="EF256" s="21"/>
      <c r="EG256" s="21"/>
      <c r="EH256" s="20"/>
      <c r="EI256" s="11"/>
      <c r="EJ256" s="11"/>
      <c r="EK256" s="11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</row>
    <row r="257" spans="1:183" s="13" customFormat="1" ht="13.2" customHeight="1" x14ac:dyDescent="0.25">
      <c r="A257" s="177">
        <v>31</v>
      </c>
      <c r="B257" s="180">
        <v>83</v>
      </c>
      <c r="C257" s="14">
        <f>A257-A275-1</f>
        <v>5</v>
      </c>
      <c r="D257" s="14">
        <f>A257-A260-1</f>
        <v>0</v>
      </c>
      <c r="E257" s="14">
        <f>A257-A281-1</f>
        <v>7</v>
      </c>
      <c r="F257" s="14">
        <f>A257-A272-1</f>
        <v>4</v>
      </c>
      <c r="G257" s="14">
        <f>A257-A275-1</f>
        <v>5</v>
      </c>
      <c r="H257" s="14">
        <f>A257-A269-1</f>
        <v>3</v>
      </c>
      <c r="I257" s="47"/>
      <c r="J257" s="156"/>
      <c r="K257" s="47"/>
      <c r="L257" s="186">
        <v>45959</v>
      </c>
      <c r="M257" s="47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55"/>
      <c r="Y257" s="146"/>
      <c r="Z257" s="146"/>
      <c r="AA257" s="146"/>
      <c r="AB257" s="146"/>
      <c r="AC257" s="146"/>
      <c r="AD257" s="146"/>
      <c r="AE257" s="146"/>
      <c r="AF257" s="146"/>
      <c r="AG257" s="146"/>
      <c r="AH257" s="146"/>
      <c r="AI257" s="152"/>
      <c r="DY257" s="43"/>
      <c r="DZ257" s="5"/>
      <c r="EA257" s="21"/>
      <c r="EB257" s="21"/>
      <c r="EC257" s="21"/>
      <c r="ED257" s="21"/>
      <c r="EE257" s="21"/>
      <c r="EF257" s="21"/>
      <c r="EG257" s="21"/>
      <c r="EH257" s="20"/>
      <c r="EI257" s="11"/>
      <c r="EJ257" s="11"/>
      <c r="EK257" s="11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</row>
    <row r="258" spans="1:183" s="13" customFormat="1" ht="13.2" customHeight="1" x14ac:dyDescent="0.25">
      <c r="A258" s="178"/>
      <c r="B258" s="180"/>
      <c r="C258" s="118">
        <v>2</v>
      </c>
      <c r="D258" s="118">
        <v>6</v>
      </c>
      <c r="E258" s="118">
        <v>12</v>
      </c>
      <c r="F258" s="118">
        <v>18</v>
      </c>
      <c r="G258" s="118">
        <v>36</v>
      </c>
      <c r="H258" s="118">
        <v>53</v>
      </c>
      <c r="I258" s="47"/>
      <c r="J258" s="118"/>
      <c r="K258" s="47"/>
      <c r="L258" s="186"/>
      <c r="M258" s="47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55"/>
      <c r="Y258" s="146"/>
      <c r="Z258" s="146"/>
      <c r="AA258" s="146"/>
      <c r="AB258" s="146"/>
      <c r="AC258" s="146"/>
      <c r="AD258" s="146"/>
      <c r="AE258" s="146"/>
      <c r="AF258" s="146"/>
      <c r="AG258" s="146"/>
      <c r="AH258" s="146"/>
      <c r="AI258" s="152"/>
      <c r="AL258" s="56"/>
      <c r="AN258" s="44"/>
      <c r="AQ258" s="1"/>
      <c r="AR258" s="56"/>
      <c r="AS258" s="44"/>
      <c r="AW258" s="56"/>
      <c r="AX258" s="94"/>
      <c r="AY258" s="56"/>
      <c r="AZ258" s="56"/>
      <c r="BA258" s="56"/>
      <c r="BB258" s="56"/>
      <c r="BC258" s="94"/>
      <c r="BG258" s="56"/>
      <c r="BH258" s="44"/>
      <c r="DY258" s="43"/>
      <c r="DZ258" s="5"/>
      <c r="EA258" s="21"/>
      <c r="EB258" s="21"/>
      <c r="EC258" s="21"/>
      <c r="ED258" s="21"/>
      <c r="EE258" s="21"/>
      <c r="EF258" s="21"/>
      <c r="EG258" s="21"/>
      <c r="EH258" s="20"/>
      <c r="EI258" s="11"/>
      <c r="EJ258" s="11"/>
      <c r="EK258" s="11"/>
      <c r="EL258" s="20"/>
      <c r="EM258" s="20"/>
      <c r="EN258" s="20"/>
      <c r="EO258" s="20"/>
      <c r="EP258" s="20"/>
      <c r="EQ258" s="20"/>
      <c r="ER258" s="20"/>
      <c r="ES258" s="20"/>
      <c r="ET258" s="20"/>
      <c r="EU258" s="20"/>
      <c r="EV258" s="20"/>
      <c r="EW258" s="20"/>
      <c r="EX258" s="20"/>
      <c r="EY258" s="20"/>
      <c r="EZ258" s="20"/>
      <c r="FA258" s="20"/>
      <c r="FB258" s="20"/>
      <c r="FC258" s="20"/>
      <c r="FD258" s="20"/>
      <c r="FE258" s="20"/>
      <c r="FF258" s="20"/>
      <c r="FG258" s="20"/>
      <c r="FH258" s="20"/>
      <c r="FI258" s="20"/>
      <c r="FJ258" s="20"/>
      <c r="FK258" s="20"/>
      <c r="FL258" s="20"/>
    </row>
    <row r="259" spans="1:183" s="13" customFormat="1" ht="13.2" customHeight="1" x14ac:dyDescent="0.25">
      <c r="A259" s="179"/>
      <c r="B259" s="180"/>
      <c r="C259" s="10">
        <f>C277+1</f>
        <v>4</v>
      </c>
      <c r="D259" s="10">
        <f>D262+1</f>
        <v>5</v>
      </c>
      <c r="E259" s="10">
        <f>D283+1</f>
        <v>4</v>
      </c>
      <c r="F259" s="10">
        <f>E274+1</f>
        <v>3</v>
      </c>
      <c r="G259" s="10">
        <f>J277+1</f>
        <v>6</v>
      </c>
      <c r="H259" s="10">
        <f>F271+1</f>
        <v>5</v>
      </c>
      <c r="I259" s="47"/>
      <c r="J259" s="156"/>
      <c r="K259" s="47"/>
      <c r="L259" s="186"/>
      <c r="M259" s="47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55"/>
      <c r="Y259" s="146"/>
      <c r="Z259" s="146"/>
      <c r="AA259" s="146"/>
      <c r="AB259" s="146"/>
      <c r="AC259" s="146"/>
      <c r="AD259" s="146"/>
      <c r="AE259" s="146"/>
      <c r="AF259" s="146"/>
      <c r="AG259" s="146"/>
      <c r="AH259" s="146"/>
      <c r="AI259" s="152"/>
      <c r="AJ259" s="19"/>
      <c r="AK259" s="19"/>
      <c r="AL259" s="19"/>
      <c r="AM259" s="19"/>
      <c r="AN259" s="42"/>
      <c r="AO259" s="54"/>
      <c r="AP259" s="19"/>
      <c r="AQ259" s="1"/>
      <c r="AR259" s="74"/>
      <c r="AS259" s="42"/>
      <c r="AT259" s="54"/>
      <c r="AU259" s="54"/>
      <c r="AV259" s="19"/>
      <c r="AW259" s="54"/>
      <c r="AX259" s="57"/>
      <c r="AY259" s="54"/>
      <c r="AZ259" s="54"/>
      <c r="BA259" s="54"/>
      <c r="BB259" s="54"/>
      <c r="BC259" s="57"/>
      <c r="BD259" s="19"/>
      <c r="BE259" s="19"/>
      <c r="BF259" s="19"/>
      <c r="BG259" s="54"/>
      <c r="BH259" s="43"/>
      <c r="BI259" s="54"/>
      <c r="BJ259" s="55"/>
      <c r="BK259" s="55"/>
      <c r="BL259" s="54"/>
      <c r="BM259" s="56"/>
      <c r="BN259" s="56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  <c r="CE259" s="52"/>
      <c r="CF259" s="52"/>
      <c r="CG259" s="52"/>
      <c r="CH259" s="52"/>
      <c r="CI259" s="52"/>
      <c r="CJ259" s="52"/>
      <c r="CK259" s="52"/>
      <c r="CL259" s="52"/>
      <c r="CM259" s="52"/>
      <c r="CN259" s="52"/>
      <c r="CO259" s="52"/>
      <c r="CP259" s="52"/>
      <c r="CQ259" s="52"/>
      <c r="CR259" s="52"/>
      <c r="CS259" s="52"/>
      <c r="CT259" s="52"/>
      <c r="CU259" s="52"/>
      <c r="CV259" s="52"/>
      <c r="CW259" s="52"/>
      <c r="CX259" s="52"/>
      <c r="CY259" s="52"/>
      <c r="CZ259" s="52"/>
      <c r="DA259" s="52"/>
      <c r="DB259" s="52"/>
      <c r="DC259" s="52"/>
      <c r="DD259" s="52"/>
      <c r="DE259" s="52"/>
      <c r="DF259" s="52"/>
      <c r="DG259" s="52"/>
      <c r="DH259" s="52"/>
      <c r="DI259" s="52"/>
      <c r="DJ259" s="52"/>
      <c r="DK259" s="52"/>
      <c r="DL259" s="52"/>
      <c r="DM259" s="52"/>
      <c r="DN259" s="52"/>
      <c r="DO259" s="52"/>
      <c r="DP259" s="52"/>
      <c r="DQ259" s="52"/>
      <c r="DR259" s="52"/>
      <c r="DS259" s="52"/>
      <c r="DT259" s="52"/>
      <c r="DU259" s="52"/>
      <c r="DV259" s="52"/>
      <c r="DW259" s="52"/>
      <c r="DX259" s="52"/>
      <c r="DY259" s="43"/>
      <c r="DZ259" s="5"/>
      <c r="EA259" s="21"/>
      <c r="EB259" s="21"/>
      <c r="EC259" s="21"/>
      <c r="ED259" s="21"/>
      <c r="EE259" s="21"/>
      <c r="EF259" s="21"/>
      <c r="EG259" s="21"/>
      <c r="EH259" s="20"/>
      <c r="EI259" s="11"/>
      <c r="EJ259" s="11"/>
      <c r="EK259" s="11"/>
      <c r="EL259" s="20"/>
      <c r="EM259" s="20"/>
      <c r="EN259" s="20"/>
      <c r="EO259" s="20"/>
      <c r="EP259" s="20"/>
      <c r="EQ259" s="20"/>
      <c r="ER259" s="20"/>
      <c r="ES259" s="20"/>
      <c r="ET259" s="20"/>
      <c r="EU259" s="20"/>
      <c r="EV259" s="20"/>
      <c r="EW259" s="20"/>
      <c r="EX259" s="20"/>
      <c r="EY259" s="20"/>
      <c r="EZ259" s="20"/>
      <c r="FA259" s="20"/>
      <c r="FB259" s="20"/>
      <c r="FC259" s="20"/>
      <c r="FD259" s="20"/>
      <c r="FE259" s="20"/>
      <c r="FF259" s="20"/>
      <c r="FG259" s="20"/>
      <c r="FH259" s="20"/>
      <c r="FI259" s="20"/>
      <c r="FJ259" s="20"/>
      <c r="FK259" s="20"/>
      <c r="FL259" s="20"/>
    </row>
    <row r="260" spans="1:183" s="13" customFormat="1" ht="13.2" customHeight="1" x14ac:dyDescent="0.25">
      <c r="A260" s="177">
        <v>30</v>
      </c>
      <c r="B260" s="180">
        <v>84</v>
      </c>
      <c r="C260" s="14">
        <f>A260-A284</f>
        <v>8</v>
      </c>
      <c r="D260" s="14">
        <f>A260-A281</f>
        <v>7</v>
      </c>
      <c r="E260" s="14">
        <f>A260-A311</f>
        <v>17</v>
      </c>
      <c r="F260" s="14">
        <f>A260-A344</f>
        <v>28</v>
      </c>
      <c r="G260" s="14">
        <f>A260-A263</f>
        <v>1</v>
      </c>
      <c r="H260" s="14">
        <f>A260-A305</f>
        <v>15</v>
      </c>
      <c r="I260" s="47"/>
      <c r="J260" s="156"/>
      <c r="K260" s="47"/>
      <c r="L260" s="186">
        <v>45957</v>
      </c>
      <c r="M260" s="47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55"/>
      <c r="Y260" s="146"/>
      <c r="Z260" s="146"/>
      <c r="AA260" s="146"/>
      <c r="AB260" s="146"/>
      <c r="AC260" s="146"/>
      <c r="AD260" s="146"/>
      <c r="AE260" s="146"/>
      <c r="AF260" s="146"/>
      <c r="AG260" s="146"/>
      <c r="AH260" s="146"/>
      <c r="AI260" s="152"/>
      <c r="AJ260" s="19"/>
      <c r="AK260" s="19"/>
      <c r="AL260" s="19"/>
      <c r="AM260" s="19"/>
      <c r="AN260" s="42"/>
      <c r="AO260" s="54"/>
      <c r="AP260" s="19"/>
      <c r="AQ260" s="1"/>
      <c r="AR260" s="74"/>
      <c r="AS260" s="42"/>
      <c r="AT260" s="54"/>
      <c r="AU260" s="54"/>
      <c r="AV260" s="19"/>
      <c r="AW260" s="54"/>
      <c r="AX260" s="57"/>
      <c r="AY260" s="54"/>
      <c r="AZ260" s="54"/>
      <c r="BA260" s="54"/>
      <c r="BB260" s="54"/>
      <c r="BC260" s="57"/>
      <c r="BD260" s="19"/>
      <c r="BE260" s="19"/>
      <c r="BF260" s="19"/>
      <c r="BG260" s="54"/>
      <c r="BH260" s="43"/>
      <c r="BI260" s="54"/>
      <c r="BJ260" s="55"/>
      <c r="BK260" s="55"/>
      <c r="BL260" s="54"/>
      <c r="BM260" s="56"/>
      <c r="BN260" s="56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  <c r="CE260" s="52"/>
      <c r="CF260" s="52"/>
      <c r="CG260" s="52"/>
      <c r="CH260" s="52"/>
      <c r="CI260" s="52"/>
      <c r="CJ260" s="52"/>
      <c r="CK260" s="52"/>
      <c r="CL260" s="52"/>
      <c r="CM260" s="52"/>
      <c r="CN260" s="52"/>
      <c r="CO260" s="52"/>
      <c r="CP260" s="52"/>
      <c r="CQ260" s="52"/>
      <c r="CR260" s="52"/>
      <c r="CS260" s="52"/>
      <c r="CT260" s="52"/>
      <c r="CU260" s="52"/>
      <c r="CV260" s="52"/>
      <c r="CW260" s="52"/>
      <c r="CX260" s="52"/>
      <c r="CY260" s="52"/>
      <c r="CZ260" s="52"/>
      <c r="DA260" s="52"/>
      <c r="DB260" s="52"/>
      <c r="DC260" s="52"/>
      <c r="DD260" s="52"/>
      <c r="DE260" s="52"/>
      <c r="DF260" s="52"/>
      <c r="DG260" s="52"/>
      <c r="DH260" s="52"/>
      <c r="DI260" s="52"/>
      <c r="DJ260" s="52"/>
      <c r="DK260" s="52"/>
      <c r="DL260" s="52"/>
      <c r="DM260" s="52"/>
      <c r="DN260" s="52"/>
      <c r="DO260" s="52"/>
      <c r="DP260" s="52"/>
      <c r="DQ260" s="52"/>
      <c r="DR260" s="52"/>
      <c r="DS260" s="52"/>
      <c r="DT260" s="52"/>
      <c r="DU260" s="52"/>
      <c r="DV260" s="52"/>
      <c r="DW260" s="52"/>
      <c r="DX260" s="52"/>
      <c r="DY260" s="43"/>
      <c r="DZ260" s="5"/>
      <c r="EA260" s="21"/>
      <c r="EB260" s="21"/>
      <c r="EC260" s="21"/>
      <c r="ED260" s="21"/>
      <c r="EE260" s="21"/>
      <c r="EF260" s="21"/>
      <c r="EG260" s="21"/>
      <c r="EH260" s="20"/>
      <c r="EI260" s="20"/>
      <c r="EJ260" s="20"/>
      <c r="EK260" s="20"/>
      <c r="EL260" s="20"/>
      <c r="EM260" s="20"/>
      <c r="EN260" s="20"/>
      <c r="EO260" s="20"/>
      <c r="EP260" s="20"/>
      <c r="EQ260" s="20"/>
      <c r="ER260" s="20"/>
      <c r="ES260" s="20"/>
      <c r="ET260" s="20"/>
      <c r="EU260" s="20"/>
      <c r="EV260" s="20"/>
      <c r="EW260" s="20"/>
      <c r="EX260" s="20"/>
      <c r="EY260" s="20"/>
      <c r="EZ260" s="20"/>
      <c r="FA260" s="20"/>
      <c r="FB260" s="20"/>
      <c r="FC260" s="20"/>
      <c r="FD260" s="20"/>
      <c r="FE260" s="20"/>
      <c r="FF260" s="20"/>
      <c r="FG260" s="20"/>
      <c r="FH260" s="20"/>
      <c r="FI260" s="20"/>
      <c r="FJ260" s="20"/>
      <c r="FK260" s="20"/>
      <c r="FL260" s="20"/>
    </row>
    <row r="261" spans="1:183" s="13" customFormat="1" ht="13.2" customHeight="1" x14ac:dyDescent="0.25">
      <c r="A261" s="178"/>
      <c r="B261" s="180"/>
      <c r="C261" s="118">
        <v>4</v>
      </c>
      <c r="D261" s="118">
        <v>6</v>
      </c>
      <c r="E261" s="118">
        <v>25</v>
      </c>
      <c r="F261" s="118">
        <v>45</v>
      </c>
      <c r="G261" s="118">
        <v>57</v>
      </c>
      <c r="H261" s="118">
        <v>62</v>
      </c>
      <c r="I261" s="47"/>
      <c r="J261" s="118"/>
      <c r="K261" s="47"/>
      <c r="L261" s="186"/>
      <c r="M261" s="47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55"/>
      <c r="Y261" s="146"/>
      <c r="Z261" s="146"/>
      <c r="AA261" s="146"/>
      <c r="AB261" s="146"/>
      <c r="AC261" s="146"/>
      <c r="AD261" s="146"/>
      <c r="AE261" s="146"/>
      <c r="AF261" s="146"/>
      <c r="AG261" s="146"/>
      <c r="AH261" s="146"/>
      <c r="AI261" s="152"/>
      <c r="AJ261" s="19"/>
      <c r="AK261" s="19"/>
      <c r="AL261" s="19"/>
      <c r="AM261" s="19"/>
      <c r="AN261" s="42"/>
      <c r="AO261" s="54"/>
      <c r="AP261" s="19"/>
      <c r="AQ261" s="1"/>
      <c r="AR261" s="74"/>
      <c r="AS261" s="42"/>
      <c r="AT261" s="54"/>
      <c r="AU261" s="54"/>
      <c r="AV261" s="19"/>
      <c r="AW261" s="54"/>
      <c r="AX261" s="57"/>
      <c r="AY261" s="54"/>
      <c r="AZ261" s="54"/>
      <c r="BA261" s="54"/>
      <c r="BB261" s="54"/>
      <c r="BC261" s="57"/>
      <c r="BD261" s="19"/>
      <c r="BE261" s="19"/>
      <c r="BF261" s="19"/>
      <c r="BG261" s="54"/>
      <c r="BH261" s="43"/>
      <c r="BI261" s="54"/>
      <c r="BJ261" s="55"/>
      <c r="BK261" s="55"/>
      <c r="BL261" s="54"/>
      <c r="BM261" s="56"/>
      <c r="BN261" s="56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  <c r="CC261" s="52"/>
      <c r="CD261" s="52"/>
      <c r="CE261" s="52"/>
      <c r="CF261" s="52"/>
      <c r="CG261" s="52"/>
      <c r="CH261" s="52"/>
      <c r="CI261" s="52"/>
      <c r="CJ261" s="52"/>
      <c r="CK261" s="52"/>
      <c r="CL261" s="52"/>
      <c r="CM261" s="52"/>
      <c r="CN261" s="52"/>
      <c r="CO261" s="52"/>
      <c r="CP261" s="52"/>
      <c r="CQ261" s="52"/>
      <c r="CR261" s="52"/>
      <c r="CS261" s="52"/>
      <c r="CT261" s="52"/>
      <c r="CU261" s="52"/>
      <c r="CV261" s="52"/>
      <c r="CW261" s="52"/>
      <c r="CX261" s="52"/>
      <c r="CY261" s="52"/>
      <c r="CZ261" s="52"/>
      <c r="DA261" s="52"/>
      <c r="DB261" s="52"/>
      <c r="DC261" s="52"/>
      <c r="DD261" s="52"/>
      <c r="DE261" s="52"/>
      <c r="DF261" s="52"/>
      <c r="DG261" s="52"/>
      <c r="DH261" s="52"/>
      <c r="DI261" s="52"/>
      <c r="DJ261" s="52"/>
      <c r="DK261" s="52"/>
      <c r="DL261" s="52"/>
      <c r="DM261" s="52"/>
      <c r="DN261" s="52"/>
      <c r="DO261" s="52"/>
      <c r="DP261" s="52"/>
      <c r="DQ261" s="52"/>
      <c r="DR261" s="52"/>
      <c r="DS261" s="52"/>
      <c r="DT261" s="52"/>
      <c r="DU261" s="52"/>
      <c r="DV261" s="52"/>
      <c r="DW261" s="52"/>
      <c r="DX261" s="52"/>
      <c r="DY261" s="43"/>
      <c r="DZ261" s="5"/>
      <c r="EA261" s="21"/>
      <c r="EB261" s="21"/>
      <c r="EC261" s="21"/>
      <c r="ED261" s="21"/>
      <c r="EE261" s="21"/>
      <c r="EF261" s="21"/>
      <c r="EG261" s="21"/>
      <c r="EH261" s="20"/>
      <c r="EI261" s="20"/>
      <c r="EJ261" s="20"/>
      <c r="EK261" s="20"/>
      <c r="EL261" s="20"/>
      <c r="EM261" s="20"/>
      <c r="EN261" s="20"/>
      <c r="EO261" s="20"/>
      <c r="EP261" s="20"/>
      <c r="EQ261" s="20"/>
      <c r="ER261" s="20"/>
      <c r="ES261" s="20"/>
      <c r="ET261" s="20"/>
      <c r="EU261" s="20"/>
      <c r="EV261" s="20"/>
      <c r="EW261" s="20"/>
      <c r="EX261" s="20"/>
      <c r="EY261" s="20"/>
      <c r="EZ261" s="20"/>
      <c r="FA261" s="20"/>
      <c r="FB261" s="20"/>
      <c r="FC261" s="20"/>
      <c r="FD261" s="20"/>
      <c r="FE261" s="20"/>
      <c r="FF261" s="20"/>
      <c r="FG261" s="20"/>
      <c r="FH261" s="20"/>
      <c r="FI261" s="20"/>
      <c r="FJ261" s="20"/>
      <c r="FK261" s="20"/>
      <c r="FL261" s="20"/>
    </row>
    <row r="262" spans="1:183" s="13" customFormat="1" ht="13.2" customHeight="1" x14ac:dyDescent="0.25">
      <c r="A262" s="179"/>
      <c r="B262" s="180"/>
      <c r="C262" s="10">
        <f>C286+1</f>
        <v>4</v>
      </c>
      <c r="D262" s="10">
        <f>C283+1</f>
        <v>4</v>
      </c>
      <c r="E262" s="10">
        <f>D313+1</f>
        <v>2</v>
      </c>
      <c r="F262" s="10">
        <f>F346+1</f>
        <v>2</v>
      </c>
      <c r="G262" s="10">
        <f>G265+1</f>
        <v>5</v>
      </c>
      <c r="H262" s="10">
        <f>E307+1</f>
        <v>3</v>
      </c>
      <c r="I262" s="47"/>
      <c r="J262" s="156"/>
      <c r="K262" s="47"/>
      <c r="L262" s="186"/>
      <c r="M262" s="47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55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52"/>
      <c r="AJ262" s="19"/>
      <c r="AK262" s="19"/>
      <c r="AL262" s="19"/>
      <c r="AM262" s="19"/>
      <c r="AN262" s="42"/>
      <c r="AO262" s="54"/>
      <c r="AP262" s="19"/>
      <c r="AQ262" s="1"/>
      <c r="AR262" s="74"/>
      <c r="AS262" s="42"/>
      <c r="AT262" s="54"/>
      <c r="AU262" s="54"/>
      <c r="AV262" s="19"/>
      <c r="AW262" s="54"/>
      <c r="AX262" s="57"/>
      <c r="AY262" s="54"/>
      <c r="AZ262" s="54"/>
      <c r="BA262" s="54"/>
      <c r="BB262" s="54"/>
      <c r="BC262" s="57"/>
      <c r="BD262" s="19"/>
      <c r="BE262" s="19"/>
      <c r="BF262" s="19"/>
      <c r="BG262" s="54"/>
      <c r="BH262" s="43"/>
      <c r="BI262" s="54"/>
      <c r="BJ262" s="55"/>
      <c r="BK262" s="55"/>
      <c r="BL262" s="54"/>
      <c r="BM262" s="56"/>
      <c r="BN262" s="56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  <c r="CE262" s="52"/>
      <c r="CF262" s="52"/>
      <c r="CG262" s="52"/>
      <c r="CH262" s="52"/>
      <c r="CI262" s="52"/>
      <c r="CJ262" s="52"/>
      <c r="CK262" s="52"/>
      <c r="CL262" s="52"/>
      <c r="CM262" s="52"/>
      <c r="CN262" s="52"/>
      <c r="CO262" s="52"/>
      <c r="CP262" s="52"/>
      <c r="CQ262" s="52"/>
      <c r="CR262" s="52"/>
      <c r="CS262" s="52"/>
      <c r="CT262" s="52"/>
      <c r="CU262" s="52"/>
      <c r="CV262" s="52"/>
      <c r="CW262" s="52"/>
      <c r="CX262" s="52"/>
      <c r="CY262" s="52"/>
      <c r="CZ262" s="52"/>
      <c r="DA262" s="52"/>
      <c r="DB262" s="52"/>
      <c r="DC262" s="52"/>
      <c r="DD262" s="52"/>
      <c r="DE262" s="52"/>
      <c r="DF262" s="52"/>
      <c r="DG262" s="52"/>
      <c r="DH262" s="52"/>
      <c r="DI262" s="52"/>
      <c r="DJ262" s="52"/>
      <c r="DK262" s="52"/>
      <c r="DL262" s="52"/>
      <c r="DM262" s="52"/>
      <c r="DN262" s="52"/>
      <c r="DO262" s="52"/>
      <c r="DP262" s="52"/>
      <c r="DQ262" s="52"/>
      <c r="DR262" s="52"/>
      <c r="DS262" s="52"/>
      <c r="DT262" s="52"/>
      <c r="DU262" s="52"/>
      <c r="DV262" s="52"/>
      <c r="DW262" s="52"/>
      <c r="DX262" s="52"/>
      <c r="DY262" s="43"/>
      <c r="DZ262" s="5"/>
      <c r="EA262" s="21"/>
      <c r="EB262" s="21"/>
      <c r="EC262" s="21"/>
      <c r="ED262" s="21"/>
      <c r="EE262" s="21"/>
      <c r="EF262" s="21"/>
      <c r="EG262" s="21"/>
      <c r="EH262" s="20"/>
      <c r="EI262" s="20"/>
      <c r="EJ262" s="20"/>
      <c r="EK262" s="20"/>
      <c r="EL262" s="20"/>
      <c r="EM262" s="20"/>
      <c r="EN262" s="20"/>
      <c r="EO262" s="20"/>
      <c r="EP262" s="20"/>
      <c r="EQ262" s="20"/>
      <c r="ER262" s="20"/>
      <c r="ES262" s="20"/>
      <c r="ET262" s="20"/>
      <c r="EU262" s="20"/>
      <c r="EV262" s="20"/>
      <c r="EW262" s="20"/>
      <c r="EX262" s="20"/>
      <c r="EY262" s="20"/>
      <c r="EZ262" s="20"/>
      <c r="FA262" s="20"/>
      <c r="FB262" s="20"/>
      <c r="FC262" s="20"/>
      <c r="FD262" s="20"/>
      <c r="FE262" s="20"/>
      <c r="FF262" s="20"/>
      <c r="FG262" s="20"/>
      <c r="FH262" s="20"/>
      <c r="FI262" s="20"/>
      <c r="FJ262" s="20"/>
      <c r="FK262" s="20"/>
      <c r="FL262" s="20"/>
    </row>
    <row r="263" spans="1:183" s="13" customFormat="1" ht="13.2" customHeight="1" x14ac:dyDescent="0.25">
      <c r="A263" s="177">
        <v>29</v>
      </c>
      <c r="B263" s="180">
        <v>85</v>
      </c>
      <c r="C263" s="14">
        <f>A263-A281</f>
        <v>6</v>
      </c>
      <c r="D263" s="14">
        <f>A263-A344</f>
        <v>27</v>
      </c>
      <c r="E263" s="14">
        <f>A263-A284</f>
        <v>7</v>
      </c>
      <c r="F263" s="14">
        <f>A263-A344</f>
        <v>27</v>
      </c>
      <c r="G263" s="14">
        <f>A263-A293</f>
        <v>10</v>
      </c>
      <c r="H263" s="14">
        <f>A263-A338</f>
        <v>25</v>
      </c>
      <c r="I263" s="47"/>
      <c r="J263" s="156">
        <f>A263-A269-1</f>
        <v>1</v>
      </c>
      <c r="K263" s="47"/>
      <c r="L263" s="186">
        <v>45955</v>
      </c>
      <c r="M263" s="47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55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52"/>
      <c r="AJ263" s="19"/>
      <c r="AK263" s="19"/>
      <c r="AL263" s="19"/>
      <c r="AM263" s="19"/>
      <c r="AN263" s="42"/>
      <c r="AO263" s="54"/>
      <c r="AP263" s="19"/>
      <c r="AQ263" s="1"/>
      <c r="AR263" s="74"/>
      <c r="AS263" s="42"/>
      <c r="AT263" s="54"/>
      <c r="AU263" s="54"/>
      <c r="AV263" s="19"/>
      <c r="AW263" s="54"/>
      <c r="AX263" s="57"/>
      <c r="AY263" s="54"/>
      <c r="AZ263" s="54"/>
      <c r="BA263" s="54"/>
      <c r="BB263" s="54"/>
      <c r="BC263" s="57"/>
      <c r="BD263" s="19"/>
      <c r="BE263" s="19"/>
      <c r="BF263" s="19"/>
      <c r="BG263" s="54"/>
      <c r="BH263" s="43"/>
      <c r="BI263" s="54"/>
      <c r="BJ263" s="55"/>
      <c r="BK263" s="55"/>
      <c r="BL263" s="54"/>
      <c r="BM263" s="56"/>
      <c r="BN263" s="56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  <c r="CC263" s="52"/>
      <c r="CD263" s="52"/>
      <c r="CE263" s="52"/>
      <c r="CF263" s="52"/>
      <c r="CG263" s="52"/>
      <c r="CH263" s="52"/>
      <c r="CI263" s="52"/>
      <c r="CJ263" s="52"/>
      <c r="CK263" s="52"/>
      <c r="CL263" s="52"/>
      <c r="CM263" s="52"/>
      <c r="CN263" s="52"/>
      <c r="CO263" s="52"/>
      <c r="CP263" s="52"/>
      <c r="CQ263" s="52"/>
      <c r="CR263" s="52"/>
      <c r="CS263" s="52"/>
      <c r="CT263" s="52"/>
      <c r="CU263" s="52"/>
      <c r="CV263" s="52"/>
      <c r="CW263" s="52"/>
      <c r="CX263" s="52"/>
      <c r="CY263" s="52"/>
      <c r="CZ263" s="52"/>
      <c r="DA263" s="52"/>
      <c r="DB263" s="52"/>
      <c r="DC263" s="52"/>
      <c r="DD263" s="52"/>
      <c r="DE263" s="52"/>
      <c r="DF263" s="52"/>
      <c r="DG263" s="52"/>
      <c r="DH263" s="52"/>
      <c r="DI263" s="52"/>
      <c r="DJ263" s="52"/>
      <c r="DK263" s="52"/>
      <c r="DL263" s="52"/>
      <c r="DM263" s="52"/>
      <c r="DN263" s="52"/>
      <c r="DO263" s="52"/>
      <c r="DP263" s="52"/>
      <c r="DQ263" s="52"/>
      <c r="DR263" s="52"/>
      <c r="DS263" s="52"/>
      <c r="DT263" s="52"/>
      <c r="DU263" s="52"/>
      <c r="DV263" s="52"/>
      <c r="DW263" s="52"/>
      <c r="DX263" s="52"/>
      <c r="DY263" s="43"/>
      <c r="DZ263" s="5"/>
      <c r="EA263" s="21"/>
      <c r="EB263" s="21"/>
      <c r="EC263" s="21"/>
      <c r="ED263" s="21"/>
      <c r="EE263" s="21"/>
      <c r="EF263" s="21"/>
      <c r="EG263" s="21"/>
      <c r="EH263" s="20"/>
      <c r="EI263" s="20"/>
      <c r="EJ263" s="20"/>
      <c r="EK263" s="20"/>
      <c r="EL263" s="20"/>
      <c r="EM263" s="20"/>
      <c r="EN263" s="20"/>
      <c r="EO263" s="20"/>
      <c r="EP263" s="20"/>
      <c r="EQ263" s="20"/>
      <c r="ER263" s="20"/>
      <c r="ES263" s="20"/>
      <c r="ET263" s="20"/>
      <c r="EU263" s="20"/>
      <c r="EV263" s="20"/>
      <c r="EW263" s="20"/>
      <c r="EX263" s="20"/>
      <c r="EY263" s="20"/>
      <c r="EZ263" s="20"/>
      <c r="FA263" s="20"/>
      <c r="FB263" s="20"/>
      <c r="FC263" s="20"/>
      <c r="FD263" s="20"/>
      <c r="FE263" s="20"/>
      <c r="FF263" s="20"/>
      <c r="FG263" s="20"/>
      <c r="FH263" s="20"/>
      <c r="FI263" s="20"/>
      <c r="FJ263" s="20"/>
      <c r="FK263" s="20"/>
      <c r="FL263" s="20"/>
    </row>
    <row r="264" spans="1:183" s="13" customFormat="1" ht="13.2" customHeight="1" x14ac:dyDescent="0.25">
      <c r="A264" s="178"/>
      <c r="B264" s="180"/>
      <c r="C264" s="124">
        <v>16</v>
      </c>
      <c r="D264" s="120">
        <v>20</v>
      </c>
      <c r="E264" s="120">
        <v>27</v>
      </c>
      <c r="F264" s="120">
        <v>46</v>
      </c>
      <c r="G264" s="120">
        <v>57</v>
      </c>
      <c r="H264" s="120">
        <v>79</v>
      </c>
      <c r="I264" s="47"/>
      <c r="J264" s="120">
        <v>53</v>
      </c>
      <c r="K264" s="47"/>
      <c r="L264" s="186"/>
      <c r="M264" s="47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55"/>
      <c r="Y264" s="146"/>
      <c r="Z264" s="146"/>
      <c r="AA264" s="146"/>
      <c r="AB264" s="146"/>
      <c r="AC264" s="146"/>
      <c r="AD264" s="146"/>
      <c r="AE264" s="146"/>
      <c r="AF264" s="146"/>
      <c r="AG264" s="146"/>
      <c r="AH264" s="146"/>
      <c r="AI264" s="152"/>
      <c r="AJ264" s="19"/>
      <c r="AK264" s="19"/>
      <c r="AL264" s="19"/>
      <c r="AM264" s="19"/>
      <c r="AN264" s="42"/>
      <c r="AO264" s="54"/>
      <c r="AP264" s="19"/>
      <c r="AQ264" s="1"/>
      <c r="AR264" s="74"/>
      <c r="AS264" s="42"/>
      <c r="AT264" s="54"/>
      <c r="AU264" s="54"/>
      <c r="AV264" s="19"/>
      <c r="AW264" s="54"/>
      <c r="AX264" s="57"/>
      <c r="AY264" s="54"/>
      <c r="AZ264" s="54"/>
      <c r="BA264" s="54"/>
      <c r="BB264" s="54"/>
      <c r="BC264" s="57"/>
      <c r="BD264" s="19"/>
      <c r="BE264" s="19"/>
      <c r="BF264" s="19"/>
      <c r="BG264" s="54"/>
      <c r="BH264" s="43"/>
      <c r="BI264" s="54"/>
      <c r="BJ264" s="55"/>
      <c r="BK264" s="55"/>
      <c r="BL264" s="54"/>
      <c r="BM264" s="56"/>
      <c r="BN264" s="56"/>
      <c r="BO264" s="52"/>
      <c r="BP264" s="52"/>
      <c r="BQ264" s="52"/>
      <c r="BR264" s="52"/>
      <c r="BS264" s="52"/>
      <c r="BT264" s="52"/>
      <c r="BU264" s="52"/>
      <c r="BV264" s="52"/>
      <c r="BW264" s="52"/>
      <c r="BX264" s="52"/>
      <c r="BY264" s="52"/>
      <c r="BZ264" s="52"/>
      <c r="CA264" s="52"/>
      <c r="CB264" s="52"/>
      <c r="CC264" s="52"/>
      <c r="CD264" s="52"/>
      <c r="CE264" s="52"/>
      <c r="CF264" s="52"/>
      <c r="CG264" s="52"/>
      <c r="CH264" s="52"/>
      <c r="CI264" s="52"/>
      <c r="CJ264" s="52"/>
      <c r="CK264" s="52"/>
      <c r="CL264" s="52"/>
      <c r="CM264" s="52"/>
      <c r="CN264" s="52"/>
      <c r="CO264" s="52"/>
      <c r="CP264" s="52"/>
      <c r="CQ264" s="52"/>
      <c r="CR264" s="52"/>
      <c r="CS264" s="52"/>
      <c r="CT264" s="52"/>
      <c r="CU264" s="52"/>
      <c r="CV264" s="52"/>
      <c r="CW264" s="52"/>
      <c r="CX264" s="52"/>
      <c r="CY264" s="52"/>
      <c r="CZ264" s="52"/>
      <c r="DA264" s="52"/>
      <c r="DB264" s="52"/>
      <c r="DC264" s="52"/>
      <c r="DD264" s="52"/>
      <c r="DE264" s="52"/>
      <c r="DF264" s="52"/>
      <c r="DG264" s="52"/>
      <c r="DH264" s="52"/>
      <c r="DI264" s="52"/>
      <c r="DJ264" s="52"/>
      <c r="DK264" s="52"/>
      <c r="DL264" s="52"/>
      <c r="DM264" s="52"/>
      <c r="DN264" s="52"/>
      <c r="DO264" s="52"/>
      <c r="DP264" s="52"/>
      <c r="DQ264" s="52"/>
      <c r="DR264" s="52"/>
      <c r="DS264" s="52"/>
      <c r="DT264" s="52"/>
      <c r="DU264" s="52"/>
      <c r="DV264" s="52"/>
      <c r="DW264" s="52"/>
      <c r="DX264" s="52"/>
      <c r="DY264" s="43"/>
      <c r="DZ264" s="5"/>
      <c r="EA264" s="21"/>
      <c r="EB264" s="21"/>
      <c r="EC264" s="21"/>
      <c r="ED264" s="21"/>
      <c r="EE264" s="21"/>
      <c r="EF264" s="21"/>
      <c r="EG264" s="21"/>
      <c r="EH264" s="20"/>
      <c r="EI264" s="20"/>
      <c r="EJ264" s="20"/>
      <c r="EK264" s="20"/>
      <c r="EL264" s="20"/>
      <c r="EM264" s="20"/>
      <c r="EN264" s="20"/>
      <c r="EO264" s="20"/>
      <c r="EP264" s="20"/>
      <c r="EQ264" s="20"/>
      <c r="ER264" s="20"/>
      <c r="ES264" s="20"/>
      <c r="ET264" s="20"/>
      <c r="EU264" s="20"/>
      <c r="EV264" s="20"/>
      <c r="EW264" s="20"/>
      <c r="EX264" s="20"/>
      <c r="EY264" s="20"/>
      <c r="EZ264" s="20"/>
      <c r="FA264" s="20"/>
      <c r="FB264" s="20"/>
      <c r="FC264" s="20"/>
      <c r="FD264" s="20"/>
      <c r="FE264" s="20"/>
      <c r="FF264" s="20"/>
      <c r="FG264" s="20"/>
      <c r="FH264" s="20"/>
      <c r="FI264" s="20"/>
      <c r="FJ264" s="20"/>
      <c r="FK264" s="20"/>
      <c r="FL264" s="20"/>
    </row>
    <row r="265" spans="1:183" s="13" customFormat="1" ht="13.2" customHeight="1" x14ac:dyDescent="0.25">
      <c r="A265" s="179"/>
      <c r="B265" s="180"/>
      <c r="C265" s="10">
        <f>F283+1</f>
        <v>2</v>
      </c>
      <c r="D265" s="10">
        <v>1</v>
      </c>
      <c r="E265" s="10">
        <f>D286+1</f>
        <v>3</v>
      </c>
      <c r="F265" s="10">
        <v>1</v>
      </c>
      <c r="G265" s="10">
        <f>G295+1</f>
        <v>4</v>
      </c>
      <c r="H265" s="10">
        <f>H340+1</f>
        <v>2</v>
      </c>
      <c r="I265" s="47"/>
      <c r="J265" s="156">
        <f>F271+1</f>
        <v>5</v>
      </c>
      <c r="K265" s="47"/>
      <c r="L265" s="186"/>
      <c r="M265" s="47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55"/>
      <c r="Y265" s="146"/>
      <c r="Z265" s="146"/>
      <c r="AA265" s="146"/>
      <c r="AB265" s="146"/>
      <c r="AC265" s="146"/>
      <c r="AD265" s="146"/>
      <c r="AE265" s="146"/>
      <c r="AF265" s="146"/>
      <c r="AG265" s="146"/>
      <c r="AH265" s="146"/>
      <c r="AI265" s="152"/>
      <c r="AJ265" s="19"/>
      <c r="AK265" s="19"/>
      <c r="AL265" s="19"/>
      <c r="AM265" s="19"/>
      <c r="AN265" s="42"/>
      <c r="AO265" s="54"/>
      <c r="AP265" s="19"/>
      <c r="AQ265" s="1"/>
      <c r="AR265" s="74"/>
      <c r="AS265" s="42"/>
      <c r="AT265" s="54"/>
      <c r="AU265" s="54"/>
      <c r="AV265" s="19"/>
      <c r="AW265" s="54"/>
      <c r="AX265" s="57"/>
      <c r="AY265" s="54"/>
      <c r="AZ265" s="54"/>
      <c r="BA265" s="54"/>
      <c r="BB265" s="54"/>
      <c r="BC265" s="57"/>
      <c r="BD265" s="19"/>
      <c r="BE265" s="19"/>
      <c r="BF265" s="19"/>
      <c r="BG265" s="54"/>
      <c r="BH265" s="43"/>
      <c r="BI265" s="54"/>
      <c r="BJ265" s="55"/>
      <c r="BK265" s="55"/>
      <c r="BL265" s="54"/>
      <c r="BM265" s="56"/>
      <c r="BN265" s="56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  <c r="CE265" s="52"/>
      <c r="CF265" s="52"/>
      <c r="CG265" s="52"/>
      <c r="CH265" s="52"/>
      <c r="CI265" s="52"/>
      <c r="CJ265" s="52"/>
      <c r="CK265" s="52"/>
      <c r="CL265" s="52"/>
      <c r="CM265" s="52"/>
      <c r="CN265" s="52"/>
      <c r="CO265" s="52"/>
      <c r="CP265" s="52"/>
      <c r="CQ265" s="52"/>
      <c r="CR265" s="52"/>
      <c r="CS265" s="52"/>
      <c r="CT265" s="52"/>
      <c r="CU265" s="52"/>
      <c r="CV265" s="52"/>
      <c r="CW265" s="52"/>
      <c r="CX265" s="52"/>
      <c r="CY265" s="52"/>
      <c r="CZ265" s="52"/>
      <c r="DA265" s="52"/>
      <c r="DB265" s="52"/>
      <c r="DC265" s="52"/>
      <c r="DD265" s="52"/>
      <c r="DE265" s="52"/>
      <c r="DF265" s="52"/>
      <c r="DG265" s="52"/>
      <c r="DH265" s="52"/>
      <c r="DI265" s="52"/>
      <c r="DJ265" s="52"/>
      <c r="DK265" s="52"/>
      <c r="DL265" s="52"/>
      <c r="DM265" s="52"/>
      <c r="DN265" s="52"/>
      <c r="DO265" s="52"/>
      <c r="DP265" s="52"/>
      <c r="DQ265" s="52"/>
      <c r="DR265" s="52"/>
      <c r="DS265" s="52"/>
      <c r="DT265" s="52"/>
      <c r="DU265" s="52"/>
      <c r="DV265" s="52"/>
      <c r="DW265" s="52"/>
      <c r="DX265" s="52"/>
      <c r="DY265" s="43"/>
      <c r="DZ265" s="5"/>
      <c r="EA265" s="21"/>
      <c r="EB265" s="21"/>
      <c r="EC265" s="21"/>
      <c r="ED265" s="21"/>
      <c r="EE265" s="21"/>
      <c r="EF265" s="21"/>
      <c r="EG265" s="21"/>
      <c r="EH265" s="20"/>
      <c r="EI265" s="20"/>
      <c r="EJ265" s="20"/>
      <c r="EK265" s="20"/>
      <c r="EL265" s="20"/>
      <c r="EM265" s="20"/>
      <c r="EN265" s="20"/>
      <c r="EO265" s="20"/>
      <c r="EP265" s="20"/>
      <c r="EQ265" s="20"/>
      <c r="ER265" s="20"/>
      <c r="ES265" s="20"/>
      <c r="ET265" s="20"/>
      <c r="EU265" s="20"/>
      <c r="EV265" s="20"/>
      <c r="EW265" s="20"/>
      <c r="EX265" s="20"/>
      <c r="EY265" s="20"/>
      <c r="EZ265" s="20"/>
      <c r="FA265" s="20"/>
      <c r="FB265" s="20"/>
      <c r="FC265" s="20"/>
      <c r="FD265" s="20"/>
      <c r="FE265" s="20"/>
      <c r="FF265" s="20"/>
      <c r="FG265" s="20"/>
      <c r="FH265" s="20"/>
      <c r="FI265" s="20"/>
      <c r="FJ265" s="20"/>
      <c r="FK265" s="20"/>
      <c r="FL265" s="20"/>
    </row>
    <row r="266" spans="1:183" s="13" customFormat="1" ht="13.2" customHeight="1" x14ac:dyDescent="0.25">
      <c r="A266" s="177">
        <v>28</v>
      </c>
      <c r="B266" s="180">
        <v>86</v>
      </c>
      <c r="C266" s="14">
        <f>A266-A269</f>
        <v>1</v>
      </c>
      <c r="D266" s="14">
        <f>A266-A314</f>
        <v>16</v>
      </c>
      <c r="E266" s="14">
        <f>A266-A272</f>
        <v>2</v>
      </c>
      <c r="F266" s="14">
        <f>A266-A281</f>
        <v>5</v>
      </c>
      <c r="G266" s="14">
        <f>A266-A326</f>
        <v>20</v>
      </c>
      <c r="H266" s="14">
        <f>A266-A344</f>
        <v>26</v>
      </c>
      <c r="I266" s="47"/>
      <c r="J266" s="156"/>
      <c r="K266" s="47"/>
      <c r="L266" s="186">
        <v>45952</v>
      </c>
      <c r="M266" s="47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55"/>
      <c r="Y266" s="146"/>
      <c r="Z266" s="146"/>
      <c r="AA266" s="146"/>
      <c r="AB266" s="146"/>
      <c r="AC266" s="146"/>
      <c r="AD266" s="146"/>
      <c r="AE266" s="146"/>
      <c r="AF266" s="146"/>
      <c r="AG266" s="146"/>
      <c r="AH266" s="146"/>
      <c r="AI266" s="152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43"/>
      <c r="DZ266" s="5"/>
      <c r="EA266" s="21"/>
      <c r="EB266" s="21"/>
      <c r="EC266" s="21"/>
      <c r="ED266" s="21"/>
      <c r="EE266" s="21"/>
      <c r="EF266" s="21"/>
      <c r="EG266" s="21"/>
      <c r="EH266" s="20"/>
      <c r="EI266" s="20"/>
      <c r="EJ266" s="20"/>
      <c r="EK266" s="20"/>
      <c r="EL266" s="20"/>
      <c r="EM266" s="20"/>
      <c r="EN266" s="20"/>
      <c r="EO266" s="20"/>
      <c r="EP266" s="20"/>
      <c r="EQ266" s="20"/>
      <c r="ER266" s="20"/>
      <c r="ES266" s="20"/>
      <c r="ET266" s="20"/>
      <c r="EU266" s="20"/>
      <c r="EV266" s="20"/>
      <c r="EW266" s="20"/>
      <c r="EX266" s="20"/>
      <c r="EY266" s="20"/>
      <c r="EZ266" s="20"/>
      <c r="FA266" s="20"/>
      <c r="FB266" s="20"/>
      <c r="FC266" s="20"/>
      <c r="FD266" s="20"/>
      <c r="FE266" s="20"/>
      <c r="FF266" s="20"/>
      <c r="FG266" s="20"/>
      <c r="FH266" s="20"/>
      <c r="FI266" s="20"/>
      <c r="FJ266" s="20"/>
      <c r="FK266" s="20"/>
      <c r="FL266" s="20"/>
    </row>
    <row r="267" spans="1:183" s="13" customFormat="1" ht="13.2" customHeight="1" x14ac:dyDescent="0.25">
      <c r="A267" s="178"/>
      <c r="B267" s="180"/>
      <c r="C267" s="118">
        <v>1</v>
      </c>
      <c r="D267" s="118">
        <v>7</v>
      </c>
      <c r="E267" s="118">
        <v>10</v>
      </c>
      <c r="F267" s="118">
        <v>15</v>
      </c>
      <c r="G267" s="118">
        <v>33</v>
      </c>
      <c r="H267" s="118">
        <v>71</v>
      </c>
      <c r="I267" s="47"/>
      <c r="J267" s="118"/>
      <c r="K267" s="47"/>
      <c r="L267" s="186"/>
      <c r="M267" s="47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55"/>
      <c r="Y267" s="146"/>
      <c r="Z267" s="146"/>
      <c r="AA267" s="146"/>
      <c r="AB267" s="146"/>
      <c r="AC267" s="146"/>
      <c r="AD267" s="146"/>
      <c r="AE267" s="146"/>
      <c r="AF267" s="146"/>
      <c r="AG267" s="146"/>
      <c r="AH267" s="146"/>
      <c r="AI267" s="152"/>
      <c r="AJ267" s="19"/>
      <c r="AK267" s="19"/>
      <c r="AL267" s="19"/>
      <c r="AM267" s="19"/>
      <c r="AN267" s="42"/>
      <c r="AO267" s="54"/>
      <c r="AP267" s="19"/>
      <c r="AQ267" s="1"/>
      <c r="AR267" s="74"/>
      <c r="AS267" s="42"/>
      <c r="AT267" s="54"/>
      <c r="AU267" s="54"/>
      <c r="AV267" s="19"/>
      <c r="AW267" s="54"/>
      <c r="AX267" s="57"/>
      <c r="AY267" s="54"/>
      <c r="AZ267" s="54"/>
      <c r="BA267" s="54"/>
      <c r="BB267" s="54"/>
      <c r="BC267" s="57"/>
      <c r="BD267" s="19"/>
      <c r="BE267" s="19"/>
      <c r="BF267" s="19"/>
      <c r="BG267" s="54"/>
      <c r="BH267" s="43"/>
      <c r="BI267" s="54"/>
      <c r="BJ267" s="55"/>
      <c r="BK267" s="55"/>
      <c r="BL267" s="54"/>
      <c r="BM267" s="56"/>
      <c r="BN267" s="56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  <c r="CE267" s="52"/>
      <c r="CF267" s="52"/>
      <c r="CG267" s="52"/>
      <c r="CH267" s="52"/>
      <c r="CI267" s="52"/>
      <c r="CJ267" s="52"/>
      <c r="CK267" s="52"/>
      <c r="CL267" s="52"/>
      <c r="CM267" s="52"/>
      <c r="CN267" s="52"/>
      <c r="CO267" s="52"/>
      <c r="CP267" s="52"/>
      <c r="CQ267" s="52"/>
      <c r="CR267" s="52"/>
      <c r="CS267" s="52"/>
      <c r="CT267" s="52"/>
      <c r="CU267" s="52"/>
      <c r="CV267" s="52"/>
      <c r="CW267" s="52"/>
      <c r="CX267" s="52"/>
      <c r="CY267" s="52"/>
      <c r="CZ267" s="52"/>
      <c r="DA267" s="52"/>
      <c r="DB267" s="52"/>
      <c r="DC267" s="52"/>
      <c r="DD267" s="52"/>
      <c r="DE267" s="52"/>
      <c r="DF267" s="52"/>
      <c r="DG267" s="52"/>
      <c r="DH267" s="52"/>
      <c r="DI267" s="52"/>
      <c r="DJ267" s="52"/>
      <c r="DK267" s="52"/>
      <c r="DL267" s="52"/>
      <c r="DM267" s="52"/>
      <c r="DN267" s="52"/>
      <c r="DO267" s="52"/>
      <c r="DP267" s="52"/>
      <c r="DQ267" s="52"/>
      <c r="DR267" s="52"/>
      <c r="DS267" s="52"/>
      <c r="DT267" s="52"/>
      <c r="DU267" s="52"/>
      <c r="DV267" s="52"/>
      <c r="DW267" s="52"/>
      <c r="DX267" s="52"/>
      <c r="DY267" s="43"/>
      <c r="DZ267" s="5"/>
      <c r="EA267" s="21"/>
      <c r="EB267" s="21"/>
      <c r="EC267" s="21"/>
      <c r="ED267" s="21"/>
      <c r="EE267" s="21"/>
      <c r="EF267" s="21"/>
      <c r="EG267" s="21"/>
      <c r="EH267" s="20"/>
      <c r="EI267" s="20"/>
      <c r="EJ267" s="20"/>
      <c r="EK267" s="20"/>
      <c r="EL267" s="20"/>
      <c r="EM267" s="20"/>
      <c r="EN267" s="20"/>
      <c r="EO267" s="20"/>
      <c r="EP267" s="20"/>
      <c r="EQ267" s="20"/>
      <c r="ER267" s="20"/>
      <c r="ES267" s="20"/>
      <c r="ET267" s="20"/>
      <c r="EU267" s="20"/>
      <c r="EV267" s="20"/>
      <c r="EW267" s="20"/>
      <c r="EX267" s="20"/>
      <c r="EY267" s="20"/>
      <c r="EZ267" s="20"/>
      <c r="FA267" s="20"/>
      <c r="FB267" s="20"/>
      <c r="FC267" s="20"/>
      <c r="FD267" s="20"/>
      <c r="FE267" s="20"/>
      <c r="FF267" s="20"/>
      <c r="FG267" s="20"/>
      <c r="FH267" s="20"/>
      <c r="FI267" s="20"/>
      <c r="FJ267" s="20"/>
      <c r="FK267" s="20"/>
      <c r="FL267" s="20"/>
    </row>
    <row r="268" spans="1:183" s="13" customFormat="1" ht="13.2" customHeight="1" x14ac:dyDescent="0.25">
      <c r="A268" s="179"/>
      <c r="B268" s="180"/>
      <c r="C268" s="10">
        <f>C271+1</f>
        <v>2</v>
      </c>
      <c r="D268" s="10">
        <f>C316+1</f>
        <v>5</v>
      </c>
      <c r="E268" s="10">
        <f>C274+1</f>
        <v>4</v>
      </c>
      <c r="F268" s="10">
        <f>E283+1</f>
        <v>3</v>
      </c>
      <c r="G268" s="10">
        <f>H328+1</f>
        <v>4</v>
      </c>
      <c r="H268" s="10">
        <v>1</v>
      </c>
      <c r="I268" s="47"/>
      <c r="J268" s="156"/>
      <c r="K268" s="47"/>
      <c r="L268" s="186"/>
      <c r="M268" s="47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55"/>
      <c r="Y268" s="146"/>
      <c r="Z268" s="146"/>
      <c r="AA268" s="146"/>
      <c r="AB268" s="146"/>
      <c r="AC268" s="146"/>
      <c r="AD268" s="146"/>
      <c r="AE268" s="146"/>
      <c r="AF268" s="146"/>
      <c r="AG268" s="146"/>
      <c r="AH268" s="146"/>
      <c r="AI268" s="152"/>
      <c r="AJ268" s="19"/>
      <c r="AK268" s="19"/>
      <c r="AL268" s="19"/>
      <c r="AM268" s="19"/>
      <c r="AN268" s="42"/>
      <c r="AO268" s="54"/>
      <c r="AP268" s="19"/>
      <c r="AQ268" s="1"/>
      <c r="AR268" s="74"/>
      <c r="AS268" s="42"/>
      <c r="AT268" s="54"/>
      <c r="AU268" s="54"/>
      <c r="AV268" s="19"/>
      <c r="AW268" s="54"/>
      <c r="AX268" s="57"/>
      <c r="AY268" s="54"/>
      <c r="AZ268" s="54"/>
      <c r="BA268" s="54"/>
      <c r="BB268" s="54"/>
      <c r="BC268" s="57"/>
      <c r="BD268" s="19"/>
      <c r="BE268" s="19"/>
      <c r="BF268" s="19"/>
      <c r="BG268" s="54"/>
      <c r="BH268" s="43"/>
      <c r="BI268" s="54"/>
      <c r="BJ268" s="55"/>
      <c r="BK268" s="55"/>
      <c r="BL268" s="54"/>
      <c r="BM268" s="56"/>
      <c r="BN268" s="56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  <c r="CE268" s="52"/>
      <c r="CF268" s="52"/>
      <c r="CG268" s="52"/>
      <c r="CH268" s="52"/>
      <c r="CI268" s="52"/>
      <c r="CJ268" s="52"/>
      <c r="CK268" s="52"/>
      <c r="CL268" s="52"/>
      <c r="CM268" s="52"/>
      <c r="CN268" s="52"/>
      <c r="CO268" s="52"/>
      <c r="CP268" s="52"/>
      <c r="CQ268" s="52"/>
      <c r="CR268" s="52"/>
      <c r="CS268" s="52"/>
      <c r="CT268" s="52"/>
      <c r="CU268" s="52"/>
      <c r="CV268" s="52"/>
      <c r="CW268" s="52"/>
      <c r="CX268" s="52"/>
      <c r="CY268" s="52"/>
      <c r="CZ268" s="52"/>
      <c r="DA268" s="52"/>
      <c r="DB268" s="52"/>
      <c r="DC268" s="52"/>
      <c r="DD268" s="52"/>
      <c r="DE268" s="52"/>
      <c r="DF268" s="52"/>
      <c r="DG268" s="52"/>
      <c r="DH268" s="52"/>
      <c r="DI268" s="52"/>
      <c r="DJ268" s="52"/>
      <c r="DK268" s="52"/>
      <c r="DL268" s="52"/>
      <c r="DM268" s="52"/>
      <c r="DN268" s="52"/>
      <c r="DO268" s="52"/>
      <c r="DP268" s="52"/>
      <c r="DQ268" s="52"/>
      <c r="DR268" s="52"/>
      <c r="DS268" s="52"/>
      <c r="DT268" s="52"/>
      <c r="DU268" s="52"/>
      <c r="DV268" s="52"/>
      <c r="DW268" s="52"/>
      <c r="DX268" s="52"/>
      <c r="DY268" s="43"/>
      <c r="DZ268" s="5"/>
      <c r="EA268" s="21"/>
      <c r="EB268" s="21"/>
      <c r="EC268" s="21"/>
      <c r="ED268" s="21"/>
      <c r="EE268" s="21"/>
      <c r="EF268" s="21"/>
      <c r="EG268" s="21"/>
      <c r="EH268" s="20"/>
      <c r="EI268" s="20"/>
      <c r="EJ268" s="20"/>
      <c r="EK268" s="20"/>
      <c r="EL268" s="20"/>
      <c r="EM268" s="20"/>
      <c r="EN268" s="20"/>
      <c r="EO268" s="20"/>
      <c r="EP268" s="20"/>
      <c r="EQ268" s="20"/>
      <c r="ER268" s="20"/>
      <c r="ES268" s="20"/>
      <c r="ET268" s="20"/>
      <c r="EU268" s="20"/>
      <c r="EV268" s="20"/>
      <c r="EW268" s="20"/>
      <c r="EX268" s="20"/>
      <c r="EY268" s="20"/>
      <c r="EZ268" s="20"/>
      <c r="FA268" s="20"/>
      <c r="FB268" s="20"/>
      <c r="FC268" s="20"/>
      <c r="FD268" s="20"/>
      <c r="FE268" s="20"/>
      <c r="FF268" s="20"/>
      <c r="FG268" s="20"/>
      <c r="FH268" s="20"/>
      <c r="FI268" s="20"/>
      <c r="FJ268" s="20"/>
      <c r="FK268" s="20"/>
      <c r="FL268" s="20"/>
    </row>
    <row r="269" spans="1:183" s="13" customFormat="1" ht="13.2" customHeight="1" x14ac:dyDescent="0.25">
      <c r="A269" s="177">
        <v>27</v>
      </c>
      <c r="B269" s="180">
        <v>87</v>
      </c>
      <c r="C269" s="14">
        <v>0</v>
      </c>
      <c r="D269" s="14">
        <f>A269-A326</f>
        <v>19</v>
      </c>
      <c r="E269" s="14">
        <f>A269-A299</f>
        <v>10</v>
      </c>
      <c r="F269" s="14">
        <f>A269-A275</f>
        <v>2</v>
      </c>
      <c r="G269" s="14">
        <f>A269-A287</f>
        <v>6</v>
      </c>
      <c r="H269" s="14">
        <f>A269-A329</f>
        <v>20</v>
      </c>
      <c r="I269" s="47"/>
      <c r="J269" s="156"/>
      <c r="K269" s="47"/>
      <c r="L269" s="186">
        <v>45950</v>
      </c>
      <c r="M269" s="47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55"/>
      <c r="Y269" s="146"/>
      <c r="Z269" s="146"/>
      <c r="AA269" s="146"/>
      <c r="AB269" s="146"/>
      <c r="AC269" s="146"/>
      <c r="AD269" s="146"/>
      <c r="AE269" s="146"/>
      <c r="AF269" s="146"/>
      <c r="AG269" s="146"/>
      <c r="AH269" s="146"/>
      <c r="AI269" s="152"/>
      <c r="DY269" s="43"/>
      <c r="DZ269" s="5"/>
      <c r="EA269" s="21"/>
      <c r="EB269" s="21"/>
      <c r="EC269" s="21"/>
      <c r="ED269" s="21"/>
      <c r="EE269" s="21"/>
      <c r="EF269" s="21"/>
      <c r="EG269" s="21"/>
      <c r="EH269" s="20"/>
      <c r="EI269" s="20"/>
      <c r="EJ269" s="20"/>
      <c r="EK269" s="20"/>
      <c r="EL269" s="20"/>
      <c r="EM269" s="20"/>
      <c r="EN269" s="20"/>
      <c r="EO269" s="20"/>
      <c r="EP269" s="20"/>
      <c r="EQ269" s="20"/>
      <c r="ER269" s="20"/>
      <c r="ES269" s="20"/>
      <c r="ET269" s="20"/>
      <c r="EU269" s="20"/>
      <c r="EV269" s="20"/>
      <c r="EW269" s="20"/>
      <c r="EX269" s="20"/>
      <c r="EY269" s="20"/>
      <c r="EZ269" s="20"/>
      <c r="FA269" s="20"/>
      <c r="FB269" s="20"/>
      <c r="FC269" s="20"/>
      <c r="FD269" s="20"/>
      <c r="FE269" s="20"/>
      <c r="FF269" s="20"/>
      <c r="FG269" s="20"/>
      <c r="FH269" s="20"/>
      <c r="FI269" s="20"/>
      <c r="FJ269" s="20"/>
      <c r="FK269" s="20"/>
      <c r="FL269" s="20"/>
    </row>
    <row r="270" spans="1:183" s="13" customFormat="1" ht="13.2" customHeight="1" x14ac:dyDescent="0.25">
      <c r="A270" s="178"/>
      <c r="B270" s="180"/>
      <c r="C270" s="118">
        <v>1</v>
      </c>
      <c r="D270" s="118">
        <v>29</v>
      </c>
      <c r="E270" s="118">
        <v>43</v>
      </c>
      <c r="F270" s="118">
        <v>53</v>
      </c>
      <c r="G270" s="118">
        <v>75</v>
      </c>
      <c r="H270" s="118">
        <v>88</v>
      </c>
      <c r="I270" s="47"/>
      <c r="J270" s="118"/>
      <c r="K270" s="47"/>
      <c r="L270" s="186"/>
      <c r="M270" s="47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55"/>
      <c r="Y270" s="146"/>
      <c r="Z270" s="146"/>
      <c r="AA270" s="146"/>
      <c r="AB270" s="146"/>
      <c r="AC270" s="146"/>
      <c r="AD270" s="146"/>
      <c r="AE270" s="146"/>
      <c r="AF270" s="146"/>
      <c r="AG270" s="146"/>
      <c r="AH270" s="146"/>
      <c r="AI270" s="152"/>
      <c r="DY270" s="43"/>
      <c r="DZ270" s="5"/>
      <c r="EA270" s="21"/>
      <c r="EB270" s="21"/>
      <c r="EC270" s="21"/>
      <c r="ED270" s="21"/>
      <c r="EE270" s="21"/>
      <c r="EF270" s="21"/>
      <c r="EG270" s="21"/>
      <c r="EH270" s="20"/>
      <c r="EI270" s="20"/>
      <c r="EJ270" s="20"/>
      <c r="EK270" s="20"/>
      <c r="EL270" s="20"/>
      <c r="EM270" s="20"/>
      <c r="EN270" s="20"/>
      <c r="EO270" s="20"/>
      <c r="EP270" s="20"/>
      <c r="EQ270" s="20"/>
      <c r="ER270" s="20"/>
      <c r="ES270" s="20"/>
      <c r="ET270" s="20"/>
      <c r="EU270" s="20"/>
      <c r="EV270" s="20"/>
      <c r="EW270" s="20"/>
      <c r="EX270" s="20"/>
      <c r="EY270" s="20"/>
      <c r="EZ270" s="20"/>
      <c r="FA270" s="20"/>
      <c r="FB270" s="20"/>
      <c r="FC270" s="20"/>
      <c r="FD270" s="20"/>
      <c r="FE270" s="20"/>
      <c r="FF270" s="20"/>
      <c r="FG270" s="20"/>
      <c r="FH270" s="20"/>
      <c r="FI270" s="20"/>
      <c r="FJ270" s="20"/>
      <c r="FK270" s="20"/>
      <c r="FL270" s="20"/>
    </row>
    <row r="271" spans="1:183" s="1" customFormat="1" ht="13.2" customHeight="1" x14ac:dyDescent="0.25">
      <c r="A271" s="179"/>
      <c r="B271" s="180"/>
      <c r="C271" s="10">
        <v>1</v>
      </c>
      <c r="D271" s="10">
        <f>E328+1</f>
        <v>3</v>
      </c>
      <c r="E271" s="10">
        <f>E301+1</f>
        <v>2</v>
      </c>
      <c r="F271" s="10">
        <f>E277+1</f>
        <v>4</v>
      </c>
      <c r="G271" s="10">
        <f>H289+1</f>
        <v>2</v>
      </c>
      <c r="H271" s="10">
        <f>H331+1</f>
        <v>2</v>
      </c>
      <c r="I271" s="47"/>
      <c r="J271" s="156"/>
      <c r="K271" s="47"/>
      <c r="L271" s="186"/>
      <c r="M271" s="47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55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52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43"/>
      <c r="DZ271" s="5"/>
      <c r="EA271" s="21"/>
      <c r="EB271" s="21"/>
      <c r="EC271" s="21"/>
      <c r="ED271" s="21"/>
      <c r="EE271" s="21"/>
      <c r="EF271" s="21"/>
      <c r="EG271" s="21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20"/>
      <c r="EZ271" s="20"/>
      <c r="FA271" s="20"/>
      <c r="FB271" s="20"/>
      <c r="FC271" s="20"/>
      <c r="FD271" s="20"/>
      <c r="FE271" s="20"/>
      <c r="FF271" s="20"/>
      <c r="FG271" s="20"/>
      <c r="FH271" s="20"/>
      <c r="FI271" s="20"/>
      <c r="FJ271" s="20"/>
      <c r="FK271" s="20"/>
      <c r="FL271" s="20"/>
      <c r="FM271" s="13"/>
      <c r="FN271" s="13"/>
      <c r="FO271" s="13"/>
      <c r="FP271" s="13"/>
      <c r="FQ271" s="13"/>
      <c r="FR271" s="13"/>
      <c r="FS271" s="13"/>
      <c r="FT271" s="13"/>
      <c r="FU271" s="13"/>
      <c r="FV271" s="13"/>
      <c r="FW271" s="13"/>
      <c r="FX271" s="13"/>
      <c r="FY271" s="13"/>
      <c r="FZ271" s="13"/>
      <c r="GA271" s="13"/>
    </row>
    <row r="272" spans="1:183" s="13" customFormat="1" ht="15" customHeight="1" x14ac:dyDescent="0.25">
      <c r="A272" s="177">
        <v>26</v>
      </c>
      <c r="B272" s="180">
        <v>88</v>
      </c>
      <c r="C272" s="14">
        <f>A272-A275</f>
        <v>1</v>
      </c>
      <c r="D272" s="14">
        <v>0</v>
      </c>
      <c r="E272" s="14">
        <f>A272-A302</f>
        <v>10</v>
      </c>
      <c r="F272" s="14">
        <f>A272-A314</f>
        <v>14</v>
      </c>
      <c r="G272" s="14">
        <f>A272-A278</f>
        <v>2</v>
      </c>
      <c r="H272" s="14">
        <v>0</v>
      </c>
      <c r="I272" s="45"/>
      <c r="J272" s="156"/>
      <c r="K272" s="45"/>
      <c r="L272" s="186">
        <v>45948</v>
      </c>
      <c r="M272" s="45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55"/>
      <c r="Y272" s="146"/>
      <c r="Z272" s="146"/>
      <c r="AA272" s="146"/>
      <c r="AB272" s="146"/>
      <c r="AC272" s="146"/>
      <c r="AD272" s="146"/>
      <c r="AE272" s="146"/>
      <c r="AF272" s="146"/>
      <c r="AG272" s="146"/>
      <c r="AH272" s="146"/>
      <c r="AI272" s="150"/>
      <c r="DY272" s="43"/>
      <c r="DZ272" s="20"/>
      <c r="EA272" s="21"/>
      <c r="EB272" s="21"/>
      <c r="EC272" s="21"/>
      <c r="ED272" s="21"/>
      <c r="EE272" s="21"/>
      <c r="EF272" s="21"/>
      <c r="EG272" s="21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/>
      <c r="EY272" s="20"/>
      <c r="EZ272" s="20"/>
      <c r="FA272" s="20"/>
      <c r="FB272" s="20"/>
      <c r="FC272" s="20"/>
      <c r="FD272" s="20"/>
      <c r="FE272" s="20"/>
      <c r="FF272" s="20"/>
      <c r="FG272" s="20"/>
      <c r="FH272" s="20"/>
      <c r="FI272" s="20"/>
      <c r="FJ272" s="20"/>
      <c r="FK272" s="20"/>
      <c r="FL272" s="20"/>
    </row>
    <row r="273" spans="1:168" s="13" customFormat="1" ht="15.6" x14ac:dyDescent="0.25">
      <c r="A273" s="178"/>
      <c r="B273" s="180"/>
      <c r="C273" s="118">
        <v>10</v>
      </c>
      <c r="D273" s="118">
        <v>13</v>
      </c>
      <c r="E273" s="118">
        <v>18</v>
      </c>
      <c r="F273" s="118">
        <v>39</v>
      </c>
      <c r="G273" s="118">
        <v>63</v>
      </c>
      <c r="H273" s="118">
        <v>85</v>
      </c>
      <c r="I273" s="45"/>
      <c r="J273" s="118"/>
      <c r="K273" s="45"/>
      <c r="L273" s="186"/>
      <c r="M273" s="45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55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50"/>
      <c r="DY273" s="43"/>
      <c r="DZ273" s="20"/>
      <c r="EA273" s="21"/>
      <c r="EB273" s="21"/>
      <c r="EC273" s="21"/>
      <c r="ED273" s="21"/>
      <c r="EE273" s="21"/>
      <c r="EF273" s="21"/>
      <c r="EG273" s="21"/>
      <c r="EH273" s="20"/>
      <c r="EI273" s="20"/>
      <c r="EJ273" s="20"/>
      <c r="EK273" s="20"/>
      <c r="EL273" s="20"/>
      <c r="EM273" s="20"/>
      <c r="EN273" s="20"/>
      <c r="EO273" s="20"/>
      <c r="EP273" s="20"/>
      <c r="EQ273" s="20"/>
      <c r="ER273" s="20"/>
      <c r="ES273" s="20"/>
      <c r="ET273" s="20"/>
      <c r="EU273" s="20"/>
      <c r="EV273" s="20"/>
      <c r="EW273" s="20"/>
      <c r="EX273" s="20"/>
      <c r="EY273" s="20"/>
      <c r="EZ273" s="20"/>
      <c r="FA273" s="20"/>
      <c r="FB273" s="20"/>
      <c r="FC273" s="20"/>
      <c r="FD273" s="20"/>
      <c r="FE273" s="20"/>
      <c r="FF273" s="20"/>
      <c r="FG273" s="20"/>
      <c r="FH273" s="20"/>
      <c r="FI273" s="20"/>
      <c r="FJ273" s="20"/>
      <c r="FK273" s="20"/>
      <c r="FL273" s="20"/>
    </row>
    <row r="274" spans="1:168" s="13" customFormat="1" ht="13.2" x14ac:dyDescent="0.25">
      <c r="A274" s="179"/>
      <c r="B274" s="180"/>
      <c r="C274" s="10">
        <f>D277+1</f>
        <v>3</v>
      </c>
      <c r="D274" s="10">
        <v>1</v>
      </c>
      <c r="E274" s="10">
        <f>C304+1</f>
        <v>2</v>
      </c>
      <c r="F274" s="10">
        <f>C307+1</f>
        <v>5</v>
      </c>
      <c r="G274" s="10">
        <f>F280+1</f>
        <v>2</v>
      </c>
      <c r="H274" s="10">
        <f>J334+1</f>
        <v>2</v>
      </c>
      <c r="I274" s="45"/>
      <c r="J274" s="156"/>
      <c r="K274" s="45"/>
      <c r="L274" s="186"/>
      <c r="M274" s="45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55"/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50"/>
      <c r="DY274" s="43"/>
      <c r="DZ274" s="20"/>
      <c r="EA274" s="21"/>
      <c r="EB274" s="21"/>
      <c r="EC274" s="21"/>
      <c r="ED274" s="21"/>
      <c r="EE274" s="21"/>
      <c r="EF274" s="21"/>
      <c r="EG274" s="21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20"/>
      <c r="EZ274" s="20"/>
      <c r="FA274" s="20"/>
      <c r="FB274" s="20"/>
      <c r="FC274" s="20"/>
      <c r="FD274" s="20"/>
      <c r="FE274" s="20"/>
      <c r="FF274" s="20"/>
      <c r="FG274" s="20"/>
      <c r="FH274" s="20"/>
      <c r="FI274" s="20"/>
      <c r="FJ274" s="20"/>
      <c r="FK274" s="20"/>
      <c r="FL274" s="20"/>
    </row>
    <row r="275" spans="1:168" s="13" customFormat="1" ht="15" customHeight="1" x14ac:dyDescent="0.25">
      <c r="A275" s="177">
        <v>25</v>
      </c>
      <c r="B275" s="180">
        <v>89</v>
      </c>
      <c r="C275" s="14">
        <f>A275-A323</f>
        <v>16</v>
      </c>
      <c r="D275" s="14">
        <f>A275-A344</f>
        <v>23</v>
      </c>
      <c r="E275" s="14">
        <f>A275-A302</f>
        <v>9</v>
      </c>
      <c r="F275" s="14">
        <f>A275-A284</f>
        <v>3</v>
      </c>
      <c r="G275" s="14">
        <f>A275-A299</f>
        <v>8</v>
      </c>
      <c r="H275" s="14">
        <f>A275-A317</f>
        <v>14</v>
      </c>
      <c r="I275" s="45"/>
      <c r="J275" s="156">
        <f>A275-A278-1</f>
        <v>0</v>
      </c>
      <c r="K275" s="45"/>
      <c r="L275" s="186">
        <v>45945</v>
      </c>
      <c r="M275" s="45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55"/>
      <c r="Y275" s="146"/>
      <c r="Z275" s="146"/>
      <c r="AA275" s="146"/>
      <c r="AB275" s="146"/>
      <c r="AC275" s="146"/>
      <c r="AD275" s="146"/>
      <c r="AE275" s="146"/>
      <c r="AF275" s="146"/>
      <c r="AG275" s="146"/>
      <c r="AH275" s="146"/>
      <c r="AI275" s="150"/>
      <c r="AJ275" s="19"/>
      <c r="AK275" s="19"/>
      <c r="AL275" s="19"/>
      <c r="AM275" s="19"/>
      <c r="AN275" s="42"/>
      <c r="AO275" s="54"/>
      <c r="AP275" s="19"/>
      <c r="AR275" s="74"/>
      <c r="AS275" s="42"/>
      <c r="AT275" s="54"/>
      <c r="AU275" s="54"/>
      <c r="AV275" s="19"/>
      <c r="AW275" s="54"/>
      <c r="AX275" s="57"/>
      <c r="AY275" s="54"/>
      <c r="AZ275" s="54"/>
      <c r="BA275" s="54"/>
      <c r="BB275" s="54"/>
      <c r="BC275" s="57"/>
      <c r="BD275" s="19"/>
      <c r="BE275" s="19"/>
      <c r="BF275" s="19"/>
      <c r="BG275" s="54"/>
      <c r="BH275" s="43"/>
      <c r="BI275" s="54"/>
      <c r="BJ275" s="55"/>
      <c r="BK275" s="55"/>
      <c r="BL275" s="54"/>
      <c r="BM275" s="56"/>
      <c r="BN275" s="56"/>
      <c r="BO275" s="52"/>
      <c r="BP275" s="52"/>
      <c r="BQ275" s="52"/>
      <c r="BR275" s="52"/>
      <c r="BS275" s="52"/>
      <c r="BT275" s="52"/>
      <c r="BU275" s="52"/>
      <c r="BV275" s="52"/>
      <c r="BW275" s="52"/>
      <c r="BX275" s="52"/>
      <c r="BY275" s="52"/>
      <c r="BZ275" s="52"/>
      <c r="CA275" s="52"/>
      <c r="CB275" s="52"/>
      <c r="CC275" s="52"/>
      <c r="CD275" s="52"/>
      <c r="CE275" s="52"/>
      <c r="CF275" s="52"/>
      <c r="CG275" s="52"/>
      <c r="CH275" s="52"/>
      <c r="CI275" s="52"/>
      <c r="CJ275" s="52"/>
      <c r="CK275" s="52"/>
      <c r="CL275" s="52"/>
      <c r="CM275" s="52"/>
      <c r="CN275" s="52"/>
      <c r="CO275" s="52"/>
      <c r="CP275" s="52"/>
      <c r="CQ275" s="52"/>
      <c r="CR275" s="52"/>
      <c r="CS275" s="52"/>
      <c r="CT275" s="52"/>
      <c r="CU275" s="52"/>
      <c r="CV275" s="52"/>
      <c r="CW275" s="52"/>
      <c r="CX275" s="52"/>
      <c r="CY275" s="52"/>
      <c r="CZ275" s="52"/>
      <c r="DA275" s="52"/>
      <c r="DB275" s="52"/>
      <c r="DC275" s="52"/>
      <c r="DD275" s="52"/>
      <c r="DE275" s="52"/>
      <c r="DF275" s="52"/>
      <c r="DG275" s="52"/>
      <c r="DH275" s="52"/>
      <c r="DI275" s="52"/>
      <c r="DJ275" s="52"/>
      <c r="DK275" s="52"/>
      <c r="DL275" s="52"/>
      <c r="DM275" s="52"/>
      <c r="DN275" s="52"/>
      <c r="DO275" s="52"/>
      <c r="DP275" s="52"/>
      <c r="DQ275" s="52"/>
      <c r="DR275" s="52"/>
      <c r="DS275" s="52"/>
      <c r="DT275" s="52"/>
      <c r="DU275" s="52"/>
      <c r="DV275" s="52"/>
      <c r="DW275" s="52"/>
      <c r="DX275" s="52"/>
      <c r="DY275" s="43"/>
      <c r="DZ275" s="20"/>
      <c r="EA275" s="21"/>
      <c r="EB275" s="21"/>
      <c r="EC275" s="21"/>
      <c r="ED275" s="21"/>
      <c r="EE275" s="21"/>
      <c r="EF275" s="21"/>
      <c r="EG275" s="21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20"/>
      <c r="EZ275" s="20"/>
      <c r="FA275" s="20"/>
      <c r="FB275" s="20"/>
      <c r="FC275" s="20"/>
      <c r="FD275" s="20"/>
      <c r="FE275" s="20"/>
      <c r="FF275" s="20"/>
      <c r="FG275" s="20"/>
      <c r="FH275" s="20"/>
      <c r="FI275" s="20"/>
      <c r="FJ275" s="20"/>
      <c r="FK275" s="20"/>
      <c r="FL275" s="20"/>
    </row>
    <row r="276" spans="1:168" s="13" customFormat="1" ht="15.6" x14ac:dyDescent="0.25">
      <c r="A276" s="178"/>
      <c r="B276" s="180"/>
      <c r="C276" s="124">
        <v>2</v>
      </c>
      <c r="D276" s="120">
        <v>10</v>
      </c>
      <c r="E276" s="120">
        <v>53</v>
      </c>
      <c r="F276" s="120">
        <v>73</v>
      </c>
      <c r="G276" s="120">
        <v>77</v>
      </c>
      <c r="H276" s="120">
        <v>90</v>
      </c>
      <c r="I276" s="45"/>
      <c r="J276" s="120">
        <v>36</v>
      </c>
      <c r="K276" s="45"/>
      <c r="L276" s="186"/>
      <c r="M276" s="45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55"/>
      <c r="Y276" s="146"/>
      <c r="Z276" s="146"/>
      <c r="AA276" s="146"/>
      <c r="AB276" s="146"/>
      <c r="AC276" s="146"/>
      <c r="AD276" s="146"/>
      <c r="AE276" s="146"/>
      <c r="AF276" s="146"/>
      <c r="AG276" s="146"/>
      <c r="AH276" s="146"/>
      <c r="AI276" s="150"/>
      <c r="AJ276" s="1"/>
      <c r="AK276" s="1"/>
      <c r="AL276" s="54"/>
      <c r="AM276" s="1"/>
      <c r="AN276" s="43"/>
      <c r="AO276" s="1"/>
      <c r="AP276" s="1"/>
      <c r="AR276" s="54"/>
      <c r="AS276" s="43"/>
      <c r="AT276" s="1"/>
      <c r="AU276" s="1"/>
      <c r="AV276" s="1"/>
      <c r="AW276" s="54"/>
      <c r="AX276" s="57"/>
      <c r="AY276" s="54"/>
      <c r="AZ276" s="54"/>
      <c r="BA276" s="54"/>
      <c r="BB276" s="54"/>
      <c r="BC276" s="57"/>
      <c r="BD276" s="1"/>
      <c r="BE276" s="1"/>
      <c r="BF276" s="1"/>
      <c r="BG276" s="54"/>
      <c r="BH276" s="43"/>
      <c r="BI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43"/>
      <c r="DZ276" s="20"/>
      <c r="EA276" s="21"/>
      <c r="EB276" s="21"/>
      <c r="EC276" s="21"/>
      <c r="ED276" s="21"/>
      <c r="EE276" s="21"/>
      <c r="EF276" s="21"/>
      <c r="EG276" s="21"/>
      <c r="EH276" s="20"/>
      <c r="EI276" s="20"/>
      <c r="EJ276" s="20"/>
      <c r="EK276" s="20"/>
      <c r="EL276" s="20"/>
      <c r="EM276" s="20"/>
      <c r="EN276" s="20"/>
      <c r="EO276" s="20"/>
      <c r="EP276" s="20"/>
      <c r="EQ276" s="20"/>
      <c r="ER276" s="20"/>
      <c r="ES276" s="20"/>
      <c r="ET276" s="20"/>
      <c r="EU276" s="20"/>
      <c r="EV276" s="20"/>
      <c r="EW276" s="20"/>
      <c r="EX276" s="20"/>
      <c r="EY276" s="20"/>
      <c r="EZ276" s="20"/>
      <c r="FA276" s="20"/>
      <c r="FB276" s="20"/>
      <c r="FC276" s="20"/>
      <c r="FD276" s="20"/>
      <c r="FE276" s="20"/>
      <c r="FF276" s="20"/>
      <c r="FG276" s="20"/>
      <c r="FH276" s="20"/>
      <c r="FI276" s="20"/>
      <c r="FJ276" s="20"/>
      <c r="FK276" s="20"/>
      <c r="FL276" s="20"/>
    </row>
    <row r="277" spans="1:168" s="13" customFormat="1" ht="13.2" x14ac:dyDescent="0.25">
      <c r="A277" s="179"/>
      <c r="B277" s="180"/>
      <c r="C277" s="10">
        <f>C325+1</f>
        <v>3</v>
      </c>
      <c r="D277" s="10">
        <f>D346+1</f>
        <v>2</v>
      </c>
      <c r="E277" s="10">
        <f>E304+1</f>
        <v>3</v>
      </c>
      <c r="F277" s="10">
        <f>H286+1</f>
        <v>3</v>
      </c>
      <c r="G277" s="10">
        <f>G301+1</f>
        <v>4</v>
      </c>
      <c r="H277" s="10">
        <f>H319+1</f>
        <v>2</v>
      </c>
      <c r="I277" s="45"/>
      <c r="J277" s="156">
        <f>D280+1</f>
        <v>5</v>
      </c>
      <c r="K277" s="45"/>
      <c r="L277" s="186"/>
      <c r="M277" s="45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55"/>
      <c r="Y277" s="146"/>
      <c r="Z277" s="146"/>
      <c r="AA277" s="146"/>
      <c r="AB277" s="146"/>
      <c r="AC277" s="146"/>
      <c r="AD277" s="146"/>
      <c r="AE277" s="146"/>
      <c r="AF277" s="146"/>
      <c r="AG277" s="146"/>
      <c r="AH277" s="146"/>
      <c r="AI277" s="150"/>
      <c r="DY277" s="43"/>
      <c r="DZ277" s="20"/>
      <c r="EA277" s="21"/>
      <c r="EB277" s="21"/>
      <c r="EC277" s="21"/>
      <c r="ED277" s="21"/>
      <c r="EE277" s="21"/>
      <c r="EF277" s="21"/>
      <c r="EG277" s="21"/>
      <c r="EH277" s="20"/>
      <c r="EI277" s="20"/>
      <c r="EJ277" s="20"/>
      <c r="EK277" s="20"/>
      <c r="EL277" s="20"/>
      <c r="EM277" s="20"/>
      <c r="EN277" s="20"/>
      <c r="EO277" s="20"/>
      <c r="EP277" s="20"/>
      <c r="EQ277" s="20"/>
      <c r="ER277" s="20"/>
      <c r="ES277" s="20"/>
      <c r="ET277" s="20"/>
      <c r="EU277" s="20"/>
      <c r="EV277" s="20"/>
      <c r="EW277" s="20"/>
      <c r="EX277" s="20"/>
      <c r="EY277" s="20"/>
      <c r="EZ277" s="20"/>
      <c r="FA277" s="20"/>
      <c r="FB277" s="20"/>
      <c r="FC277" s="20"/>
      <c r="FD277" s="20"/>
      <c r="FE277" s="20"/>
      <c r="FF277" s="20"/>
      <c r="FG277" s="20"/>
      <c r="FH277" s="20"/>
      <c r="FI277" s="20"/>
      <c r="FJ277" s="20"/>
      <c r="FK277" s="20"/>
      <c r="FL277" s="20"/>
    </row>
    <row r="278" spans="1:168" s="13" customFormat="1" ht="13.2" x14ac:dyDescent="0.25">
      <c r="A278" s="177">
        <v>24</v>
      </c>
      <c r="B278" s="180">
        <v>90</v>
      </c>
      <c r="C278" s="14">
        <f>A278-A308</f>
        <v>10</v>
      </c>
      <c r="D278" s="14">
        <f>A278-A296</f>
        <v>6</v>
      </c>
      <c r="E278" s="14">
        <f>A278-A341</f>
        <v>21</v>
      </c>
      <c r="F278" s="14">
        <v>0</v>
      </c>
      <c r="G278" s="14">
        <f>A278-A293</f>
        <v>5</v>
      </c>
      <c r="H278" s="14">
        <f>A278-A305</f>
        <v>9</v>
      </c>
      <c r="I278" s="45"/>
      <c r="J278" s="156"/>
      <c r="K278" s="45"/>
      <c r="L278" s="186">
        <v>45943</v>
      </c>
      <c r="M278" s="45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55"/>
      <c r="Y278" s="146"/>
      <c r="Z278" s="146"/>
      <c r="AA278" s="146"/>
      <c r="AB278" s="146"/>
      <c r="AC278" s="146"/>
      <c r="AD278" s="146"/>
      <c r="AE278" s="146"/>
      <c r="AF278" s="146"/>
      <c r="AG278" s="146"/>
      <c r="AH278" s="146"/>
      <c r="AI278" s="150"/>
      <c r="DY278" s="43"/>
      <c r="DZ278" s="20"/>
      <c r="EA278" s="21"/>
      <c r="EB278" s="21"/>
      <c r="EC278" s="21"/>
      <c r="ED278" s="21"/>
      <c r="EE278" s="21"/>
      <c r="EF278" s="21"/>
      <c r="EG278" s="21"/>
      <c r="EH278" s="20"/>
      <c r="EI278" s="20"/>
      <c r="EJ278" s="20"/>
      <c r="EK278" s="20"/>
      <c r="EL278" s="20"/>
      <c r="EM278" s="20"/>
      <c r="EN278" s="20"/>
      <c r="EO278" s="20"/>
      <c r="EP278" s="20"/>
      <c r="EQ278" s="20"/>
      <c r="ER278" s="20"/>
      <c r="ES278" s="20"/>
      <c r="ET278" s="20"/>
      <c r="EU278" s="20"/>
      <c r="EV278" s="20"/>
      <c r="EW278" s="20"/>
      <c r="EX278" s="20"/>
      <c r="EY278" s="20"/>
      <c r="EZ278" s="20"/>
      <c r="FA278" s="20"/>
      <c r="FB278" s="20"/>
      <c r="FC278" s="20"/>
      <c r="FD278" s="20"/>
      <c r="FE278" s="20"/>
      <c r="FF278" s="20"/>
      <c r="FG278" s="20"/>
      <c r="FH278" s="20"/>
      <c r="FI278" s="20"/>
      <c r="FJ278" s="20"/>
      <c r="FK278" s="20"/>
      <c r="FL278" s="20"/>
    </row>
    <row r="279" spans="1:168" s="13" customFormat="1" ht="15.6" x14ac:dyDescent="0.25">
      <c r="A279" s="178"/>
      <c r="B279" s="180"/>
      <c r="C279" s="118">
        <v>24</v>
      </c>
      <c r="D279" s="118">
        <v>36</v>
      </c>
      <c r="E279" s="118">
        <v>50</v>
      </c>
      <c r="F279" s="118">
        <v>63</v>
      </c>
      <c r="G279" s="118">
        <v>65</v>
      </c>
      <c r="H279" s="118">
        <v>68</v>
      </c>
      <c r="I279" s="45"/>
      <c r="J279" s="118"/>
      <c r="K279" s="45"/>
      <c r="L279" s="186"/>
      <c r="M279" s="45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55"/>
      <c r="Y279" s="146"/>
      <c r="Z279" s="146"/>
      <c r="AA279" s="146"/>
      <c r="AB279" s="146"/>
      <c r="AC279" s="146"/>
      <c r="AD279" s="146"/>
      <c r="AE279" s="146"/>
      <c r="AF279" s="146"/>
      <c r="AG279" s="146"/>
      <c r="AH279" s="146"/>
      <c r="AI279" s="150"/>
      <c r="DY279" s="43"/>
      <c r="DZ279" s="20"/>
      <c r="EA279" s="21"/>
      <c r="EB279" s="21"/>
      <c r="EC279" s="21"/>
      <c r="ED279" s="21"/>
      <c r="EE279" s="21"/>
      <c r="EF279" s="21"/>
      <c r="EG279" s="21"/>
      <c r="EH279" s="20"/>
      <c r="EI279" s="20"/>
      <c r="EJ279" s="20"/>
      <c r="EK279" s="20"/>
      <c r="EL279" s="20"/>
      <c r="EM279" s="20"/>
      <c r="EN279" s="20"/>
      <c r="EO279" s="20"/>
      <c r="EP279" s="20"/>
      <c r="EQ279" s="20"/>
      <c r="ER279" s="20"/>
      <c r="ES279" s="20"/>
      <c r="ET279" s="20"/>
      <c r="EU279" s="20"/>
      <c r="EV279" s="20"/>
      <c r="EW279" s="20"/>
      <c r="EX279" s="20"/>
      <c r="EY279" s="20"/>
      <c r="EZ279" s="20"/>
      <c r="FA279" s="20"/>
      <c r="FB279" s="20"/>
      <c r="FC279" s="20"/>
      <c r="FD279" s="20"/>
      <c r="FE279" s="20"/>
      <c r="FF279" s="20"/>
      <c r="FG279" s="20"/>
      <c r="FH279" s="20"/>
      <c r="FI279" s="20"/>
      <c r="FJ279" s="20"/>
      <c r="FK279" s="20"/>
      <c r="FL279" s="20"/>
    </row>
    <row r="280" spans="1:168" s="13" customFormat="1" ht="13.2" x14ac:dyDescent="0.25">
      <c r="A280" s="179"/>
      <c r="B280" s="180"/>
      <c r="C280" s="10">
        <f>D310+1</f>
        <v>3</v>
      </c>
      <c r="D280" s="10">
        <f>J298+1</f>
        <v>4</v>
      </c>
      <c r="E280" s="10">
        <f>F343+1</f>
        <v>2</v>
      </c>
      <c r="F280" s="10">
        <v>1</v>
      </c>
      <c r="G280" s="10">
        <f>H295+1</f>
        <v>4</v>
      </c>
      <c r="H280" s="10">
        <f>F307+1</f>
        <v>3</v>
      </c>
      <c r="I280" s="45"/>
      <c r="J280" s="156"/>
      <c r="K280" s="45"/>
      <c r="L280" s="186"/>
      <c r="M280" s="45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55"/>
      <c r="Y280" s="146"/>
      <c r="Z280" s="146"/>
      <c r="AA280" s="146"/>
      <c r="AB280" s="146"/>
      <c r="AC280" s="146"/>
      <c r="AD280" s="146"/>
      <c r="AE280" s="146"/>
      <c r="AF280" s="146"/>
      <c r="AG280" s="146"/>
      <c r="AH280" s="146"/>
      <c r="AI280" s="150"/>
      <c r="DY280" s="43"/>
      <c r="DZ280" s="20"/>
      <c r="EA280" s="21"/>
      <c r="EB280" s="21"/>
      <c r="EC280" s="21"/>
      <c r="ED280" s="21"/>
      <c r="EE280" s="21"/>
      <c r="EF280" s="21"/>
      <c r="EG280" s="21"/>
      <c r="EH280" s="20"/>
      <c r="EI280" s="20"/>
      <c r="EJ280" s="20"/>
      <c r="EK280" s="20"/>
      <c r="EL280" s="20"/>
      <c r="EM280" s="20"/>
      <c r="EN280" s="20"/>
      <c r="EO280" s="20"/>
      <c r="EP280" s="20"/>
      <c r="EQ280" s="20"/>
      <c r="ER280" s="20"/>
      <c r="ES280" s="20"/>
      <c r="ET280" s="20"/>
      <c r="EU280" s="20"/>
      <c r="EV280" s="20"/>
      <c r="EW280" s="20"/>
      <c r="EX280" s="20"/>
      <c r="EY280" s="20"/>
      <c r="EZ280" s="20"/>
      <c r="FA280" s="20"/>
      <c r="FB280" s="20"/>
      <c r="FC280" s="20"/>
      <c r="FD280" s="20"/>
      <c r="FE280" s="20"/>
      <c r="FF280" s="20"/>
      <c r="FG280" s="20"/>
      <c r="FH280" s="20"/>
      <c r="FI280" s="20"/>
      <c r="FJ280" s="20"/>
      <c r="FK280" s="20"/>
      <c r="FL280" s="20"/>
    </row>
    <row r="281" spans="1:168" s="13" customFormat="1" ht="15" customHeight="1" x14ac:dyDescent="0.25">
      <c r="A281" s="177">
        <v>23</v>
      </c>
      <c r="B281" s="180">
        <v>91</v>
      </c>
      <c r="C281" s="14">
        <f>A281-A299</f>
        <v>6</v>
      </c>
      <c r="D281" s="14">
        <f>A281-A290</f>
        <v>3</v>
      </c>
      <c r="E281" s="14">
        <f>A281-A290</f>
        <v>3</v>
      </c>
      <c r="F281" s="14">
        <v>0</v>
      </c>
      <c r="G281" s="14">
        <f>A281-A326</f>
        <v>15</v>
      </c>
      <c r="H281" s="14">
        <v>0</v>
      </c>
      <c r="I281" s="45"/>
      <c r="J281" s="156"/>
      <c r="K281" s="45"/>
      <c r="L281" s="186">
        <v>45941</v>
      </c>
      <c r="M281" s="45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55"/>
      <c r="Y281" s="146"/>
      <c r="Z281" s="146"/>
      <c r="AA281" s="146"/>
      <c r="AB281" s="146"/>
      <c r="AC281" s="146"/>
      <c r="AD281" s="146"/>
      <c r="AE281" s="146"/>
      <c r="AF281" s="146"/>
      <c r="AG281" s="146"/>
      <c r="AH281" s="146"/>
      <c r="AI281" s="150"/>
      <c r="DY281" s="43"/>
      <c r="DZ281" s="20"/>
      <c r="EA281" s="21"/>
      <c r="EB281" s="21"/>
      <c r="EC281" s="21"/>
      <c r="ED281" s="21"/>
      <c r="EE281" s="21"/>
      <c r="EF281" s="21"/>
      <c r="EG281" s="21"/>
      <c r="EH281" s="20"/>
      <c r="EI281" s="20"/>
      <c r="EJ281" s="20"/>
      <c r="EK281" s="20"/>
      <c r="EL281" s="20"/>
      <c r="EM281" s="20"/>
      <c r="EN281" s="20"/>
      <c r="EO281" s="20"/>
      <c r="EP281" s="20"/>
      <c r="EQ281" s="20"/>
      <c r="ER281" s="20"/>
      <c r="ES281" s="20"/>
      <c r="ET281" s="20"/>
      <c r="EU281" s="20"/>
      <c r="EV281" s="20"/>
      <c r="EW281" s="20"/>
      <c r="EX281" s="20"/>
      <c r="EY281" s="20"/>
      <c r="EZ281" s="20"/>
      <c r="FA281" s="20"/>
      <c r="FB281" s="20"/>
      <c r="FC281" s="20"/>
      <c r="FD281" s="20"/>
      <c r="FE281" s="20"/>
      <c r="FF281" s="20"/>
      <c r="FG281" s="20"/>
      <c r="FH281" s="20"/>
      <c r="FI281" s="20"/>
      <c r="FJ281" s="20"/>
      <c r="FK281" s="20"/>
      <c r="FL281" s="20"/>
    </row>
    <row r="282" spans="1:168" s="13" customFormat="1" ht="15.6" x14ac:dyDescent="0.25">
      <c r="A282" s="178"/>
      <c r="B282" s="180"/>
      <c r="C282" s="118">
        <v>6</v>
      </c>
      <c r="D282" s="118">
        <v>12</v>
      </c>
      <c r="E282" s="118">
        <v>15</v>
      </c>
      <c r="F282" s="118">
        <v>16</v>
      </c>
      <c r="G282" s="118">
        <v>19</v>
      </c>
      <c r="H282" s="118">
        <v>55</v>
      </c>
      <c r="I282" s="45"/>
      <c r="J282" s="118"/>
      <c r="K282" s="45"/>
      <c r="L282" s="186"/>
      <c r="M282" s="45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55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50"/>
      <c r="DY282" s="43"/>
      <c r="DZ282" s="20"/>
      <c r="EA282" s="21"/>
      <c r="EB282" s="21"/>
      <c r="EC282" s="21"/>
      <c r="ED282" s="21"/>
      <c r="EE282" s="21"/>
      <c r="EF282" s="21"/>
      <c r="EG282" s="21"/>
      <c r="EH282" s="20"/>
      <c r="EI282" s="20"/>
      <c r="EJ282" s="20"/>
      <c r="EK282" s="20"/>
      <c r="EL282" s="20"/>
      <c r="EM282" s="20"/>
      <c r="EN282" s="20"/>
      <c r="EO282" s="20"/>
      <c r="EP282" s="20"/>
      <c r="EQ282" s="20"/>
      <c r="ER282" s="20"/>
      <c r="ES282" s="20"/>
      <c r="ET282" s="20"/>
      <c r="EU282" s="20"/>
      <c r="EV282" s="20"/>
      <c r="EW282" s="20"/>
      <c r="EX282" s="20"/>
      <c r="EY282" s="20"/>
      <c r="EZ282" s="20"/>
      <c r="FA282" s="20"/>
      <c r="FB282" s="20"/>
      <c r="FC282" s="20"/>
      <c r="FD282" s="20"/>
      <c r="FE282" s="20"/>
      <c r="FF282" s="20"/>
      <c r="FG282" s="20"/>
      <c r="FH282" s="20"/>
      <c r="FI282" s="20"/>
      <c r="FJ282" s="20"/>
      <c r="FK282" s="20"/>
      <c r="FL282" s="20"/>
    </row>
    <row r="283" spans="1:168" s="13" customFormat="1" ht="13.2" x14ac:dyDescent="0.25">
      <c r="A283" s="179"/>
      <c r="B283" s="180"/>
      <c r="C283" s="10">
        <f>C301+1</f>
        <v>3</v>
      </c>
      <c r="D283" s="10">
        <f>D292+1</f>
        <v>3</v>
      </c>
      <c r="E283" s="10">
        <f>E292+1</f>
        <v>2</v>
      </c>
      <c r="F283" s="10">
        <v>1</v>
      </c>
      <c r="G283" s="10">
        <f>D328+1</f>
        <v>2</v>
      </c>
      <c r="H283" s="10">
        <v>1</v>
      </c>
      <c r="I283" s="45"/>
      <c r="J283" s="156"/>
      <c r="K283" s="45"/>
      <c r="L283" s="186"/>
      <c r="M283" s="45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55"/>
      <c r="Y283" s="146"/>
      <c r="Z283" s="146"/>
      <c r="AA283" s="146"/>
      <c r="AB283" s="146"/>
      <c r="AC283" s="146"/>
      <c r="AD283" s="146"/>
      <c r="AE283" s="146"/>
      <c r="AF283" s="146"/>
      <c r="AG283" s="146"/>
      <c r="AH283" s="146"/>
      <c r="AI283" s="150"/>
      <c r="DY283" s="43"/>
      <c r="DZ283" s="20"/>
      <c r="EA283" s="21"/>
      <c r="EB283" s="21"/>
      <c r="EC283" s="21"/>
      <c r="ED283" s="21"/>
      <c r="EE283" s="21"/>
      <c r="EF283" s="21"/>
      <c r="EG283" s="21"/>
      <c r="EH283" s="20"/>
      <c r="EI283" s="20"/>
      <c r="EJ283" s="20"/>
      <c r="EK283" s="20"/>
      <c r="EL283" s="20"/>
      <c r="EM283" s="20"/>
      <c r="EN283" s="20"/>
      <c r="EO283" s="20"/>
      <c r="EP283" s="20"/>
      <c r="EQ283" s="20"/>
      <c r="ER283" s="20"/>
      <c r="ES283" s="20"/>
      <c r="ET283" s="20"/>
      <c r="EU283" s="20"/>
      <c r="EV283" s="20"/>
      <c r="EW283" s="20"/>
      <c r="EX283" s="20"/>
      <c r="EY283" s="20"/>
      <c r="EZ283" s="20"/>
      <c r="FA283" s="20"/>
      <c r="FB283" s="20"/>
      <c r="FC283" s="20"/>
      <c r="FD283" s="20"/>
      <c r="FE283" s="20"/>
      <c r="FF283" s="20"/>
      <c r="FG283" s="20"/>
      <c r="FH283" s="20"/>
      <c r="FI283" s="20"/>
      <c r="FJ283" s="20"/>
      <c r="FK283" s="20"/>
      <c r="FL283" s="20"/>
    </row>
    <row r="284" spans="1:168" s="13" customFormat="1" ht="13.2" x14ac:dyDescent="0.25">
      <c r="A284" s="177">
        <v>22</v>
      </c>
      <c r="B284" s="180">
        <v>92</v>
      </c>
      <c r="C284" s="14">
        <f>A284-A293</f>
        <v>3</v>
      </c>
      <c r="D284" s="14">
        <f>A284-A329</f>
        <v>15</v>
      </c>
      <c r="E284" s="14">
        <f>A284-A335</f>
        <v>17</v>
      </c>
      <c r="F284" s="14">
        <f>A284-A287</f>
        <v>1</v>
      </c>
      <c r="G284" s="14">
        <f>A284-A287</f>
        <v>1</v>
      </c>
      <c r="H284" s="14">
        <f>A284-A311</f>
        <v>9</v>
      </c>
      <c r="I284" s="45"/>
      <c r="J284" s="156"/>
      <c r="K284" s="45"/>
      <c r="L284" s="186">
        <v>45938</v>
      </c>
      <c r="M284" s="45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55"/>
      <c r="Y284" s="146"/>
      <c r="Z284" s="146"/>
      <c r="AA284" s="146"/>
      <c r="AB284" s="146"/>
      <c r="AC284" s="146"/>
      <c r="AD284" s="146"/>
      <c r="AE284" s="146"/>
      <c r="AF284" s="146"/>
      <c r="AG284" s="146"/>
      <c r="AH284" s="146"/>
      <c r="AI284" s="150"/>
      <c r="DY284" s="43"/>
      <c r="DZ284" s="20"/>
      <c r="EA284" s="21"/>
      <c r="EB284" s="161"/>
      <c r="EC284" s="161"/>
      <c r="ED284" s="161"/>
      <c r="EE284" s="161"/>
      <c r="EF284" s="161"/>
      <c r="EG284" s="161"/>
      <c r="EH284" s="161"/>
      <c r="EI284" s="20"/>
      <c r="EJ284" s="20"/>
      <c r="EK284" s="20"/>
      <c r="EL284" s="20"/>
      <c r="EM284" s="20"/>
      <c r="EN284" s="20"/>
      <c r="EO284" s="20"/>
      <c r="EP284" s="20"/>
      <c r="EQ284" s="20"/>
      <c r="ER284" s="20"/>
      <c r="ES284" s="20"/>
      <c r="ET284" s="20"/>
      <c r="EU284" s="20"/>
      <c r="EV284" s="20"/>
      <c r="EW284" s="20"/>
      <c r="EX284" s="20"/>
      <c r="EY284" s="20"/>
      <c r="EZ284" s="20"/>
      <c r="FA284" s="20"/>
      <c r="FB284" s="20"/>
      <c r="FC284" s="20"/>
      <c r="FD284" s="20"/>
      <c r="FE284" s="20"/>
      <c r="FF284" s="20"/>
      <c r="FG284" s="20"/>
      <c r="FH284" s="20"/>
      <c r="FI284" s="20"/>
      <c r="FJ284" s="20"/>
      <c r="FK284" s="20"/>
      <c r="FL284" s="20"/>
    </row>
    <row r="285" spans="1:168" s="13" customFormat="1" ht="15.6" x14ac:dyDescent="0.25">
      <c r="A285" s="178"/>
      <c r="B285" s="180"/>
      <c r="C285" s="118">
        <v>4</v>
      </c>
      <c r="D285" s="118">
        <v>27</v>
      </c>
      <c r="E285" s="118">
        <v>37</v>
      </c>
      <c r="F285" s="118">
        <v>41</v>
      </c>
      <c r="G285" s="118">
        <v>48</v>
      </c>
      <c r="H285" s="118">
        <v>73</v>
      </c>
      <c r="I285" s="45"/>
      <c r="J285" s="118"/>
      <c r="K285" s="45"/>
      <c r="L285" s="186"/>
      <c r="M285" s="45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55"/>
      <c r="Y285" s="146"/>
      <c r="Z285" s="146"/>
      <c r="AA285" s="146"/>
      <c r="AB285" s="146"/>
      <c r="AC285" s="146"/>
      <c r="AD285" s="146"/>
      <c r="AE285" s="146"/>
      <c r="AF285" s="146"/>
      <c r="AG285" s="146"/>
      <c r="AH285" s="146"/>
      <c r="AI285" s="150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43"/>
      <c r="DZ285" s="20"/>
      <c r="EA285" s="21"/>
      <c r="EB285" s="81"/>
      <c r="EC285" s="81"/>
      <c r="ED285" s="81"/>
      <c r="EE285" s="81"/>
      <c r="EF285" s="81"/>
      <c r="EG285" s="81"/>
      <c r="EH285" s="11"/>
      <c r="EI285" s="20"/>
      <c r="EJ285" s="20"/>
      <c r="EK285" s="20"/>
      <c r="EL285" s="20"/>
      <c r="EM285" s="20"/>
      <c r="EN285" s="20"/>
      <c r="EO285" s="20"/>
      <c r="EP285" s="20"/>
      <c r="EQ285" s="20"/>
      <c r="ER285" s="20"/>
      <c r="ES285" s="20"/>
      <c r="ET285" s="20"/>
      <c r="EU285" s="20"/>
      <c r="EV285" s="20"/>
      <c r="EW285" s="20"/>
      <c r="EX285" s="20"/>
      <c r="EY285" s="20"/>
      <c r="EZ285" s="20"/>
      <c r="FA285" s="20"/>
      <c r="FB285" s="20"/>
      <c r="FC285" s="20"/>
      <c r="FD285" s="20"/>
      <c r="FE285" s="20"/>
      <c r="FF285" s="20"/>
      <c r="FG285" s="20"/>
      <c r="FH285" s="20"/>
      <c r="FI285" s="20"/>
      <c r="FJ285" s="20"/>
      <c r="FK285" s="20"/>
      <c r="FL285" s="20"/>
    </row>
    <row r="286" spans="1:168" s="13" customFormat="1" ht="13.2" x14ac:dyDescent="0.25">
      <c r="A286" s="179"/>
      <c r="B286" s="180"/>
      <c r="C286" s="10">
        <f>C295+1</f>
        <v>3</v>
      </c>
      <c r="D286" s="10">
        <f>C331+1</f>
        <v>2</v>
      </c>
      <c r="E286" s="10">
        <f>D337+1</f>
        <v>2</v>
      </c>
      <c r="F286" s="10">
        <f>E289+1</f>
        <v>3</v>
      </c>
      <c r="G286" s="10">
        <f>F289+1</f>
        <v>3</v>
      </c>
      <c r="H286" s="10">
        <f>F313+1</f>
        <v>2</v>
      </c>
      <c r="I286" s="45"/>
      <c r="J286" s="156"/>
      <c r="K286" s="45"/>
      <c r="L286" s="186"/>
      <c r="M286" s="45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55"/>
      <c r="Y286" s="146"/>
      <c r="Z286" s="146"/>
      <c r="AA286" s="146"/>
      <c r="AB286" s="146"/>
      <c r="AC286" s="146"/>
      <c r="AD286" s="146"/>
      <c r="AE286" s="146"/>
      <c r="AF286" s="146"/>
      <c r="AG286" s="146"/>
      <c r="AH286" s="146"/>
      <c r="AI286" s="150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43"/>
      <c r="DZ286" s="20"/>
      <c r="EA286" s="21"/>
      <c r="EB286" s="81"/>
      <c r="EC286" s="81"/>
      <c r="ED286" s="81"/>
      <c r="EE286" s="81"/>
      <c r="EF286" s="81"/>
      <c r="EG286" s="81"/>
      <c r="EH286" s="11"/>
      <c r="EI286" s="20"/>
      <c r="EJ286" s="20"/>
      <c r="EK286" s="20"/>
      <c r="EL286" s="20"/>
      <c r="EM286" s="20"/>
      <c r="EN286" s="20"/>
      <c r="EO286" s="20"/>
      <c r="EP286" s="20"/>
      <c r="EQ286" s="20"/>
      <c r="ER286" s="20"/>
      <c r="ES286" s="20"/>
      <c r="ET286" s="20"/>
      <c r="EU286" s="20"/>
      <c r="EV286" s="20"/>
      <c r="EW286" s="20"/>
      <c r="EX286" s="20"/>
      <c r="EY286" s="20"/>
      <c r="EZ286" s="20"/>
      <c r="FA286" s="20"/>
      <c r="FB286" s="20"/>
      <c r="FC286" s="20"/>
      <c r="FD286" s="20"/>
      <c r="FE286" s="20"/>
      <c r="FF286" s="20"/>
      <c r="FG286" s="20"/>
      <c r="FH286" s="20"/>
      <c r="FI286" s="20"/>
      <c r="FJ286" s="20"/>
      <c r="FK286" s="20"/>
      <c r="FL286" s="20"/>
    </row>
    <row r="287" spans="1:168" s="13" customFormat="1" ht="13.2" x14ac:dyDescent="0.25">
      <c r="A287" s="177">
        <v>21</v>
      </c>
      <c r="B287" s="180">
        <v>93</v>
      </c>
      <c r="C287" s="14">
        <f>A287-A290</f>
        <v>1</v>
      </c>
      <c r="D287" s="14">
        <v>0</v>
      </c>
      <c r="E287" s="14">
        <f>A287-A314</f>
        <v>9</v>
      </c>
      <c r="F287" s="14">
        <f>A287-A302</f>
        <v>5</v>
      </c>
      <c r="G287" s="14">
        <f>A287-A320</f>
        <v>11</v>
      </c>
      <c r="H287" s="14">
        <v>0</v>
      </c>
      <c r="I287" s="45"/>
      <c r="J287" s="156"/>
      <c r="K287" s="45"/>
      <c r="L287" s="186">
        <v>45936</v>
      </c>
      <c r="M287" s="45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55"/>
      <c r="Y287" s="146"/>
      <c r="Z287" s="146"/>
      <c r="AA287" s="146"/>
      <c r="AB287" s="146"/>
      <c r="AC287" s="146"/>
      <c r="AD287" s="146"/>
      <c r="AE287" s="146"/>
      <c r="AF287" s="146"/>
      <c r="AG287" s="146"/>
      <c r="AH287" s="146"/>
      <c r="AI287" s="150"/>
      <c r="DY287" s="43"/>
      <c r="DZ287" s="20"/>
      <c r="EA287" s="21"/>
      <c r="EB287" s="81"/>
      <c r="EC287" s="81"/>
      <c r="ED287" s="81"/>
      <c r="EE287" s="81"/>
      <c r="EF287" s="81"/>
      <c r="EG287" s="81"/>
      <c r="EH287" s="11"/>
      <c r="EI287" s="20"/>
      <c r="EJ287" s="20"/>
      <c r="EK287" s="20"/>
      <c r="EL287" s="20"/>
      <c r="EM287" s="20"/>
      <c r="EN287" s="20"/>
      <c r="EO287" s="20"/>
      <c r="EP287" s="20"/>
      <c r="EQ287" s="20"/>
      <c r="ER287" s="20"/>
      <c r="ES287" s="20"/>
      <c r="ET287" s="20"/>
      <c r="EU287" s="20"/>
      <c r="EV287" s="20"/>
      <c r="EW287" s="20"/>
      <c r="EX287" s="20"/>
      <c r="EY287" s="20"/>
      <c r="EZ287" s="20"/>
      <c r="FA287" s="20"/>
      <c r="FB287" s="20"/>
      <c r="FC287" s="20"/>
      <c r="FD287" s="20"/>
      <c r="FE287" s="20"/>
      <c r="FF287" s="20"/>
      <c r="FG287" s="20"/>
      <c r="FH287" s="20"/>
      <c r="FI287" s="20"/>
      <c r="FJ287" s="20"/>
      <c r="FK287" s="20"/>
      <c r="FL287" s="20"/>
    </row>
    <row r="288" spans="1:168" s="13" customFormat="1" ht="15.6" x14ac:dyDescent="0.25">
      <c r="A288" s="178"/>
      <c r="B288" s="180"/>
      <c r="C288" s="124">
        <v>23</v>
      </c>
      <c r="D288" s="120">
        <v>31</v>
      </c>
      <c r="E288" s="120">
        <v>41</v>
      </c>
      <c r="F288" s="120">
        <v>48</v>
      </c>
      <c r="G288" s="120">
        <v>58</v>
      </c>
      <c r="H288" s="120">
        <v>75</v>
      </c>
      <c r="I288" s="45"/>
      <c r="J288" s="120"/>
      <c r="K288" s="45"/>
      <c r="L288" s="186"/>
      <c r="M288" s="45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55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150"/>
      <c r="DY288" s="43"/>
      <c r="DZ288" s="20"/>
      <c r="EA288" s="21"/>
      <c r="EB288" s="81"/>
      <c r="EC288" s="81"/>
      <c r="ED288" s="81"/>
      <c r="EE288" s="81"/>
      <c r="EF288" s="81"/>
      <c r="EG288" s="81"/>
      <c r="EH288" s="11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20"/>
      <c r="EZ288" s="20"/>
      <c r="FA288" s="20"/>
      <c r="FB288" s="20"/>
      <c r="FC288" s="20"/>
      <c r="FD288" s="20"/>
      <c r="FE288" s="20"/>
      <c r="FF288" s="20"/>
      <c r="FG288" s="20"/>
      <c r="FH288" s="20"/>
      <c r="FI288" s="20"/>
      <c r="FJ288" s="20"/>
      <c r="FK288" s="20"/>
      <c r="FL288" s="20"/>
    </row>
    <row r="289" spans="1:180" s="13" customFormat="1" ht="13.2" x14ac:dyDescent="0.25">
      <c r="A289" s="179"/>
      <c r="B289" s="180"/>
      <c r="C289" s="10">
        <f>F292+1</f>
        <v>4</v>
      </c>
      <c r="D289" s="10">
        <v>1</v>
      </c>
      <c r="E289" s="10">
        <f>F316+1</f>
        <v>2</v>
      </c>
      <c r="F289" s="10">
        <f>D304+1</f>
        <v>2</v>
      </c>
      <c r="G289" s="10">
        <f>F322+1</f>
        <v>2</v>
      </c>
      <c r="H289" s="10">
        <v>1</v>
      </c>
      <c r="I289" s="45"/>
      <c r="J289" s="156"/>
      <c r="K289" s="45"/>
      <c r="L289" s="186"/>
      <c r="M289" s="45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55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150"/>
      <c r="DY289" s="43"/>
      <c r="DZ289" s="20"/>
      <c r="EA289" s="21"/>
      <c r="EB289" s="81"/>
      <c r="EC289" s="81"/>
      <c r="ED289" s="81"/>
      <c r="EE289" s="81"/>
      <c r="EF289" s="81"/>
      <c r="EG289" s="81"/>
      <c r="EH289" s="11"/>
      <c r="EI289" s="20"/>
      <c r="EJ289" s="20"/>
      <c r="EK289" s="20"/>
      <c r="EL289" s="20"/>
      <c r="EM289" s="20"/>
      <c r="EN289" s="20"/>
      <c r="EO289" s="20"/>
      <c r="EP289" s="20"/>
      <c r="EQ289" s="20"/>
      <c r="ER289" s="20"/>
      <c r="ES289" s="20"/>
      <c r="ET289" s="20"/>
      <c r="EU289" s="20"/>
      <c r="EV289" s="20"/>
      <c r="EW289" s="20"/>
      <c r="EX289" s="20"/>
      <c r="EY289" s="20"/>
      <c r="EZ289" s="20"/>
      <c r="FA289" s="20"/>
      <c r="FB289" s="20"/>
      <c r="FC289" s="20"/>
      <c r="FD289" s="20"/>
      <c r="FE289" s="20"/>
      <c r="FF289" s="20"/>
      <c r="FG289" s="20"/>
      <c r="FH289" s="20"/>
      <c r="FI289" s="20"/>
      <c r="FJ289" s="20"/>
      <c r="FK289" s="20"/>
      <c r="FL289" s="20"/>
    </row>
    <row r="290" spans="1:180" s="13" customFormat="1" ht="13.2" customHeight="1" x14ac:dyDescent="0.25">
      <c r="A290" s="177">
        <v>20</v>
      </c>
      <c r="B290" s="180">
        <v>94</v>
      </c>
      <c r="C290" s="14">
        <v>0</v>
      </c>
      <c r="D290" s="14">
        <f>A290-A323</f>
        <v>11</v>
      </c>
      <c r="E290" s="14">
        <v>0</v>
      </c>
      <c r="F290" s="14">
        <f>A290-A332</f>
        <v>14</v>
      </c>
      <c r="G290" s="14">
        <f>A290-A335</f>
        <v>15</v>
      </c>
      <c r="H290" s="14">
        <f>A290-A341</f>
        <v>17</v>
      </c>
      <c r="I290" s="45"/>
      <c r="J290" s="156"/>
      <c r="K290" s="45"/>
      <c r="L290" s="186">
        <v>45934</v>
      </c>
      <c r="M290" s="45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55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150"/>
      <c r="AL290" s="56"/>
      <c r="AR290" s="56"/>
      <c r="DY290" s="43"/>
      <c r="DZ290" s="20"/>
      <c r="EA290" s="21"/>
      <c r="EB290" s="81"/>
      <c r="EC290" s="81"/>
      <c r="ED290" s="81"/>
      <c r="EE290" s="81"/>
      <c r="EF290" s="81"/>
      <c r="EG290" s="81"/>
      <c r="EH290" s="11"/>
      <c r="EI290" s="20"/>
      <c r="EJ290" s="20"/>
      <c r="EK290" s="20"/>
      <c r="EL290" s="20"/>
      <c r="EM290" s="20"/>
      <c r="EN290" s="20"/>
      <c r="EO290" s="20"/>
      <c r="EP290" s="20"/>
      <c r="EQ290" s="20"/>
      <c r="ER290" s="20"/>
      <c r="ES290" s="20"/>
      <c r="ET290" s="20"/>
      <c r="EU290" s="20"/>
      <c r="EV290" s="20"/>
      <c r="EW290" s="20"/>
      <c r="EX290" s="20"/>
      <c r="EY290" s="20"/>
      <c r="EZ290" s="20"/>
      <c r="FA290" s="20"/>
      <c r="FB290" s="20"/>
      <c r="FC290" s="20"/>
      <c r="FD290" s="20"/>
      <c r="FE290" s="20"/>
      <c r="FF290" s="20"/>
      <c r="FG290" s="20"/>
      <c r="FH290" s="20"/>
      <c r="FI290" s="20"/>
      <c r="FJ290" s="20"/>
      <c r="FK290" s="20"/>
      <c r="FL290" s="20"/>
    </row>
    <row r="291" spans="1:180" s="13" customFormat="1" ht="15.6" x14ac:dyDescent="0.25">
      <c r="A291" s="178"/>
      <c r="B291" s="180"/>
      <c r="C291" s="118">
        <v>8</v>
      </c>
      <c r="D291" s="118">
        <v>12</v>
      </c>
      <c r="E291" s="118">
        <v>15</v>
      </c>
      <c r="F291" s="118">
        <v>23</v>
      </c>
      <c r="G291" s="118">
        <v>34</v>
      </c>
      <c r="H291" s="118">
        <v>56</v>
      </c>
      <c r="I291" s="45"/>
      <c r="J291" s="118"/>
      <c r="K291" s="45"/>
      <c r="L291" s="186"/>
      <c r="M291" s="45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55"/>
      <c r="Y291" s="146"/>
      <c r="Z291" s="146"/>
      <c r="AA291" s="146"/>
      <c r="AB291" s="146"/>
      <c r="AC291" s="146"/>
      <c r="AD291" s="146"/>
      <c r="AE291" s="146"/>
      <c r="AF291" s="146"/>
      <c r="AG291" s="146"/>
      <c r="AH291" s="146"/>
      <c r="AI291" s="150"/>
      <c r="AL291" s="56"/>
      <c r="AR291" s="56"/>
      <c r="DY291" s="43"/>
      <c r="DZ291" s="20"/>
      <c r="EA291" s="21"/>
      <c r="EB291" s="81"/>
      <c r="EC291" s="81"/>
      <c r="ED291" s="81"/>
      <c r="EE291" s="81"/>
      <c r="EF291" s="81"/>
      <c r="EG291" s="81"/>
      <c r="EH291" s="11"/>
      <c r="EI291" s="20"/>
      <c r="EJ291" s="20"/>
      <c r="EK291" s="20"/>
      <c r="EL291" s="20"/>
      <c r="EM291" s="20"/>
      <c r="EN291" s="20"/>
      <c r="EO291" s="20"/>
      <c r="EP291" s="20"/>
      <c r="EQ291" s="20"/>
      <c r="ER291" s="20"/>
      <c r="ES291" s="20"/>
      <c r="ET291" s="20"/>
      <c r="EU291" s="20"/>
      <c r="EV291" s="20"/>
      <c r="EW291" s="20"/>
      <c r="EX291" s="20"/>
      <c r="EY291" s="20"/>
      <c r="EZ291" s="20"/>
      <c r="FA291" s="20"/>
      <c r="FB291" s="20"/>
      <c r="FC291" s="20"/>
      <c r="FD291" s="20"/>
      <c r="FE291" s="20"/>
      <c r="FF291" s="20"/>
      <c r="FG291" s="20"/>
      <c r="FH291" s="20"/>
      <c r="FI291" s="20"/>
      <c r="FJ291" s="20"/>
      <c r="FK291" s="20"/>
      <c r="FL291" s="20"/>
    </row>
    <row r="292" spans="1:180" s="13" customFormat="1" ht="13.2" x14ac:dyDescent="0.25">
      <c r="A292" s="179"/>
      <c r="B292" s="180"/>
      <c r="C292" s="10">
        <v>1</v>
      </c>
      <c r="D292" s="10">
        <f>E325+1</f>
        <v>2</v>
      </c>
      <c r="E292" s="10">
        <v>1</v>
      </c>
      <c r="F292" s="10">
        <f>F334+1</f>
        <v>3</v>
      </c>
      <c r="G292" s="10">
        <f>C337+1</f>
        <v>2</v>
      </c>
      <c r="H292" s="10">
        <f>G343+1</f>
        <v>2</v>
      </c>
      <c r="I292" s="45"/>
      <c r="J292" s="156"/>
      <c r="K292" s="45"/>
      <c r="L292" s="186"/>
      <c r="M292" s="45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55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150"/>
      <c r="AL292" s="56"/>
      <c r="AR292" s="56"/>
      <c r="DY292" s="43"/>
      <c r="DZ292" s="20"/>
      <c r="EA292" s="21"/>
      <c r="EB292" s="81"/>
      <c r="EC292" s="81"/>
      <c r="ED292" s="81"/>
      <c r="EE292" s="81"/>
      <c r="EF292" s="81"/>
      <c r="EG292" s="81"/>
      <c r="EH292" s="11"/>
      <c r="EI292" s="20"/>
      <c r="EJ292" s="20"/>
      <c r="EK292" s="20"/>
      <c r="EL292" s="20"/>
      <c r="EM292" s="20"/>
      <c r="EN292" s="20"/>
      <c r="EO292" s="20"/>
      <c r="EP292" s="20"/>
      <c r="EQ292" s="20"/>
      <c r="ER292" s="20"/>
      <c r="ES292" s="20"/>
      <c r="ET292" s="20"/>
      <c r="EU292" s="20"/>
      <c r="EV292" s="20"/>
      <c r="EW292" s="20"/>
      <c r="EX292" s="20"/>
      <c r="EY292" s="20"/>
      <c r="EZ292" s="20"/>
      <c r="FA292" s="20"/>
      <c r="FB292" s="20"/>
      <c r="FC292" s="20"/>
      <c r="FD292" s="20"/>
      <c r="FE292" s="20"/>
      <c r="FF292" s="20"/>
      <c r="FG292" s="20"/>
      <c r="FH292" s="20"/>
      <c r="FI292" s="20"/>
      <c r="FJ292" s="20"/>
      <c r="FK292" s="20"/>
      <c r="FL292" s="20"/>
    </row>
    <row r="293" spans="1:180" s="13" customFormat="1" ht="13.2" x14ac:dyDescent="0.25">
      <c r="A293" s="177">
        <v>19</v>
      </c>
      <c r="B293" s="180">
        <v>95</v>
      </c>
      <c r="C293" s="14">
        <f>A293-A344</f>
        <v>17</v>
      </c>
      <c r="D293" s="14">
        <v>0</v>
      </c>
      <c r="E293" s="14">
        <f>A293-A317</f>
        <v>8</v>
      </c>
      <c r="F293" s="14">
        <v>0</v>
      </c>
      <c r="G293" s="14">
        <f>A293-A296</f>
        <v>1</v>
      </c>
      <c r="H293" s="14">
        <f>A293-A302</f>
        <v>3</v>
      </c>
      <c r="I293" s="45"/>
      <c r="J293" s="156"/>
      <c r="K293" s="45"/>
      <c r="L293" s="186">
        <v>45931</v>
      </c>
      <c r="M293" s="45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55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150"/>
      <c r="AL293" s="56"/>
      <c r="AR293" s="56"/>
      <c r="DY293" s="43"/>
      <c r="DZ293" s="20"/>
      <c r="EA293" s="21"/>
      <c r="EB293" s="81"/>
      <c r="EC293" s="81"/>
      <c r="ED293" s="81"/>
      <c r="EE293" s="81"/>
      <c r="EF293" s="81"/>
      <c r="EG293" s="81"/>
      <c r="EH293" s="11"/>
      <c r="EI293" s="20"/>
      <c r="EJ293" s="20"/>
      <c r="EK293" s="20"/>
      <c r="EL293" s="20"/>
      <c r="EM293" s="20"/>
      <c r="EN293" s="20"/>
      <c r="EO293" s="20"/>
      <c r="EP293" s="20"/>
      <c r="EQ293" s="20"/>
      <c r="ER293" s="20"/>
      <c r="ES293" s="20"/>
      <c r="ET293" s="20"/>
      <c r="EU293" s="20"/>
      <c r="EV293" s="20"/>
      <c r="EW293" s="20"/>
      <c r="EX293" s="20"/>
      <c r="EY293" s="20"/>
      <c r="EZ293" s="20"/>
      <c r="FA293" s="20"/>
      <c r="FB293" s="20"/>
      <c r="FC293" s="20"/>
      <c r="FD293" s="20"/>
      <c r="FE293" s="20"/>
      <c r="FF293" s="20"/>
      <c r="FG293" s="20"/>
      <c r="FH293" s="20"/>
      <c r="FI293" s="20"/>
      <c r="FJ293" s="20"/>
      <c r="FK293" s="20"/>
      <c r="FL293" s="20"/>
    </row>
    <row r="294" spans="1:180" s="13" customFormat="1" ht="15.6" x14ac:dyDescent="0.25">
      <c r="A294" s="178"/>
      <c r="B294" s="180"/>
      <c r="C294" s="118">
        <v>4</v>
      </c>
      <c r="D294" s="118">
        <v>28</v>
      </c>
      <c r="E294" s="118">
        <v>40</v>
      </c>
      <c r="F294" s="118">
        <v>54</v>
      </c>
      <c r="G294" s="118">
        <v>57</v>
      </c>
      <c r="H294" s="118">
        <v>65</v>
      </c>
      <c r="I294" s="45"/>
      <c r="J294" s="118"/>
      <c r="K294" s="45"/>
      <c r="L294" s="186"/>
      <c r="M294" s="45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55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50"/>
      <c r="AL294" s="56"/>
      <c r="AR294" s="56"/>
      <c r="DY294" s="43"/>
      <c r="DZ294" s="20"/>
      <c r="EA294" s="21"/>
      <c r="EB294" s="21"/>
      <c r="EC294" s="21"/>
      <c r="ED294" s="21"/>
      <c r="EE294" s="21"/>
      <c r="EF294" s="21"/>
      <c r="EG294" s="21"/>
      <c r="EH294" s="20"/>
      <c r="EI294" s="20"/>
      <c r="EJ294" s="20"/>
      <c r="EK294" s="20"/>
      <c r="EL294" s="20"/>
      <c r="EM294" s="20"/>
      <c r="EN294" s="20"/>
      <c r="EO294" s="20"/>
      <c r="EP294" s="20"/>
      <c r="EQ294" s="20"/>
      <c r="ER294" s="20"/>
      <c r="ES294" s="20"/>
      <c r="ET294" s="20"/>
      <c r="EU294" s="20"/>
      <c r="EV294" s="20"/>
      <c r="EW294" s="20"/>
      <c r="EX294" s="20"/>
      <c r="EY294" s="20"/>
      <c r="EZ294" s="20"/>
      <c r="FA294" s="20"/>
      <c r="FB294" s="20"/>
      <c r="FC294" s="20"/>
      <c r="FD294" s="20"/>
      <c r="FE294" s="20"/>
      <c r="FF294" s="20"/>
      <c r="FG294" s="20"/>
      <c r="FH294" s="20"/>
      <c r="FI294" s="20"/>
      <c r="FJ294" s="20"/>
      <c r="FK294" s="20"/>
      <c r="FL294" s="20"/>
    </row>
    <row r="295" spans="1:180" s="13" customFormat="1" ht="13.2" x14ac:dyDescent="0.25">
      <c r="A295" s="179"/>
      <c r="B295" s="180"/>
      <c r="C295" s="10">
        <f>C346+1</f>
        <v>2</v>
      </c>
      <c r="D295" s="10">
        <v>1</v>
      </c>
      <c r="E295" s="10">
        <f>F319+1</f>
        <v>3</v>
      </c>
      <c r="F295" s="10">
        <v>1</v>
      </c>
      <c r="G295" s="10">
        <f>E298+1</f>
        <v>3</v>
      </c>
      <c r="H295" s="10">
        <f>H304+1</f>
        <v>3</v>
      </c>
      <c r="I295" s="45"/>
      <c r="J295" s="156"/>
      <c r="K295" s="45"/>
      <c r="L295" s="186"/>
      <c r="M295" s="45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55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150"/>
      <c r="AL295" s="56"/>
      <c r="AR295" s="56"/>
      <c r="DY295" s="43"/>
      <c r="DZ295" s="20"/>
      <c r="EA295" s="21"/>
      <c r="EB295" s="21"/>
      <c r="EC295" s="21"/>
      <c r="ED295" s="21"/>
      <c r="EE295" s="21"/>
      <c r="EF295" s="21"/>
      <c r="EG295" s="21"/>
      <c r="EH295" s="20"/>
      <c r="EI295" s="20"/>
      <c r="EJ295" s="20"/>
      <c r="EK295" s="20"/>
      <c r="EL295" s="20"/>
      <c r="EM295" s="20"/>
      <c r="EN295" s="20"/>
      <c r="EO295" s="20"/>
      <c r="EP295" s="20"/>
      <c r="EQ295" s="20"/>
      <c r="ER295" s="20"/>
      <c r="ES295" s="20"/>
      <c r="ET295" s="20"/>
      <c r="EU295" s="20"/>
      <c r="EV295" s="20"/>
      <c r="EW295" s="20"/>
      <c r="EX295" s="20"/>
      <c r="EY295" s="20"/>
      <c r="EZ295" s="20"/>
      <c r="FA295" s="20"/>
      <c r="FB295" s="20"/>
      <c r="FC295" s="20"/>
      <c r="FD295" s="20"/>
      <c r="FE295" s="20"/>
      <c r="FF295" s="20"/>
      <c r="FG295" s="20"/>
      <c r="FH295" s="20"/>
      <c r="FI295" s="20"/>
      <c r="FJ295" s="20"/>
      <c r="FK295" s="20"/>
      <c r="FL295" s="20"/>
    </row>
    <row r="296" spans="1:180" s="13" customFormat="1" ht="13.2" customHeight="1" x14ac:dyDescent="0.25">
      <c r="A296" s="177">
        <v>18</v>
      </c>
      <c r="B296" s="180">
        <v>96</v>
      </c>
      <c r="C296" s="14">
        <f>A296-A308</f>
        <v>4</v>
      </c>
      <c r="D296" s="14">
        <f>A296-A317</f>
        <v>7</v>
      </c>
      <c r="E296" s="14">
        <f>A296-A329</f>
        <v>11</v>
      </c>
      <c r="F296" s="14">
        <f>A296-A335</f>
        <v>13</v>
      </c>
      <c r="G296" s="14">
        <f>A296-A305</f>
        <v>3</v>
      </c>
      <c r="H296" s="14">
        <f>A296-A308</f>
        <v>4</v>
      </c>
      <c r="I296" s="45"/>
      <c r="J296" s="156">
        <f>A296-A320-1</f>
        <v>7</v>
      </c>
      <c r="K296" s="45"/>
      <c r="L296" s="186">
        <v>45929</v>
      </c>
      <c r="M296" s="45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55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150"/>
      <c r="AL296" s="56"/>
      <c r="AR296" s="56"/>
      <c r="DY296" s="43"/>
      <c r="DZ296" s="20"/>
      <c r="EA296" s="21"/>
      <c r="EB296" s="21"/>
      <c r="EC296" s="21"/>
      <c r="ED296" s="21"/>
      <c r="EE296" s="21"/>
      <c r="EF296" s="21"/>
      <c r="EG296" s="21"/>
      <c r="EH296" s="20"/>
    </row>
    <row r="297" spans="1:180" s="13" customFormat="1" ht="15.6" x14ac:dyDescent="0.25">
      <c r="A297" s="178"/>
      <c r="B297" s="180"/>
      <c r="C297" s="118">
        <v>14</v>
      </c>
      <c r="D297" s="118">
        <v>35</v>
      </c>
      <c r="E297" s="118">
        <v>57</v>
      </c>
      <c r="F297" s="118">
        <v>70</v>
      </c>
      <c r="G297" s="118">
        <v>76</v>
      </c>
      <c r="H297" s="118">
        <v>83</v>
      </c>
      <c r="I297" s="45"/>
      <c r="J297" s="118">
        <v>36</v>
      </c>
      <c r="K297" s="45"/>
      <c r="L297" s="186"/>
      <c r="M297" s="45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55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150"/>
      <c r="AL297" s="56"/>
      <c r="AR297" s="56"/>
      <c r="DY297" s="43"/>
      <c r="DZ297" s="20"/>
      <c r="EA297" s="21"/>
      <c r="EB297" s="21"/>
      <c r="EC297" s="21"/>
      <c r="ED297" s="21"/>
      <c r="EE297" s="21"/>
      <c r="EF297" s="21"/>
      <c r="EG297" s="21"/>
      <c r="EH297" s="20"/>
    </row>
    <row r="298" spans="1:180" s="13" customFormat="1" ht="13.2" x14ac:dyDescent="0.25">
      <c r="A298" s="179"/>
      <c r="B298" s="180"/>
      <c r="C298" s="10">
        <f>C310+1</f>
        <v>3</v>
      </c>
      <c r="D298" s="10">
        <f>D319+1</f>
        <v>3</v>
      </c>
      <c r="E298" s="10">
        <f>F331+1</f>
        <v>2</v>
      </c>
      <c r="F298" s="10">
        <f>G337+1</f>
        <v>2</v>
      </c>
      <c r="G298" s="10">
        <f>G307+1</f>
        <v>2</v>
      </c>
      <c r="H298" s="10">
        <f>H310+1</f>
        <v>3</v>
      </c>
      <c r="I298" s="45"/>
      <c r="J298" s="156">
        <f>E322+1</f>
        <v>3</v>
      </c>
      <c r="K298" s="45"/>
      <c r="L298" s="186"/>
      <c r="M298" s="45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55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150"/>
      <c r="AL298" s="56"/>
      <c r="AR298" s="56"/>
      <c r="DY298" s="43"/>
      <c r="DZ298" s="20"/>
      <c r="EA298" s="21"/>
      <c r="EB298" s="21"/>
      <c r="EC298" s="21"/>
      <c r="ED298" s="21"/>
      <c r="EE298" s="21"/>
      <c r="EF298" s="21"/>
      <c r="EG298" s="21"/>
      <c r="EH298" s="20"/>
    </row>
    <row r="299" spans="1:180" s="13" customFormat="1" ht="13.2" x14ac:dyDescent="0.25">
      <c r="A299" s="177">
        <v>17</v>
      </c>
      <c r="B299" s="180">
        <v>97</v>
      </c>
      <c r="C299" s="14">
        <f>A299-A338</f>
        <v>13</v>
      </c>
      <c r="D299" s="14">
        <f>A299-A320</f>
        <v>7</v>
      </c>
      <c r="E299" s="14">
        <v>0</v>
      </c>
      <c r="F299" s="14">
        <f>A299-A308</f>
        <v>3</v>
      </c>
      <c r="G299" s="14">
        <f>A299-A305</f>
        <v>2</v>
      </c>
      <c r="H299" s="14">
        <f>A299-A341</f>
        <v>14</v>
      </c>
      <c r="I299" s="45"/>
      <c r="J299" s="156">
        <f>A299-A323-1</f>
        <v>7</v>
      </c>
      <c r="K299" s="45"/>
      <c r="L299" s="186">
        <v>45927</v>
      </c>
      <c r="M299" s="45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55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150"/>
      <c r="AL299" s="56"/>
      <c r="AR299" s="56"/>
      <c r="DY299" s="43"/>
      <c r="DZ299" s="20"/>
      <c r="EA299" s="21"/>
      <c r="EB299" s="21"/>
      <c r="EC299" s="21"/>
      <c r="ED299" s="21"/>
      <c r="EE299" s="21"/>
      <c r="EF299" s="21"/>
      <c r="EG299" s="21"/>
      <c r="EH299" s="20"/>
    </row>
    <row r="300" spans="1:180" s="13" customFormat="1" ht="15.6" x14ac:dyDescent="0.25">
      <c r="A300" s="178"/>
      <c r="B300" s="180"/>
      <c r="C300" s="124">
        <v>6</v>
      </c>
      <c r="D300" s="120">
        <v>32</v>
      </c>
      <c r="E300" s="120">
        <v>43</v>
      </c>
      <c r="F300" s="120">
        <v>49</v>
      </c>
      <c r="G300" s="120">
        <v>77</v>
      </c>
      <c r="H300" s="120">
        <v>87</v>
      </c>
      <c r="I300" s="45"/>
      <c r="J300" s="120">
        <v>29</v>
      </c>
      <c r="K300" s="45"/>
      <c r="L300" s="186"/>
      <c r="M300" s="45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55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150"/>
      <c r="AL300" s="56"/>
      <c r="AR300" s="56"/>
      <c r="DY300" s="43"/>
      <c r="DZ300" s="20"/>
      <c r="EA300" s="21"/>
      <c r="EB300" s="21"/>
      <c r="EC300" s="21"/>
      <c r="ED300" s="21"/>
      <c r="EE300" s="21"/>
      <c r="EF300" s="21"/>
      <c r="EG300" s="21"/>
      <c r="EH300" s="20"/>
    </row>
    <row r="301" spans="1:180" s="13" customFormat="1" ht="13.2" x14ac:dyDescent="0.25">
      <c r="A301" s="179"/>
      <c r="B301" s="180"/>
      <c r="C301" s="10">
        <f>D340+1</f>
        <v>2</v>
      </c>
      <c r="D301" s="10">
        <f>D322+1</f>
        <v>3</v>
      </c>
      <c r="E301" s="10">
        <v>1</v>
      </c>
      <c r="F301" s="10">
        <f>E310+1</f>
        <v>3</v>
      </c>
      <c r="G301" s="10">
        <f>H307+1</f>
        <v>3</v>
      </c>
      <c r="H301" s="10">
        <f>H325+1</f>
        <v>2</v>
      </c>
      <c r="I301" s="45"/>
      <c r="J301" s="156">
        <f>J325+1</f>
        <v>4</v>
      </c>
      <c r="K301" s="45"/>
      <c r="L301" s="186"/>
      <c r="M301" s="45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55"/>
      <c r="Y301" s="146"/>
      <c r="Z301" s="146"/>
      <c r="AA301" s="146"/>
      <c r="AB301" s="146"/>
      <c r="AC301" s="146"/>
      <c r="AD301" s="146"/>
      <c r="AE301" s="146"/>
      <c r="AF301" s="146"/>
      <c r="AG301" s="146"/>
      <c r="AH301" s="146"/>
      <c r="AI301" s="150"/>
      <c r="AL301" s="56"/>
      <c r="AR301" s="56"/>
      <c r="DY301" s="43"/>
      <c r="DZ301" s="20"/>
      <c r="EA301" s="21"/>
      <c r="EB301" s="21"/>
      <c r="EC301" s="21"/>
      <c r="ED301" s="21"/>
      <c r="EE301" s="21"/>
      <c r="EF301" s="21"/>
      <c r="EG301" s="21"/>
      <c r="EH301" s="20"/>
    </row>
    <row r="302" spans="1:180" s="13" customFormat="1" ht="13.2" customHeight="1" x14ac:dyDescent="0.25">
      <c r="A302" s="177">
        <v>16</v>
      </c>
      <c r="B302" s="180">
        <v>98</v>
      </c>
      <c r="C302" s="14">
        <v>0</v>
      </c>
      <c r="D302" s="14">
        <v>0</v>
      </c>
      <c r="E302" s="14">
        <f>A302-A347</f>
        <v>15</v>
      </c>
      <c r="F302" s="14">
        <f>A302-A308</f>
        <v>2</v>
      </c>
      <c r="G302" s="14">
        <f>A302-A320</f>
        <v>6</v>
      </c>
      <c r="H302" s="14">
        <f>A302-A344</f>
        <v>14</v>
      </c>
      <c r="I302" s="45"/>
      <c r="J302" s="156"/>
      <c r="K302" s="45"/>
      <c r="L302" s="186">
        <v>45924</v>
      </c>
      <c r="M302" s="45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55"/>
      <c r="Y302" s="146"/>
      <c r="Z302" s="146"/>
      <c r="AA302" s="146"/>
      <c r="AB302" s="146"/>
      <c r="AC302" s="146"/>
      <c r="AD302" s="146"/>
      <c r="AE302" s="146"/>
      <c r="AF302" s="146"/>
      <c r="AG302" s="146"/>
      <c r="AH302" s="146"/>
      <c r="AI302" s="150"/>
      <c r="AL302" s="56"/>
      <c r="AR302" s="56"/>
      <c r="DY302" s="43"/>
      <c r="DZ302" s="20"/>
      <c r="EA302" s="21"/>
      <c r="EB302" s="21"/>
      <c r="EC302" s="21"/>
      <c r="ED302" s="21"/>
      <c r="EE302" s="21"/>
      <c r="EF302" s="21"/>
      <c r="EG302" s="21"/>
      <c r="EH302" s="20"/>
      <c r="EI302" s="20"/>
      <c r="EJ302" s="20"/>
      <c r="EK302" s="20"/>
      <c r="EL302" s="20"/>
      <c r="EM302" s="20"/>
      <c r="EN302" s="20"/>
      <c r="EO302" s="20"/>
      <c r="EP302" s="20"/>
      <c r="EQ302" s="20"/>
      <c r="ER302" s="20"/>
      <c r="ES302" s="20"/>
      <c r="ET302" s="20"/>
      <c r="EU302" s="20"/>
      <c r="EV302" s="20"/>
      <c r="EW302" s="20"/>
      <c r="EX302" s="20"/>
      <c r="EY302" s="20"/>
      <c r="EZ302" s="20"/>
      <c r="FA302" s="20"/>
      <c r="FB302" s="20"/>
      <c r="FC302" s="20"/>
      <c r="FD302" s="20"/>
      <c r="FE302" s="20"/>
      <c r="FF302" s="20"/>
      <c r="FG302" s="20"/>
      <c r="FH302" s="20"/>
      <c r="FI302" s="20"/>
      <c r="FJ302" s="20"/>
      <c r="FK302" s="20"/>
      <c r="FL302" s="20"/>
      <c r="FM302" s="20"/>
      <c r="FN302" s="20"/>
      <c r="FO302" s="20"/>
      <c r="FP302" s="20"/>
      <c r="FQ302" s="20"/>
      <c r="FR302" s="20"/>
      <c r="FS302" s="20"/>
      <c r="FT302" s="20"/>
      <c r="FU302" s="20"/>
      <c r="FV302" s="20"/>
      <c r="FW302" s="20"/>
      <c r="FX302" s="20"/>
    </row>
    <row r="303" spans="1:180" s="13" customFormat="1" ht="15.6" x14ac:dyDescent="0.25">
      <c r="A303" s="178"/>
      <c r="B303" s="180"/>
      <c r="C303" s="118">
        <v>18</v>
      </c>
      <c r="D303" s="118">
        <v>48</v>
      </c>
      <c r="E303" s="118">
        <v>53</v>
      </c>
      <c r="F303" s="118">
        <v>61</v>
      </c>
      <c r="G303" s="118">
        <v>64</v>
      </c>
      <c r="H303" s="118">
        <v>65</v>
      </c>
      <c r="I303" s="45"/>
      <c r="J303" s="118"/>
      <c r="K303" s="45"/>
      <c r="L303" s="186"/>
      <c r="M303" s="45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55"/>
      <c r="Y303" s="146"/>
      <c r="Z303" s="146"/>
      <c r="AA303" s="146"/>
      <c r="AB303" s="146"/>
      <c r="AC303" s="146"/>
      <c r="AD303" s="146"/>
      <c r="AE303" s="146"/>
      <c r="AF303" s="146"/>
      <c r="AG303" s="146"/>
      <c r="AH303" s="146"/>
      <c r="AI303" s="150"/>
      <c r="AL303" s="56"/>
      <c r="AR303" s="56"/>
      <c r="DY303" s="43"/>
      <c r="DZ303" s="20"/>
      <c r="EA303" s="21"/>
      <c r="EB303" s="21"/>
      <c r="EC303" s="21"/>
      <c r="ED303" s="21"/>
      <c r="EE303" s="21"/>
      <c r="EF303" s="21"/>
      <c r="EG303" s="21"/>
      <c r="EH303" s="20"/>
      <c r="EI303" s="20"/>
      <c r="EJ303" s="20"/>
      <c r="EK303" s="20"/>
      <c r="EL303" s="20"/>
      <c r="EM303" s="20"/>
      <c r="EN303" s="20"/>
      <c r="EO303" s="20"/>
      <c r="EP303" s="20"/>
      <c r="EQ303" s="20"/>
      <c r="ER303" s="20"/>
      <c r="ES303" s="20"/>
      <c r="ET303" s="20"/>
      <c r="EU303" s="20"/>
      <c r="EV303" s="20"/>
      <c r="EW303" s="20"/>
      <c r="EX303" s="20"/>
      <c r="EY303" s="20"/>
      <c r="EZ303" s="20"/>
      <c r="FA303" s="20"/>
      <c r="FB303" s="20"/>
      <c r="FC303" s="20"/>
      <c r="FD303" s="20"/>
      <c r="FE303" s="20"/>
      <c r="FF303" s="20"/>
      <c r="FG303" s="20"/>
      <c r="FH303" s="20"/>
      <c r="FI303" s="20"/>
      <c r="FJ303" s="20"/>
      <c r="FK303" s="20"/>
      <c r="FL303" s="20"/>
      <c r="FM303" s="20"/>
      <c r="FN303" s="20"/>
      <c r="FO303" s="20"/>
      <c r="FP303" s="20"/>
      <c r="FQ303" s="20"/>
      <c r="FR303" s="20"/>
      <c r="FS303" s="20"/>
      <c r="FT303" s="20"/>
      <c r="FU303" s="20"/>
      <c r="FV303" s="20"/>
      <c r="FW303" s="20"/>
      <c r="FX303" s="20"/>
    </row>
    <row r="304" spans="1:180" s="13" customFormat="1" ht="13.2" x14ac:dyDescent="0.25">
      <c r="A304" s="179"/>
      <c r="B304" s="180"/>
      <c r="C304" s="10">
        <v>1</v>
      </c>
      <c r="D304" s="10">
        <v>1</v>
      </c>
      <c r="E304" s="10">
        <f>H349+1</f>
        <v>2</v>
      </c>
      <c r="F304" s="10">
        <f>G310+1</f>
        <v>3</v>
      </c>
      <c r="G304" s="10">
        <f>G322+1</f>
        <v>2</v>
      </c>
      <c r="H304" s="10">
        <f>G346+1</f>
        <v>2</v>
      </c>
      <c r="I304" s="45"/>
      <c r="J304" s="156"/>
      <c r="K304" s="45"/>
      <c r="L304" s="186"/>
      <c r="M304" s="45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55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50"/>
      <c r="AL304" s="56"/>
      <c r="AR304" s="56"/>
      <c r="DY304" s="43"/>
      <c r="DZ304" s="20"/>
      <c r="EA304" s="21"/>
      <c r="EB304" s="21"/>
      <c r="EC304" s="21"/>
      <c r="ED304" s="21"/>
      <c r="EE304" s="21"/>
      <c r="EF304" s="21"/>
      <c r="EG304" s="21"/>
      <c r="EH304" s="20"/>
      <c r="EI304" s="20"/>
      <c r="EJ304" s="20"/>
      <c r="EK304" s="20"/>
      <c r="EL304" s="20"/>
      <c r="EM304" s="20"/>
      <c r="EN304" s="20"/>
      <c r="EO304" s="20"/>
      <c r="EP304" s="20"/>
      <c r="EQ304" s="20"/>
      <c r="ER304" s="20"/>
      <c r="ES304" s="20"/>
      <c r="ET304" s="20"/>
      <c r="EU304" s="20"/>
      <c r="EV304" s="20"/>
      <c r="EW304" s="20"/>
      <c r="EX304" s="20"/>
      <c r="EY304" s="20"/>
      <c r="EZ304" s="20"/>
      <c r="FA304" s="20"/>
      <c r="FB304" s="20"/>
      <c r="FC304" s="20"/>
      <c r="FD304" s="20"/>
      <c r="FE304" s="20"/>
      <c r="FF304" s="20"/>
      <c r="FG304" s="20"/>
      <c r="FH304" s="20"/>
      <c r="FI304" s="20"/>
      <c r="FJ304" s="20"/>
      <c r="FK304" s="20"/>
      <c r="FL304" s="20"/>
      <c r="FM304" s="20"/>
      <c r="FN304" s="20"/>
      <c r="FO304" s="20"/>
      <c r="FP304" s="20"/>
      <c r="FQ304" s="20"/>
      <c r="FR304" s="20"/>
      <c r="FS304" s="20"/>
      <c r="FT304" s="20"/>
      <c r="FU304" s="20"/>
      <c r="FV304" s="20"/>
      <c r="FW304" s="20"/>
      <c r="FX304" s="20"/>
    </row>
    <row r="305" spans="1:180" s="13" customFormat="1" ht="13.2" customHeight="1" x14ac:dyDescent="0.25">
      <c r="A305" s="177">
        <v>15</v>
      </c>
      <c r="B305" s="180">
        <v>99</v>
      </c>
      <c r="C305" s="14">
        <f>A305-A317</f>
        <v>4</v>
      </c>
      <c r="D305" s="14">
        <v>0</v>
      </c>
      <c r="E305" s="14">
        <f>A305-A335</f>
        <v>10</v>
      </c>
      <c r="F305" s="14">
        <f>A305-A320</f>
        <v>5</v>
      </c>
      <c r="G305" s="14">
        <v>0</v>
      </c>
      <c r="H305" s="14">
        <f>A305-A341</f>
        <v>12</v>
      </c>
      <c r="I305" s="45"/>
      <c r="J305" s="156"/>
      <c r="K305" s="45"/>
      <c r="L305" s="186">
        <v>45922</v>
      </c>
      <c r="M305" s="45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55"/>
      <c r="Y305" s="146"/>
      <c r="Z305" s="146"/>
      <c r="AA305" s="146"/>
      <c r="AB305" s="146"/>
      <c r="AC305" s="146"/>
      <c r="AD305" s="146"/>
      <c r="AE305" s="146"/>
      <c r="AF305" s="146"/>
      <c r="AG305" s="146"/>
      <c r="AH305" s="146"/>
      <c r="AI305" s="150"/>
      <c r="AL305" s="56"/>
      <c r="AR305" s="56"/>
      <c r="DY305" s="43"/>
      <c r="DZ305" s="20"/>
      <c r="EA305" s="21"/>
      <c r="EB305" s="21"/>
      <c r="EC305" s="21"/>
      <c r="ED305" s="21"/>
      <c r="EE305" s="21"/>
      <c r="EF305" s="21"/>
      <c r="EG305" s="21"/>
      <c r="EH305" s="20"/>
      <c r="EI305" s="20"/>
      <c r="EJ305" s="20"/>
      <c r="EK305" s="20"/>
      <c r="EL305" s="20"/>
      <c r="EM305" s="20"/>
      <c r="EN305" s="20"/>
      <c r="EO305" s="20"/>
      <c r="EP305" s="20"/>
      <c r="EQ305" s="20"/>
      <c r="ER305" s="20"/>
      <c r="ES305" s="20"/>
      <c r="ET305" s="20"/>
      <c r="EU305" s="20"/>
      <c r="EV305" s="20"/>
      <c r="EW305" s="20"/>
      <c r="EX305" s="20"/>
      <c r="EY305" s="20"/>
      <c r="EZ305" s="20"/>
      <c r="FA305" s="20"/>
      <c r="FB305" s="20"/>
      <c r="FC305" s="20"/>
      <c r="FD305" s="20"/>
      <c r="FE305" s="20"/>
      <c r="FF305" s="20"/>
      <c r="FG305" s="20"/>
      <c r="FH305" s="20"/>
      <c r="FI305" s="20"/>
      <c r="FJ305" s="20"/>
      <c r="FK305" s="20"/>
      <c r="FL305" s="20"/>
      <c r="FM305" s="20"/>
      <c r="FN305" s="20"/>
      <c r="FO305" s="20"/>
      <c r="FP305" s="20"/>
      <c r="FQ305" s="20"/>
      <c r="FR305" s="20"/>
      <c r="FS305" s="20"/>
      <c r="FT305" s="20"/>
      <c r="FU305" s="20"/>
      <c r="FV305" s="20"/>
      <c r="FW305" s="20"/>
      <c r="FX305" s="20"/>
    </row>
    <row r="306" spans="1:180" s="13" customFormat="1" ht="15.6" x14ac:dyDescent="0.25">
      <c r="A306" s="178"/>
      <c r="B306" s="180"/>
      <c r="C306" s="118">
        <v>39</v>
      </c>
      <c r="D306" s="118">
        <v>59</v>
      </c>
      <c r="E306" s="118">
        <v>62</v>
      </c>
      <c r="F306" s="118">
        <v>68</v>
      </c>
      <c r="G306" s="118">
        <v>76</v>
      </c>
      <c r="H306" s="118">
        <v>77</v>
      </c>
      <c r="I306" s="45"/>
      <c r="J306" s="118"/>
      <c r="K306" s="45"/>
      <c r="L306" s="186"/>
      <c r="M306" s="45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55"/>
      <c r="Y306" s="146"/>
      <c r="Z306" s="146"/>
      <c r="AA306" s="146"/>
      <c r="AB306" s="146"/>
      <c r="AC306" s="146"/>
      <c r="AD306" s="146"/>
      <c r="AE306" s="146"/>
      <c r="AF306" s="146"/>
      <c r="AG306" s="146"/>
      <c r="AH306" s="146"/>
      <c r="AI306" s="150"/>
      <c r="AL306" s="56"/>
      <c r="AR306" s="56"/>
      <c r="DY306" s="43"/>
      <c r="DZ306" s="20"/>
      <c r="EA306" s="21"/>
      <c r="EB306" s="21"/>
      <c r="EC306" s="21"/>
      <c r="ED306" s="21"/>
      <c r="EE306" s="21"/>
      <c r="EF306" s="21"/>
      <c r="EG306" s="21"/>
      <c r="EH306" s="20"/>
      <c r="EI306" s="20"/>
      <c r="EJ306" s="20"/>
      <c r="EK306" s="20"/>
      <c r="EL306" s="20"/>
      <c r="EM306" s="20"/>
      <c r="EN306" s="20"/>
      <c r="EO306" s="20"/>
      <c r="EP306" s="20"/>
      <c r="EQ306" s="20"/>
      <c r="ER306" s="20"/>
      <c r="ES306" s="20"/>
      <c r="ET306" s="20"/>
      <c r="EU306" s="161"/>
      <c r="EV306" s="20"/>
      <c r="EW306" s="20"/>
      <c r="EX306" s="20"/>
      <c r="EY306" s="20"/>
      <c r="EZ306" s="20"/>
      <c r="FA306" s="20"/>
      <c r="FB306" s="20"/>
      <c r="FC306" s="20"/>
      <c r="FD306" s="20"/>
      <c r="FE306" s="20"/>
      <c r="FF306" s="20"/>
      <c r="FG306" s="20"/>
      <c r="FH306" s="20"/>
      <c r="FI306" s="20"/>
      <c r="FJ306" s="20"/>
      <c r="FK306" s="20"/>
      <c r="FL306" s="20"/>
      <c r="FM306" s="20"/>
      <c r="FN306" s="20"/>
      <c r="FO306" s="20"/>
      <c r="FP306" s="20"/>
      <c r="FQ306" s="20"/>
      <c r="FR306" s="20"/>
      <c r="FS306" s="20"/>
      <c r="FT306" s="20"/>
      <c r="FU306" s="20"/>
      <c r="FV306" s="20"/>
      <c r="FW306" s="20"/>
      <c r="FX306" s="20"/>
    </row>
    <row r="307" spans="1:180" s="13" customFormat="1" ht="13.2" x14ac:dyDescent="0.25">
      <c r="A307" s="179"/>
      <c r="B307" s="180"/>
      <c r="C307" s="10">
        <f>E319+1</f>
        <v>4</v>
      </c>
      <c r="D307" s="10">
        <v>1</v>
      </c>
      <c r="E307" s="10">
        <f>F337+1</f>
        <v>2</v>
      </c>
      <c r="F307" s="10">
        <f>H322+1</f>
        <v>2</v>
      </c>
      <c r="G307" s="10">
        <v>1</v>
      </c>
      <c r="H307" s="10">
        <f>H343+1</f>
        <v>2</v>
      </c>
      <c r="I307" s="45"/>
      <c r="J307" s="156"/>
      <c r="K307" s="45"/>
      <c r="L307" s="186"/>
      <c r="M307" s="45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55"/>
      <c r="Y307" s="146"/>
      <c r="Z307" s="146"/>
      <c r="AA307" s="146"/>
      <c r="AB307" s="146"/>
      <c r="AC307" s="146"/>
      <c r="AD307" s="146"/>
      <c r="AE307" s="146"/>
      <c r="AF307" s="146"/>
      <c r="AG307" s="146"/>
      <c r="AH307" s="146"/>
      <c r="AI307" s="150"/>
      <c r="AL307" s="56"/>
      <c r="AR307" s="56"/>
      <c r="DY307" s="43"/>
      <c r="DZ307" s="20"/>
      <c r="EA307" s="21"/>
      <c r="EB307" s="21"/>
      <c r="EC307" s="21"/>
      <c r="ED307" s="21"/>
      <c r="EE307" s="21"/>
      <c r="EF307" s="21"/>
      <c r="EG307" s="21"/>
      <c r="EH307" s="20"/>
      <c r="EI307" s="20"/>
      <c r="EJ307" s="20"/>
      <c r="EK307" s="20"/>
      <c r="EL307" s="20"/>
      <c r="EM307" s="20"/>
      <c r="EN307" s="20"/>
      <c r="EO307" s="20"/>
      <c r="EP307" s="20"/>
      <c r="EQ307" s="20"/>
      <c r="ER307" s="20"/>
      <c r="ES307" s="20"/>
      <c r="ET307" s="20"/>
      <c r="EU307" s="11"/>
      <c r="EV307" s="20"/>
      <c r="EW307" s="20"/>
      <c r="EX307" s="20"/>
      <c r="EY307" s="20"/>
      <c r="EZ307" s="20"/>
      <c r="FA307" s="20"/>
      <c r="FB307" s="20"/>
      <c r="FC307" s="20"/>
      <c r="FD307" s="20"/>
      <c r="FE307" s="20"/>
      <c r="FF307" s="20"/>
      <c r="FG307" s="20"/>
      <c r="FH307" s="20"/>
      <c r="FI307" s="20"/>
      <c r="FJ307" s="20"/>
      <c r="FK307" s="20"/>
      <c r="FL307" s="20"/>
      <c r="FM307" s="20"/>
      <c r="FN307" s="20"/>
      <c r="FO307" s="20"/>
      <c r="FP307" s="20"/>
      <c r="FQ307" s="20"/>
      <c r="FR307" s="20"/>
      <c r="FS307" s="20"/>
      <c r="FT307" s="20"/>
      <c r="FU307" s="20"/>
      <c r="FV307" s="20"/>
      <c r="FW307" s="20"/>
      <c r="FX307" s="20"/>
    </row>
    <row r="308" spans="1:180" s="13" customFormat="1" ht="13.2" customHeight="1" x14ac:dyDescent="0.25">
      <c r="A308" s="177">
        <v>14</v>
      </c>
      <c r="B308" s="180">
        <v>100</v>
      </c>
      <c r="C308" s="14">
        <f>A308-A332</f>
        <v>8</v>
      </c>
      <c r="D308" s="14">
        <f>A308-A347</f>
        <v>13</v>
      </c>
      <c r="E308" s="14">
        <f>A308-A317</f>
        <v>3</v>
      </c>
      <c r="F308" s="14">
        <v>0</v>
      </c>
      <c r="G308" s="14">
        <f>A308-A311</f>
        <v>1</v>
      </c>
      <c r="H308" s="14">
        <f>A308-A344</f>
        <v>12</v>
      </c>
      <c r="I308" s="45"/>
      <c r="J308" s="156"/>
      <c r="K308" s="45"/>
      <c r="L308" s="186">
        <v>45920</v>
      </c>
      <c r="M308" s="45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55"/>
      <c r="Y308" s="146"/>
      <c r="Z308" s="146"/>
      <c r="AA308" s="146"/>
      <c r="AB308" s="146"/>
      <c r="AC308" s="146"/>
      <c r="AD308" s="146"/>
      <c r="AE308" s="146"/>
      <c r="AF308" s="146"/>
      <c r="AG308" s="146"/>
      <c r="AH308" s="146"/>
      <c r="AI308" s="150"/>
      <c r="AL308" s="56"/>
      <c r="AR308" s="56"/>
      <c r="DY308" s="43"/>
      <c r="DZ308" s="20"/>
      <c r="EA308" s="21"/>
      <c r="EB308" s="21"/>
      <c r="EC308" s="21"/>
      <c r="ED308" s="21"/>
      <c r="EE308" s="21"/>
      <c r="EF308" s="21"/>
      <c r="EG308" s="21"/>
      <c r="EH308" s="20"/>
      <c r="EI308" s="20"/>
      <c r="EJ308" s="20"/>
      <c r="EK308" s="20"/>
      <c r="EL308" s="20"/>
      <c r="EM308" s="20"/>
      <c r="EN308" s="20"/>
      <c r="EO308" s="20"/>
      <c r="EP308" s="20"/>
      <c r="EQ308" s="20"/>
      <c r="ER308" s="20"/>
      <c r="ES308" s="20"/>
      <c r="ET308" s="20"/>
      <c r="EU308" s="11"/>
      <c r="EV308" s="20"/>
      <c r="EW308" s="20"/>
      <c r="EX308" s="20"/>
      <c r="EY308" s="20"/>
      <c r="EZ308" s="20"/>
      <c r="FA308" s="20"/>
      <c r="FB308" s="20"/>
      <c r="FC308" s="20"/>
      <c r="FD308" s="20"/>
      <c r="FE308" s="20"/>
      <c r="FF308" s="20"/>
      <c r="FG308" s="20"/>
      <c r="FH308" s="20"/>
      <c r="FI308" s="20"/>
      <c r="FJ308" s="20"/>
      <c r="FK308" s="20"/>
      <c r="FL308" s="20"/>
      <c r="FM308" s="20"/>
      <c r="FN308" s="20"/>
      <c r="FO308" s="20"/>
      <c r="FP308" s="20"/>
      <c r="FQ308" s="20"/>
      <c r="FR308" s="20"/>
      <c r="FS308" s="20"/>
      <c r="FT308" s="20"/>
      <c r="FU308" s="20"/>
      <c r="FV308" s="20"/>
      <c r="FW308" s="20"/>
      <c r="FX308" s="20"/>
    </row>
    <row r="309" spans="1:180" s="13" customFormat="1" ht="15.6" x14ac:dyDescent="0.25">
      <c r="A309" s="178"/>
      <c r="B309" s="180"/>
      <c r="C309" s="118">
        <v>14</v>
      </c>
      <c r="D309" s="118">
        <v>24</v>
      </c>
      <c r="E309" s="118">
        <v>49</v>
      </c>
      <c r="F309" s="118">
        <v>60</v>
      </c>
      <c r="G309" s="118">
        <v>61</v>
      </c>
      <c r="H309" s="118">
        <v>83</v>
      </c>
      <c r="I309" s="45"/>
      <c r="J309" s="118"/>
      <c r="K309" s="45"/>
      <c r="L309" s="186"/>
      <c r="M309" s="45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55"/>
      <c r="Y309" s="146"/>
      <c r="Z309" s="146"/>
      <c r="AA309" s="146"/>
      <c r="AB309" s="146"/>
      <c r="AC309" s="146"/>
      <c r="AD309" s="146"/>
      <c r="AE309" s="146"/>
      <c r="AF309" s="146"/>
      <c r="AG309" s="146"/>
      <c r="AH309" s="146"/>
      <c r="AI309" s="150"/>
      <c r="AL309" s="56"/>
      <c r="AR309" s="56"/>
      <c r="DY309" s="43"/>
      <c r="DZ309" s="20"/>
      <c r="EA309" s="21"/>
      <c r="EB309" s="21"/>
      <c r="EC309" s="21"/>
      <c r="ED309" s="21"/>
      <c r="EE309" s="21"/>
      <c r="EF309" s="21"/>
      <c r="EG309" s="21"/>
      <c r="EH309" s="20"/>
      <c r="EI309" s="20"/>
      <c r="EJ309" s="20"/>
      <c r="EK309" s="20"/>
      <c r="EL309" s="20"/>
      <c r="EM309" s="20"/>
      <c r="EN309" s="20"/>
      <c r="EO309" s="20"/>
      <c r="EP309" s="20"/>
      <c r="EQ309" s="20"/>
      <c r="ER309" s="20"/>
      <c r="ES309" s="20"/>
      <c r="ET309" s="20"/>
      <c r="EU309" s="11"/>
      <c r="EV309" s="20"/>
      <c r="EW309" s="20"/>
      <c r="EX309" s="20"/>
      <c r="EY309" s="20"/>
      <c r="EZ309" s="20"/>
      <c r="FA309" s="20"/>
      <c r="FB309" s="20"/>
      <c r="FC309" s="20"/>
      <c r="FD309" s="20"/>
      <c r="FE309" s="20"/>
      <c r="FF309" s="20"/>
      <c r="FG309" s="20"/>
      <c r="FH309" s="20"/>
      <c r="FI309" s="20"/>
      <c r="FJ309" s="20"/>
      <c r="FK309" s="20"/>
      <c r="FL309" s="20"/>
      <c r="FM309" s="20"/>
      <c r="FN309" s="20"/>
      <c r="FO309" s="20"/>
      <c r="FP309" s="20"/>
      <c r="FQ309" s="20"/>
      <c r="FR309" s="20"/>
      <c r="FS309" s="20"/>
      <c r="FT309" s="20"/>
      <c r="FU309" s="20"/>
      <c r="FV309" s="20"/>
      <c r="FW309" s="20"/>
      <c r="FX309" s="20"/>
    </row>
    <row r="310" spans="1:180" s="13" customFormat="1" ht="13.2" x14ac:dyDescent="0.25">
      <c r="A310" s="179"/>
      <c r="B310" s="180"/>
      <c r="C310" s="10">
        <f>E334+1</f>
        <v>2</v>
      </c>
      <c r="D310" s="10">
        <f>E349+1</f>
        <v>2</v>
      </c>
      <c r="E310" s="10">
        <f>G319+1</f>
        <v>2</v>
      </c>
      <c r="F310" s="10">
        <v>1</v>
      </c>
      <c r="G310" s="10">
        <f>G331+1</f>
        <v>2</v>
      </c>
      <c r="H310" s="10">
        <f>H346+1</f>
        <v>2</v>
      </c>
      <c r="I310" s="45"/>
      <c r="J310" s="156"/>
      <c r="K310" s="45"/>
      <c r="L310" s="186"/>
      <c r="M310" s="45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55"/>
      <c r="Y310" s="146"/>
      <c r="Z310" s="146"/>
      <c r="AA310" s="146"/>
      <c r="AB310" s="146"/>
      <c r="AC310" s="146"/>
      <c r="AD310" s="146"/>
      <c r="AE310" s="146"/>
      <c r="AF310" s="146"/>
      <c r="AG310" s="146"/>
      <c r="AH310" s="146"/>
      <c r="AI310" s="150"/>
      <c r="AL310" s="56"/>
      <c r="AR310" s="56"/>
      <c r="DY310" s="43"/>
      <c r="DZ310" s="20"/>
      <c r="EA310" s="21"/>
      <c r="EB310" s="21"/>
      <c r="EC310" s="21"/>
      <c r="ED310" s="21"/>
      <c r="EE310" s="21"/>
      <c r="EF310" s="21"/>
      <c r="EG310" s="21"/>
      <c r="EH310" s="20"/>
      <c r="EI310" s="20"/>
      <c r="EJ310" s="20"/>
      <c r="EK310" s="20"/>
      <c r="EL310" s="20"/>
      <c r="EM310" s="20"/>
      <c r="EN310" s="20"/>
      <c r="EO310" s="20"/>
      <c r="EP310" s="20"/>
      <c r="EQ310" s="20"/>
      <c r="ER310" s="20"/>
      <c r="ES310" s="20"/>
      <c r="ET310" s="20"/>
      <c r="EU310" s="11"/>
      <c r="EV310" s="20"/>
      <c r="EW310" s="20"/>
      <c r="EX310" s="20"/>
      <c r="EY310" s="20"/>
      <c r="EZ310" s="20"/>
      <c r="FA310" s="20"/>
      <c r="FB310" s="20"/>
      <c r="FC310" s="20"/>
      <c r="FD310" s="20"/>
      <c r="FE310" s="20"/>
      <c r="FF310" s="20"/>
      <c r="FG310" s="20"/>
      <c r="FH310" s="20"/>
      <c r="FI310" s="20"/>
      <c r="FJ310" s="20"/>
      <c r="FK310" s="20"/>
      <c r="FL310" s="20"/>
      <c r="FM310" s="20"/>
      <c r="FN310" s="20"/>
      <c r="FO310" s="20"/>
      <c r="FP310" s="20"/>
      <c r="FQ310" s="20"/>
      <c r="FR310" s="20"/>
      <c r="FS310" s="20"/>
      <c r="FT310" s="20"/>
      <c r="FU310" s="20"/>
      <c r="FV310" s="20"/>
      <c r="FW310" s="20"/>
      <c r="FX310" s="20"/>
    </row>
    <row r="311" spans="1:180" s="13" customFormat="1" ht="13.2" customHeight="1" x14ac:dyDescent="0.25">
      <c r="A311" s="177">
        <v>13</v>
      </c>
      <c r="B311" s="180">
        <v>101</v>
      </c>
      <c r="C311" s="14">
        <f>A311-A320</f>
        <v>3</v>
      </c>
      <c r="D311" s="14">
        <v>0</v>
      </c>
      <c r="E311" s="14">
        <f>A311-A329</f>
        <v>6</v>
      </c>
      <c r="F311" s="14">
        <v>0</v>
      </c>
      <c r="G311" s="14">
        <v>0</v>
      </c>
      <c r="H311" s="14">
        <f>A311-A314</f>
        <v>1</v>
      </c>
      <c r="I311" s="48"/>
      <c r="J311" s="156"/>
      <c r="K311" s="48"/>
      <c r="L311" s="186">
        <v>45917</v>
      </c>
      <c r="M311" s="48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55"/>
      <c r="Y311" s="146"/>
      <c r="Z311" s="146"/>
      <c r="AA311" s="146"/>
      <c r="AB311" s="146"/>
      <c r="AC311" s="146"/>
      <c r="AD311" s="146"/>
      <c r="AE311" s="146"/>
      <c r="AF311" s="146"/>
      <c r="AG311" s="146"/>
      <c r="AH311" s="146"/>
      <c r="AI311" s="153"/>
      <c r="AL311" s="56"/>
      <c r="AR311" s="56"/>
      <c r="DY311" s="43"/>
      <c r="DZ311" s="16"/>
      <c r="EA311" s="25"/>
      <c r="EB311" s="25"/>
      <c r="EC311" s="21"/>
      <c r="ED311" s="21"/>
      <c r="EE311" s="21"/>
      <c r="EF311" s="21"/>
      <c r="EG311" s="21"/>
      <c r="EH311" s="20"/>
      <c r="EI311" s="20"/>
      <c r="EJ311" s="20"/>
      <c r="EK311" s="20"/>
      <c r="EL311" s="20"/>
      <c r="EM311" s="20"/>
      <c r="EN311" s="20"/>
      <c r="EO311" s="20"/>
      <c r="EP311" s="20"/>
      <c r="EQ311" s="20"/>
      <c r="ER311" s="20"/>
      <c r="ES311" s="20"/>
      <c r="ET311" s="20"/>
      <c r="EU311" s="11"/>
      <c r="EV311" s="20"/>
      <c r="EW311" s="20"/>
      <c r="EX311" s="20"/>
      <c r="EY311" s="20"/>
      <c r="EZ311" s="20"/>
      <c r="FA311" s="20"/>
      <c r="FB311" s="20"/>
      <c r="FC311" s="20"/>
      <c r="FD311" s="20"/>
      <c r="FE311" s="20"/>
      <c r="FF311" s="20"/>
      <c r="FG311" s="20"/>
      <c r="FH311" s="20"/>
      <c r="FI311" s="20"/>
      <c r="FJ311" s="20"/>
      <c r="FK311" s="20"/>
      <c r="FL311" s="20"/>
      <c r="FM311" s="20"/>
      <c r="FN311" s="20"/>
      <c r="FO311" s="20"/>
      <c r="FP311" s="20"/>
      <c r="FQ311" s="20"/>
      <c r="FR311" s="20"/>
      <c r="FS311" s="20"/>
      <c r="FT311" s="20"/>
      <c r="FU311" s="20"/>
      <c r="FV311" s="20"/>
      <c r="FW311" s="20"/>
      <c r="FX311" s="20"/>
    </row>
    <row r="312" spans="1:180" s="13" customFormat="1" ht="15.6" x14ac:dyDescent="0.25">
      <c r="A312" s="178"/>
      <c r="B312" s="180"/>
      <c r="C312" s="124">
        <v>5</v>
      </c>
      <c r="D312" s="120">
        <v>25</v>
      </c>
      <c r="E312" s="120">
        <v>61</v>
      </c>
      <c r="F312" s="120">
        <v>73</v>
      </c>
      <c r="G312" s="120">
        <v>74</v>
      </c>
      <c r="H312" s="120">
        <v>82</v>
      </c>
      <c r="I312" s="48"/>
      <c r="J312" s="120"/>
      <c r="K312" s="48"/>
      <c r="L312" s="186"/>
      <c r="M312" s="48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55"/>
      <c r="Y312" s="146"/>
      <c r="Z312" s="146"/>
      <c r="AA312" s="146"/>
      <c r="AB312" s="146"/>
      <c r="AC312" s="146"/>
      <c r="AD312" s="146"/>
      <c r="AE312" s="146"/>
      <c r="AF312" s="146"/>
      <c r="AG312" s="146"/>
      <c r="AH312" s="146"/>
      <c r="AI312" s="153"/>
      <c r="AL312" s="56"/>
      <c r="AR312" s="56"/>
      <c r="DY312" s="43"/>
      <c r="DZ312" s="16"/>
      <c r="EA312" s="25"/>
      <c r="EB312" s="25"/>
      <c r="EC312" s="21"/>
      <c r="ED312" s="21"/>
      <c r="EE312" s="21"/>
      <c r="EF312" s="21"/>
      <c r="EG312" s="21"/>
      <c r="EH312" s="20"/>
      <c r="EI312" s="20"/>
      <c r="EJ312" s="20"/>
      <c r="EK312" s="20"/>
      <c r="EL312" s="20"/>
      <c r="EM312" s="20"/>
      <c r="EN312" s="20"/>
      <c r="EO312" s="20"/>
      <c r="EP312" s="20"/>
      <c r="EQ312" s="20"/>
      <c r="ER312" s="20"/>
      <c r="ES312" s="20"/>
      <c r="ET312" s="20"/>
      <c r="EU312" s="11"/>
      <c r="EV312" s="20"/>
      <c r="EW312" s="20"/>
      <c r="EX312" s="20"/>
      <c r="EY312" s="20"/>
      <c r="EZ312" s="20"/>
      <c r="FA312" s="20"/>
      <c r="FB312" s="20"/>
      <c r="FC312" s="20"/>
      <c r="FD312" s="20"/>
      <c r="FE312" s="20"/>
      <c r="FF312" s="20"/>
      <c r="FG312" s="20"/>
      <c r="FH312" s="20"/>
      <c r="FI312" s="20"/>
      <c r="FJ312" s="20"/>
      <c r="FK312" s="20"/>
      <c r="FL312" s="20"/>
      <c r="FM312" s="20"/>
      <c r="FN312" s="20"/>
      <c r="FO312" s="20"/>
      <c r="FP312" s="20"/>
      <c r="FQ312" s="20"/>
      <c r="FR312" s="20"/>
      <c r="FS312" s="20"/>
      <c r="FT312" s="20"/>
      <c r="FU312" s="20"/>
      <c r="FV312" s="20"/>
      <c r="FW312" s="20"/>
      <c r="FX312" s="20"/>
    </row>
    <row r="313" spans="1:180" s="13" customFormat="1" ht="13.2" x14ac:dyDescent="0.25">
      <c r="A313" s="179"/>
      <c r="B313" s="180"/>
      <c r="C313" s="10">
        <f>C322+1</f>
        <v>5</v>
      </c>
      <c r="D313" s="10">
        <v>1</v>
      </c>
      <c r="E313" s="10">
        <f>G331+1</f>
        <v>2</v>
      </c>
      <c r="F313" s="10">
        <v>1</v>
      </c>
      <c r="G313" s="10">
        <v>1</v>
      </c>
      <c r="H313" s="10">
        <f>H316+1</f>
        <v>2</v>
      </c>
      <c r="I313" s="48"/>
      <c r="J313" s="156"/>
      <c r="K313" s="48"/>
      <c r="L313" s="186"/>
      <c r="M313" s="48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55"/>
      <c r="Y313" s="146"/>
      <c r="Z313" s="146"/>
      <c r="AA313" s="146"/>
      <c r="AB313" s="146"/>
      <c r="AC313" s="146"/>
      <c r="AD313" s="146"/>
      <c r="AE313" s="146"/>
      <c r="AF313" s="146"/>
      <c r="AG313" s="146"/>
      <c r="AH313" s="146"/>
      <c r="AI313" s="153"/>
      <c r="AL313" s="56"/>
      <c r="AR313" s="56"/>
      <c r="DY313" s="43"/>
      <c r="DZ313" s="16"/>
      <c r="EA313" s="25"/>
      <c r="EB313" s="25"/>
      <c r="EC313" s="21"/>
      <c r="ED313" s="21"/>
      <c r="EE313" s="21"/>
      <c r="EF313" s="21"/>
      <c r="EG313" s="21"/>
      <c r="EH313" s="20"/>
      <c r="EI313" s="20"/>
      <c r="EJ313" s="20"/>
      <c r="EK313" s="20"/>
      <c r="EL313" s="20"/>
      <c r="EM313" s="20"/>
      <c r="EN313" s="20"/>
      <c r="EO313" s="20"/>
      <c r="EP313" s="20"/>
      <c r="EQ313" s="20"/>
      <c r="ER313" s="20"/>
      <c r="ES313" s="20"/>
      <c r="ET313" s="20"/>
      <c r="EU313" s="11"/>
      <c r="EV313" s="20"/>
      <c r="EW313" s="20"/>
      <c r="EX313" s="20"/>
      <c r="EY313" s="20"/>
      <c r="EZ313" s="20"/>
      <c r="FA313" s="20"/>
      <c r="FB313" s="20"/>
      <c r="FC313" s="20"/>
      <c r="FD313" s="20"/>
      <c r="FE313" s="20"/>
      <c r="FF313" s="20"/>
      <c r="FG313" s="20"/>
      <c r="FH313" s="20"/>
      <c r="FI313" s="20"/>
      <c r="FJ313" s="20"/>
      <c r="FK313" s="20"/>
      <c r="FL313" s="20"/>
      <c r="FM313" s="20"/>
      <c r="FN313" s="20"/>
      <c r="FO313" s="20"/>
      <c r="FP313" s="20"/>
      <c r="FQ313" s="20"/>
      <c r="FR313" s="20"/>
      <c r="FS313" s="20"/>
      <c r="FT313" s="20"/>
      <c r="FU313" s="20"/>
      <c r="FV313" s="20"/>
      <c r="FW313" s="20"/>
      <c r="FX313" s="20"/>
    </row>
    <row r="314" spans="1:180" s="13" customFormat="1" ht="13.2" x14ac:dyDescent="0.25">
      <c r="A314" s="177">
        <v>12</v>
      </c>
      <c r="B314" s="180">
        <v>102</v>
      </c>
      <c r="C314" s="14">
        <f>A314-A326</f>
        <v>4</v>
      </c>
      <c r="D314" s="14">
        <f>A314-A332</f>
        <v>6</v>
      </c>
      <c r="E314" s="14">
        <f>A314-A317</f>
        <v>1</v>
      </c>
      <c r="F314" s="14">
        <v>0</v>
      </c>
      <c r="G314" s="14">
        <v>0</v>
      </c>
      <c r="H314" s="14">
        <v>0</v>
      </c>
      <c r="I314" s="48"/>
      <c r="J314" s="156"/>
      <c r="K314" s="48"/>
      <c r="L314" s="186">
        <v>45915</v>
      </c>
      <c r="M314" s="48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55"/>
      <c r="Y314" s="146"/>
      <c r="Z314" s="146"/>
      <c r="AA314" s="146"/>
      <c r="AB314" s="146"/>
      <c r="AC314" s="146"/>
      <c r="AD314" s="146"/>
      <c r="AE314" s="146"/>
      <c r="AF314" s="146"/>
      <c r="AG314" s="146"/>
      <c r="AH314" s="146"/>
      <c r="AI314" s="153"/>
      <c r="AL314" s="56"/>
      <c r="AR314" s="56"/>
      <c r="DY314" s="43"/>
      <c r="DZ314" s="16"/>
      <c r="EA314" s="25"/>
      <c r="EB314" s="25"/>
      <c r="EC314" s="21"/>
      <c r="ED314" s="21"/>
      <c r="EE314" s="21"/>
      <c r="EF314" s="21"/>
      <c r="EG314" s="21"/>
      <c r="EH314" s="20"/>
      <c r="EI314" s="20"/>
      <c r="EJ314" s="20"/>
      <c r="EK314" s="20"/>
      <c r="EL314" s="20"/>
      <c r="EM314" s="20"/>
      <c r="EN314" s="20"/>
      <c r="EO314" s="20"/>
      <c r="EP314" s="20"/>
      <c r="EQ314" s="20"/>
      <c r="ER314" s="20"/>
      <c r="ES314" s="20"/>
      <c r="ET314" s="20"/>
      <c r="EU314" s="11"/>
      <c r="EV314" s="20"/>
      <c r="EW314" s="20"/>
      <c r="EX314" s="20"/>
      <c r="EY314" s="20"/>
      <c r="EZ314" s="20"/>
      <c r="FA314" s="20"/>
      <c r="FB314" s="20"/>
      <c r="FC314" s="20"/>
      <c r="FD314" s="20"/>
      <c r="FE314" s="20"/>
      <c r="FF314" s="20"/>
      <c r="FG314" s="20"/>
      <c r="FH314" s="20"/>
      <c r="FI314" s="20"/>
      <c r="FJ314" s="20"/>
      <c r="FK314" s="20"/>
      <c r="FL314" s="20"/>
      <c r="FM314" s="20"/>
      <c r="FN314" s="20"/>
      <c r="FO314" s="20"/>
      <c r="FP314" s="20"/>
      <c r="FQ314" s="20"/>
      <c r="FR314" s="20"/>
      <c r="FS314" s="20"/>
      <c r="FT314" s="20"/>
      <c r="FU314" s="20"/>
      <c r="FV314" s="20"/>
      <c r="FW314" s="20"/>
      <c r="FX314" s="20"/>
    </row>
    <row r="315" spans="1:180" s="13" customFormat="1" ht="15.6" x14ac:dyDescent="0.25">
      <c r="A315" s="178"/>
      <c r="B315" s="180"/>
      <c r="C315" s="118">
        <v>7</v>
      </c>
      <c r="D315" s="118">
        <v>23</v>
      </c>
      <c r="E315" s="118">
        <v>39</v>
      </c>
      <c r="F315" s="118">
        <v>41</v>
      </c>
      <c r="G315" s="118">
        <v>47</v>
      </c>
      <c r="H315" s="118">
        <v>82</v>
      </c>
      <c r="I315" s="48"/>
      <c r="J315" s="118"/>
      <c r="K315" s="48"/>
      <c r="L315" s="186"/>
      <c r="M315" s="48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55"/>
      <c r="Y315" s="146"/>
      <c r="Z315" s="146"/>
      <c r="AA315" s="146"/>
      <c r="AB315" s="146"/>
      <c r="AC315" s="146"/>
      <c r="AD315" s="146"/>
      <c r="AE315" s="146"/>
      <c r="AF315" s="146"/>
      <c r="AG315" s="146"/>
      <c r="AH315" s="146"/>
      <c r="AI315" s="153"/>
      <c r="AL315" s="56"/>
      <c r="AR315" s="56"/>
      <c r="DY315" s="43"/>
      <c r="DZ315" s="16"/>
      <c r="EA315" s="25"/>
      <c r="EB315" s="25"/>
      <c r="EC315" s="21"/>
      <c r="ED315" s="21"/>
      <c r="EE315" s="21"/>
      <c r="EF315" s="21"/>
      <c r="EG315" s="21"/>
      <c r="EH315" s="20"/>
      <c r="EI315" s="20"/>
      <c r="EJ315" s="20"/>
      <c r="EK315" s="20"/>
      <c r="EL315" s="20"/>
      <c r="EM315" s="20"/>
      <c r="EN315" s="20"/>
      <c r="EO315" s="20"/>
      <c r="EP315" s="20"/>
      <c r="EQ315" s="20"/>
      <c r="ER315" s="20"/>
      <c r="ES315" s="20"/>
      <c r="ET315" s="20"/>
      <c r="EU315" s="11"/>
      <c r="EV315" s="20"/>
      <c r="EW315" s="20"/>
      <c r="EX315" s="20"/>
      <c r="EY315" s="20"/>
      <c r="EZ315" s="20"/>
      <c r="FA315" s="20"/>
      <c r="FB315" s="20"/>
      <c r="FC315" s="20"/>
      <c r="FD315" s="20"/>
      <c r="FE315" s="20"/>
      <c r="FF315" s="20"/>
      <c r="FG315" s="20"/>
      <c r="FH315" s="20"/>
      <c r="FI315" s="20"/>
      <c r="FJ315" s="20"/>
      <c r="FK315" s="20"/>
      <c r="FL315" s="20"/>
      <c r="FM315" s="20"/>
      <c r="FN315" s="20"/>
      <c r="FO315" s="20"/>
      <c r="FP315" s="20"/>
      <c r="FQ315" s="20"/>
      <c r="FR315" s="20"/>
      <c r="FS315" s="20"/>
      <c r="FT315" s="20"/>
      <c r="FU315" s="20"/>
      <c r="FV315" s="20"/>
      <c r="FW315" s="20"/>
      <c r="FX315" s="20"/>
    </row>
    <row r="316" spans="1:180" s="13" customFormat="1" ht="13.2" x14ac:dyDescent="0.25">
      <c r="A316" s="179"/>
      <c r="B316" s="180"/>
      <c r="C316" s="10">
        <f>C328+1</f>
        <v>4</v>
      </c>
      <c r="D316" s="10">
        <f>F334+1</f>
        <v>3</v>
      </c>
      <c r="E316" s="10">
        <f>E319+1</f>
        <v>4</v>
      </c>
      <c r="F316" s="10">
        <v>1</v>
      </c>
      <c r="G316" s="10">
        <v>1</v>
      </c>
      <c r="H316" s="10">
        <v>1</v>
      </c>
      <c r="I316" s="48"/>
      <c r="J316" s="156"/>
      <c r="K316" s="48"/>
      <c r="L316" s="186"/>
      <c r="M316" s="48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55"/>
      <c r="Y316" s="146"/>
      <c r="Z316" s="146"/>
      <c r="AA316" s="146"/>
      <c r="AB316" s="146"/>
      <c r="AC316" s="146"/>
      <c r="AD316" s="146"/>
      <c r="AE316" s="146"/>
      <c r="AF316" s="146"/>
      <c r="AG316" s="146"/>
      <c r="AH316" s="146"/>
      <c r="AI316" s="153"/>
      <c r="AL316" s="56"/>
      <c r="AR316" s="56"/>
      <c r="DY316" s="43"/>
      <c r="DZ316" s="16"/>
      <c r="EA316" s="25"/>
      <c r="EB316" s="25"/>
      <c r="EC316" s="21"/>
      <c r="ED316" s="21"/>
      <c r="EE316" s="21"/>
      <c r="EF316" s="21"/>
      <c r="EG316" s="21"/>
      <c r="EH316" s="20"/>
      <c r="EI316" s="161"/>
      <c r="EJ316" s="20"/>
      <c r="EK316" s="22"/>
      <c r="EL316" s="22"/>
      <c r="EM316" s="22"/>
      <c r="EN316" s="22"/>
      <c r="EO316" s="22"/>
      <c r="EP316" s="22"/>
      <c r="EQ316" s="22"/>
      <c r="ER316" s="22"/>
      <c r="ES316" s="22"/>
      <c r="ET316" s="22"/>
      <c r="EU316" s="20"/>
      <c r="EV316" s="20"/>
      <c r="EW316" s="20"/>
      <c r="EX316" s="20"/>
      <c r="EY316" s="20"/>
      <c r="EZ316" s="20"/>
      <c r="FA316" s="20"/>
      <c r="FB316" s="20"/>
      <c r="FC316" s="20"/>
      <c r="FD316" s="20"/>
      <c r="FE316" s="20"/>
      <c r="FF316" s="20"/>
      <c r="FG316" s="20"/>
      <c r="FH316" s="20"/>
      <c r="FI316" s="20"/>
      <c r="FJ316" s="20"/>
      <c r="FK316" s="20"/>
      <c r="FL316" s="20"/>
      <c r="FM316" s="20"/>
      <c r="FN316" s="20"/>
      <c r="FO316" s="20"/>
      <c r="FP316" s="20"/>
      <c r="FQ316" s="20"/>
      <c r="FR316" s="20"/>
      <c r="FS316" s="20"/>
      <c r="FT316" s="20"/>
      <c r="FU316" s="20"/>
      <c r="FV316" s="20"/>
      <c r="FW316" s="20"/>
      <c r="FX316" s="20"/>
    </row>
    <row r="317" spans="1:180" s="13" customFormat="1" ht="13.2" customHeight="1" x14ac:dyDescent="0.25">
      <c r="A317" s="177">
        <v>11</v>
      </c>
      <c r="B317" s="180">
        <v>103</v>
      </c>
      <c r="C317" s="14">
        <f>A317-A323</f>
        <v>2</v>
      </c>
      <c r="D317" s="14">
        <f>A317-A329</f>
        <v>4</v>
      </c>
      <c r="E317" s="14">
        <f>A317-A323</f>
        <v>2</v>
      </c>
      <c r="F317" s="14">
        <f>A317-A341</f>
        <v>8</v>
      </c>
      <c r="G317" s="14">
        <v>0</v>
      </c>
      <c r="H317" s="14">
        <v>0</v>
      </c>
      <c r="I317" s="48"/>
      <c r="J317" s="156"/>
      <c r="K317" s="48"/>
      <c r="L317" s="186">
        <v>45913</v>
      </c>
      <c r="M317" s="48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55"/>
      <c r="Y317" s="146"/>
      <c r="Z317" s="146"/>
      <c r="AA317" s="146"/>
      <c r="AB317" s="146"/>
      <c r="AC317" s="146"/>
      <c r="AD317" s="146"/>
      <c r="AE317" s="146"/>
      <c r="AF317" s="146"/>
      <c r="AG317" s="146"/>
      <c r="AH317" s="146"/>
      <c r="AI317" s="153"/>
      <c r="AL317" s="56"/>
      <c r="AR317" s="56"/>
      <c r="DY317" s="43"/>
      <c r="DZ317" s="16"/>
      <c r="EA317" s="25"/>
      <c r="EB317" s="25"/>
      <c r="EC317" s="21"/>
      <c r="ED317" s="21"/>
      <c r="EE317" s="21"/>
      <c r="EF317" s="21"/>
      <c r="EG317" s="21"/>
      <c r="EH317" s="20"/>
      <c r="EI317" s="11"/>
      <c r="EJ317" s="20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61"/>
      <c r="EV317" s="20"/>
      <c r="EW317" s="20"/>
      <c r="EX317" s="20"/>
      <c r="EY317" s="20"/>
      <c r="EZ317" s="20"/>
      <c r="FA317" s="20"/>
      <c r="FB317" s="20"/>
      <c r="FC317" s="20"/>
      <c r="FD317" s="20"/>
      <c r="FE317" s="20"/>
      <c r="FF317" s="20"/>
      <c r="FG317" s="20"/>
      <c r="FH317" s="20"/>
      <c r="FI317" s="20"/>
      <c r="FJ317" s="20"/>
      <c r="FK317" s="20"/>
      <c r="FL317" s="20"/>
      <c r="FM317" s="20"/>
      <c r="FN317" s="20"/>
      <c r="FO317" s="20"/>
      <c r="FP317" s="20"/>
      <c r="FQ317" s="20"/>
      <c r="FR317" s="20"/>
      <c r="FS317" s="20"/>
      <c r="FT317" s="20"/>
      <c r="FU317" s="20"/>
      <c r="FV317" s="20"/>
      <c r="FW317" s="20"/>
      <c r="FX317" s="20"/>
    </row>
    <row r="318" spans="1:180" s="13" customFormat="1" ht="15.6" x14ac:dyDescent="0.25">
      <c r="A318" s="178"/>
      <c r="B318" s="180"/>
      <c r="C318" s="118">
        <v>3</v>
      </c>
      <c r="D318" s="118">
        <v>35</v>
      </c>
      <c r="E318" s="118">
        <v>39</v>
      </c>
      <c r="F318" s="118">
        <v>40</v>
      </c>
      <c r="G318" s="118">
        <v>49</v>
      </c>
      <c r="H318" s="118">
        <v>90</v>
      </c>
      <c r="I318" s="48"/>
      <c r="J318" s="118"/>
      <c r="K318" s="48"/>
      <c r="L318" s="186"/>
      <c r="M318" s="48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55"/>
      <c r="Y318" s="146"/>
      <c r="Z318" s="146"/>
      <c r="AA318" s="146"/>
      <c r="AB318" s="146"/>
      <c r="AC318" s="146"/>
      <c r="AD318" s="146"/>
      <c r="AE318" s="146"/>
      <c r="AF318" s="146"/>
      <c r="AG318" s="146"/>
      <c r="AH318" s="146"/>
      <c r="AI318" s="153"/>
      <c r="AL318" s="56"/>
      <c r="AR318" s="56"/>
      <c r="DY318" s="43"/>
      <c r="DZ318" s="16"/>
      <c r="EA318" s="25"/>
      <c r="EB318" s="25"/>
      <c r="EC318" s="21"/>
      <c r="ED318" s="21"/>
      <c r="EE318" s="21"/>
      <c r="EF318" s="21"/>
      <c r="EG318" s="21"/>
      <c r="EH318" s="20"/>
      <c r="EI318" s="11"/>
      <c r="EJ318" s="20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20"/>
      <c r="EW318" s="20"/>
      <c r="EX318" s="20"/>
      <c r="EY318" s="20"/>
      <c r="EZ318" s="20"/>
      <c r="FA318" s="20"/>
      <c r="FB318" s="20"/>
      <c r="FC318" s="20"/>
      <c r="FD318" s="20"/>
      <c r="FE318" s="20"/>
      <c r="FF318" s="20"/>
      <c r="FG318" s="20"/>
      <c r="FH318" s="20"/>
      <c r="FI318" s="20"/>
      <c r="FJ318" s="20"/>
      <c r="FK318" s="20"/>
      <c r="FL318" s="20"/>
      <c r="FM318" s="20"/>
      <c r="FN318" s="20"/>
      <c r="FO318" s="20"/>
      <c r="FP318" s="20"/>
      <c r="FQ318" s="20"/>
      <c r="FR318" s="20"/>
      <c r="FS318" s="20"/>
      <c r="FT318" s="20"/>
      <c r="FU318" s="20"/>
      <c r="FV318" s="20"/>
      <c r="FW318" s="20"/>
      <c r="FX318" s="20"/>
    </row>
    <row r="319" spans="1:180" s="13" customFormat="1" ht="13.2" x14ac:dyDescent="0.25">
      <c r="A319" s="179"/>
      <c r="B319" s="180"/>
      <c r="C319" s="10">
        <f>D325+1</f>
        <v>2</v>
      </c>
      <c r="D319" s="10">
        <f>D331+1</f>
        <v>2</v>
      </c>
      <c r="E319" s="10">
        <f>G325+1</f>
        <v>3</v>
      </c>
      <c r="F319" s="10">
        <f>D343+1</f>
        <v>2</v>
      </c>
      <c r="G319" s="10">
        <v>1</v>
      </c>
      <c r="H319" s="10">
        <v>1</v>
      </c>
      <c r="I319" s="48"/>
      <c r="J319" s="156"/>
      <c r="K319" s="48"/>
      <c r="L319" s="186"/>
      <c r="M319" s="48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55"/>
      <c r="Y319" s="146"/>
      <c r="Z319" s="146"/>
      <c r="AA319" s="146"/>
      <c r="AB319" s="146"/>
      <c r="AC319" s="146"/>
      <c r="AD319" s="146"/>
      <c r="AE319" s="146"/>
      <c r="AF319" s="146"/>
      <c r="AG319" s="146"/>
      <c r="AH319" s="146"/>
      <c r="AI319" s="153"/>
      <c r="AL319" s="56"/>
      <c r="AR319" s="56"/>
      <c r="DY319" s="43"/>
      <c r="DZ319" s="16"/>
      <c r="EA319" s="25"/>
      <c r="EB319" s="25"/>
      <c r="EC319" s="21"/>
      <c r="ED319" s="21"/>
      <c r="EE319" s="21"/>
      <c r="EF319" s="21"/>
      <c r="EG319" s="21"/>
      <c r="EH319" s="20"/>
      <c r="EI319" s="11"/>
      <c r="EJ319" s="20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20"/>
      <c r="EW319" s="20"/>
      <c r="EX319" s="20"/>
      <c r="EY319" s="20"/>
      <c r="EZ319" s="20"/>
      <c r="FA319" s="20"/>
      <c r="FB319" s="20"/>
      <c r="FC319" s="20"/>
      <c r="FD319" s="20"/>
      <c r="FE319" s="20"/>
      <c r="FF319" s="20"/>
      <c r="FG319" s="20"/>
      <c r="FH319" s="20"/>
      <c r="FI319" s="20"/>
      <c r="FJ319" s="20"/>
      <c r="FK319" s="20"/>
      <c r="FL319" s="20"/>
      <c r="FM319" s="20"/>
      <c r="FN319" s="20"/>
      <c r="FO319" s="20"/>
      <c r="FP319" s="20"/>
      <c r="FQ319" s="20"/>
      <c r="FR319" s="20"/>
      <c r="FS319" s="20"/>
      <c r="FT319" s="20"/>
      <c r="FU319" s="20"/>
      <c r="FV319" s="20"/>
      <c r="FW319" s="20"/>
      <c r="FX319" s="20"/>
    </row>
    <row r="320" spans="1:180" s="13" customFormat="1" ht="14.4" customHeight="1" x14ac:dyDescent="0.25">
      <c r="A320" s="177">
        <v>10</v>
      </c>
      <c r="B320" s="180">
        <v>104</v>
      </c>
      <c r="C320" s="14">
        <f>A320-A332</f>
        <v>4</v>
      </c>
      <c r="D320" s="14">
        <f>A320-A326</f>
        <v>2</v>
      </c>
      <c r="E320" s="14">
        <f>A320-A323</f>
        <v>1</v>
      </c>
      <c r="F320" s="14">
        <f>A320-A335</f>
        <v>5</v>
      </c>
      <c r="G320" s="14">
        <v>0</v>
      </c>
      <c r="H320" s="14">
        <v>0</v>
      </c>
      <c r="I320" s="48"/>
      <c r="J320" s="156"/>
      <c r="K320" s="48"/>
      <c r="L320" s="186">
        <v>45910</v>
      </c>
      <c r="M320" s="48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55"/>
      <c r="Y320" s="146"/>
      <c r="Z320" s="146"/>
      <c r="AA320" s="146"/>
      <c r="AB320" s="146"/>
      <c r="AC320" s="146"/>
      <c r="AD320" s="146"/>
      <c r="AE320" s="146"/>
      <c r="AF320" s="146"/>
      <c r="AG320" s="146"/>
      <c r="AH320" s="146"/>
      <c r="AI320" s="153"/>
      <c r="AL320" s="56"/>
      <c r="AR320" s="56"/>
      <c r="DY320" s="43"/>
      <c r="DZ320" s="16"/>
      <c r="EA320" s="25"/>
      <c r="EB320" s="25"/>
      <c r="EC320" s="21"/>
      <c r="ED320" s="21"/>
      <c r="EE320" s="21"/>
      <c r="EF320" s="21"/>
      <c r="EG320" s="21"/>
      <c r="EH320" s="20"/>
      <c r="EI320" s="11"/>
      <c r="EJ320" s="20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20"/>
      <c r="EW320" s="20"/>
      <c r="EX320" s="20"/>
      <c r="EY320" s="20"/>
      <c r="EZ320" s="20"/>
      <c r="FA320" s="20"/>
      <c r="FB320" s="20"/>
      <c r="FC320" s="20"/>
      <c r="FD320" s="20"/>
      <c r="FE320" s="20"/>
      <c r="FF320" s="20"/>
      <c r="FG320" s="20"/>
      <c r="FH320" s="20"/>
      <c r="FI320" s="20"/>
      <c r="FJ320" s="20"/>
      <c r="FK320" s="20"/>
      <c r="FL320" s="20"/>
      <c r="FM320" s="20"/>
      <c r="FN320" s="20"/>
      <c r="FO320" s="20"/>
      <c r="FP320" s="20"/>
      <c r="FQ320" s="20"/>
      <c r="FR320" s="20"/>
      <c r="FS320" s="20"/>
      <c r="FT320" s="20"/>
      <c r="FU320" s="20"/>
      <c r="FV320" s="20"/>
      <c r="FW320" s="20"/>
      <c r="FX320" s="20"/>
    </row>
    <row r="321" spans="1:180" s="13" customFormat="1" ht="15.6" x14ac:dyDescent="0.25">
      <c r="A321" s="178"/>
      <c r="B321" s="180"/>
      <c r="C321" s="118">
        <v>5</v>
      </c>
      <c r="D321" s="118">
        <v>32</v>
      </c>
      <c r="E321" s="118">
        <v>36</v>
      </c>
      <c r="F321" s="118">
        <v>58</v>
      </c>
      <c r="G321" s="118">
        <v>64</v>
      </c>
      <c r="H321" s="118">
        <v>68</v>
      </c>
      <c r="I321" s="48"/>
      <c r="J321" s="118"/>
      <c r="K321" s="48"/>
      <c r="L321" s="186"/>
      <c r="M321" s="48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55"/>
      <c r="Y321" s="146"/>
      <c r="Z321" s="146"/>
      <c r="AA321" s="146"/>
      <c r="AB321" s="146"/>
      <c r="AC321" s="146"/>
      <c r="AD321" s="146"/>
      <c r="AE321" s="146"/>
      <c r="AF321" s="146"/>
      <c r="AG321" s="146"/>
      <c r="AH321" s="146"/>
      <c r="AI321" s="153"/>
      <c r="AL321" s="56"/>
      <c r="AR321" s="56"/>
      <c r="DY321" s="43"/>
      <c r="DZ321" s="16"/>
      <c r="EA321" s="25"/>
      <c r="EB321" s="25"/>
      <c r="EC321" s="21"/>
      <c r="ED321" s="21"/>
      <c r="EE321" s="21"/>
      <c r="EF321" s="21"/>
      <c r="EG321" s="21"/>
      <c r="EH321" s="20"/>
      <c r="EI321" s="11"/>
      <c r="EJ321" s="20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20"/>
      <c r="EW321" s="20"/>
      <c r="EX321" s="20"/>
      <c r="EY321" s="20"/>
      <c r="EZ321" s="20"/>
      <c r="FA321" s="20"/>
      <c r="FB321" s="20"/>
      <c r="FC321" s="20"/>
      <c r="FD321" s="20"/>
      <c r="FE321" s="20"/>
      <c r="FF321" s="20"/>
      <c r="FG321" s="20"/>
      <c r="FH321" s="20"/>
      <c r="FI321" s="20"/>
      <c r="FJ321" s="20"/>
      <c r="FK321" s="20"/>
      <c r="FL321" s="20"/>
      <c r="FM321" s="20"/>
      <c r="FN321" s="20"/>
      <c r="FO321" s="20"/>
      <c r="FP321" s="20"/>
      <c r="FQ321" s="20"/>
      <c r="FR321" s="20"/>
      <c r="FS321" s="20"/>
      <c r="FT321" s="20"/>
      <c r="FU321" s="20"/>
      <c r="FV321" s="20"/>
      <c r="FW321" s="20"/>
      <c r="FX321" s="20"/>
    </row>
    <row r="322" spans="1:180" s="13" customFormat="1" ht="13.2" x14ac:dyDescent="0.25">
      <c r="A322" s="179"/>
      <c r="B322" s="180"/>
      <c r="C322" s="10">
        <v>4</v>
      </c>
      <c r="D322" s="10">
        <f>G328+1</f>
        <v>2</v>
      </c>
      <c r="E322" s="10">
        <f>F325+1</f>
        <v>2</v>
      </c>
      <c r="F322" s="10">
        <v>1</v>
      </c>
      <c r="G322" s="10">
        <v>1</v>
      </c>
      <c r="H322" s="10">
        <v>1</v>
      </c>
      <c r="I322" s="48"/>
      <c r="J322" s="156"/>
      <c r="K322" s="48"/>
      <c r="L322" s="186"/>
      <c r="M322" s="48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55"/>
      <c r="Y322" s="146"/>
      <c r="Z322" s="146"/>
      <c r="AA322" s="146"/>
      <c r="AB322" s="146"/>
      <c r="AC322" s="146"/>
      <c r="AD322" s="146"/>
      <c r="AE322" s="146"/>
      <c r="AF322" s="146"/>
      <c r="AG322" s="146"/>
      <c r="AH322" s="146"/>
      <c r="AI322" s="153"/>
      <c r="AL322" s="56"/>
      <c r="AR322" s="56"/>
      <c r="DY322" s="43"/>
      <c r="DZ322" s="16"/>
      <c r="EA322" s="25"/>
      <c r="EB322" s="25"/>
      <c r="EC322" s="21"/>
      <c r="ED322" s="21"/>
      <c r="EE322" s="21"/>
      <c r="EF322" s="21"/>
      <c r="EG322" s="21"/>
      <c r="EH322" s="20"/>
      <c r="EI322" s="11"/>
      <c r="EJ322" s="20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20"/>
      <c r="EW322" s="20"/>
      <c r="EX322" s="20"/>
      <c r="EY322" s="20"/>
      <c r="EZ322" s="20"/>
      <c r="FA322" s="20"/>
      <c r="FB322" s="20"/>
      <c r="FC322" s="20"/>
      <c r="FD322" s="20"/>
      <c r="FE322" s="20"/>
      <c r="FF322" s="20"/>
      <c r="FG322" s="20"/>
      <c r="FH322" s="20"/>
      <c r="FI322" s="20"/>
      <c r="FJ322" s="20"/>
      <c r="FK322" s="20"/>
      <c r="FL322" s="20"/>
      <c r="FM322" s="20"/>
      <c r="FN322" s="20"/>
      <c r="FO322" s="20"/>
      <c r="FP322" s="20"/>
      <c r="FQ322" s="20"/>
      <c r="FR322" s="20"/>
      <c r="FS322" s="20"/>
      <c r="FT322" s="20"/>
      <c r="FU322" s="20"/>
      <c r="FV322" s="20"/>
      <c r="FW322" s="20"/>
      <c r="FX322" s="20"/>
    </row>
    <row r="323" spans="1:180" s="13" customFormat="1" ht="13.2" customHeight="1" x14ac:dyDescent="0.25">
      <c r="A323" s="177">
        <v>9</v>
      </c>
      <c r="B323" s="180">
        <v>105</v>
      </c>
      <c r="C323" s="14">
        <f>A323-A341</f>
        <v>6</v>
      </c>
      <c r="D323" s="14">
        <v>0</v>
      </c>
      <c r="E323" s="14">
        <v>0</v>
      </c>
      <c r="F323" s="14">
        <v>0</v>
      </c>
      <c r="G323" s="14">
        <f>A323-A329</f>
        <v>2</v>
      </c>
      <c r="H323" s="14">
        <v>0</v>
      </c>
      <c r="I323" s="48"/>
      <c r="J323" s="156">
        <f>A323-A326-1</f>
        <v>0</v>
      </c>
      <c r="K323" s="48"/>
      <c r="L323" s="186">
        <v>45908</v>
      </c>
      <c r="M323" s="48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55"/>
      <c r="Y323" s="146"/>
      <c r="Z323" s="146"/>
      <c r="AA323" s="146"/>
      <c r="AB323" s="146"/>
      <c r="AC323" s="146"/>
      <c r="AD323" s="146"/>
      <c r="AE323" s="146"/>
      <c r="AF323" s="146"/>
      <c r="AG323" s="146"/>
      <c r="AH323" s="146"/>
      <c r="AI323" s="153"/>
      <c r="AL323" s="56"/>
      <c r="AR323" s="56"/>
      <c r="DY323" s="43"/>
      <c r="DZ323" s="16"/>
      <c r="EA323" s="25"/>
      <c r="EB323" s="25"/>
      <c r="EC323" s="21"/>
      <c r="ED323" s="21"/>
      <c r="EE323" s="21"/>
      <c r="EF323" s="21"/>
      <c r="EG323" s="21"/>
      <c r="EH323" s="20"/>
      <c r="EI323" s="11"/>
      <c r="EJ323" s="20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20"/>
      <c r="EW323" s="20"/>
      <c r="EX323" s="20"/>
      <c r="EY323" s="20"/>
      <c r="EZ323" s="20"/>
      <c r="FA323" s="20"/>
      <c r="FB323" s="20"/>
      <c r="FC323" s="20"/>
      <c r="FD323" s="20"/>
      <c r="FE323" s="20"/>
      <c r="FF323" s="20"/>
      <c r="FG323" s="20"/>
      <c r="FH323" s="20"/>
      <c r="FI323" s="20"/>
      <c r="FJ323" s="20"/>
      <c r="FK323" s="20"/>
      <c r="FL323" s="20"/>
      <c r="FM323" s="20"/>
      <c r="FN323" s="20"/>
      <c r="FO323" s="20"/>
      <c r="FP323" s="20"/>
      <c r="FQ323" s="20"/>
      <c r="FR323" s="20"/>
      <c r="FS323" s="20"/>
      <c r="FT323" s="20"/>
      <c r="FU323" s="20"/>
      <c r="FV323" s="20"/>
      <c r="FW323" s="20"/>
      <c r="FX323" s="20"/>
    </row>
    <row r="324" spans="1:180" s="13" customFormat="1" ht="15.6" x14ac:dyDescent="0.25">
      <c r="A324" s="178"/>
      <c r="B324" s="180"/>
      <c r="C324" s="124">
        <v>2</v>
      </c>
      <c r="D324" s="120">
        <v>3</v>
      </c>
      <c r="E324" s="120">
        <v>12</v>
      </c>
      <c r="F324" s="120">
        <v>36</v>
      </c>
      <c r="G324" s="120">
        <v>39</v>
      </c>
      <c r="H324" s="120">
        <v>87</v>
      </c>
      <c r="I324" s="48"/>
      <c r="J324" s="120">
        <v>29</v>
      </c>
      <c r="K324" s="48"/>
      <c r="L324" s="186"/>
      <c r="M324" s="48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55"/>
      <c r="Y324" s="146"/>
      <c r="Z324" s="146"/>
      <c r="AA324" s="146"/>
      <c r="AB324" s="146"/>
      <c r="AC324" s="146"/>
      <c r="AD324" s="146"/>
      <c r="AE324" s="146"/>
      <c r="AF324" s="146"/>
      <c r="AG324" s="146"/>
      <c r="AH324" s="146"/>
      <c r="AI324" s="153"/>
      <c r="AL324" s="56"/>
      <c r="AR324" s="56"/>
      <c r="DY324" s="43"/>
      <c r="DZ324" s="16"/>
      <c r="EA324" s="25"/>
      <c r="EB324" s="25"/>
      <c r="EC324" s="21"/>
      <c r="ED324" s="21"/>
      <c r="EE324" s="21"/>
      <c r="EF324" s="21"/>
      <c r="EG324" s="21"/>
      <c r="EH324" s="20"/>
      <c r="EI324" s="11"/>
      <c r="EJ324" s="20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20"/>
      <c r="EW324" s="20"/>
      <c r="EX324" s="20"/>
      <c r="EY324" s="20"/>
      <c r="EZ324" s="20"/>
      <c r="FA324" s="20"/>
      <c r="FB324" s="20"/>
      <c r="FC324" s="20"/>
      <c r="FD324" s="20"/>
      <c r="FE324" s="20"/>
      <c r="FF324" s="20"/>
      <c r="FG324" s="20"/>
      <c r="FH324" s="20"/>
      <c r="FI324" s="20"/>
      <c r="FJ324" s="20"/>
      <c r="FK324" s="20"/>
      <c r="FL324" s="20"/>
      <c r="FM324" s="20"/>
      <c r="FN324" s="20"/>
      <c r="FO324" s="20"/>
      <c r="FP324" s="20"/>
      <c r="FQ324" s="20"/>
      <c r="FR324" s="20"/>
      <c r="FS324" s="20"/>
      <c r="FT324" s="20"/>
      <c r="FU324" s="20"/>
      <c r="FV324" s="20"/>
      <c r="FW324" s="20"/>
      <c r="FX324" s="20"/>
    </row>
    <row r="325" spans="1:180" s="13" customFormat="1" ht="13.2" x14ac:dyDescent="0.25">
      <c r="A325" s="179"/>
      <c r="B325" s="180"/>
      <c r="C325" s="10">
        <f>C343+1</f>
        <v>2</v>
      </c>
      <c r="D325" s="10">
        <v>1</v>
      </c>
      <c r="E325" s="10">
        <v>1</v>
      </c>
      <c r="F325" s="10">
        <v>1</v>
      </c>
      <c r="G325" s="10">
        <f>E331+1</f>
        <v>2</v>
      </c>
      <c r="H325" s="10">
        <v>1</v>
      </c>
      <c r="I325" s="48"/>
      <c r="J325" s="156">
        <f>E328+1</f>
        <v>3</v>
      </c>
      <c r="K325" s="48"/>
      <c r="L325" s="186"/>
      <c r="M325" s="48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55"/>
      <c r="Y325" s="146"/>
      <c r="Z325" s="146"/>
      <c r="AA325" s="146"/>
      <c r="AB325" s="146"/>
      <c r="AC325" s="146"/>
      <c r="AD325" s="146"/>
      <c r="AE325" s="146"/>
      <c r="AF325" s="146"/>
      <c r="AG325" s="146"/>
      <c r="AH325" s="146"/>
      <c r="AI325" s="153"/>
      <c r="AL325" s="56"/>
      <c r="AR325" s="56"/>
      <c r="DY325" s="43"/>
      <c r="DZ325" s="16"/>
      <c r="EA325" s="25"/>
      <c r="EB325" s="25"/>
      <c r="EC325" s="21"/>
      <c r="ED325" s="21"/>
      <c r="EE325" s="21"/>
      <c r="EF325" s="21"/>
      <c r="EG325" s="21"/>
      <c r="EH325" s="20"/>
      <c r="EI325" s="11"/>
      <c r="EJ325" s="20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20"/>
      <c r="EW325" s="20"/>
      <c r="EX325" s="20"/>
      <c r="EY325" s="20"/>
      <c r="EZ325" s="20"/>
      <c r="FA325" s="20"/>
      <c r="FB325" s="20"/>
      <c r="FC325" s="20"/>
      <c r="FD325" s="20"/>
      <c r="FE325" s="20"/>
      <c r="FF325" s="20"/>
      <c r="FG325" s="20"/>
      <c r="FH325" s="20"/>
      <c r="FI325" s="20"/>
      <c r="FJ325" s="20"/>
      <c r="FK325" s="20"/>
      <c r="FL325" s="20"/>
      <c r="FM325" s="20"/>
      <c r="FN325" s="20"/>
      <c r="FO325" s="20"/>
      <c r="FP325" s="20"/>
      <c r="FQ325" s="20"/>
      <c r="FR325" s="20"/>
      <c r="FS325" s="20"/>
      <c r="FT325" s="20"/>
      <c r="FU325" s="20"/>
      <c r="FV325" s="20"/>
      <c r="FW325" s="20"/>
      <c r="FX325" s="20"/>
    </row>
    <row r="326" spans="1:180" s="13" customFormat="1" ht="13.2" customHeight="1" x14ac:dyDescent="0.25">
      <c r="A326" s="177">
        <v>8</v>
      </c>
      <c r="B326" s="180">
        <v>106</v>
      </c>
      <c r="C326" s="14">
        <f>A326-A332</f>
        <v>2</v>
      </c>
      <c r="D326" s="14">
        <v>0</v>
      </c>
      <c r="E326" s="14">
        <f>A326-A347</f>
        <v>7</v>
      </c>
      <c r="F326" s="14">
        <v>0</v>
      </c>
      <c r="G326" s="14">
        <v>0</v>
      </c>
      <c r="H326" s="14">
        <f>A326-A332</f>
        <v>2</v>
      </c>
      <c r="I326" s="48"/>
      <c r="J326" s="156"/>
      <c r="K326" s="48"/>
      <c r="L326" s="186">
        <v>45906</v>
      </c>
      <c r="M326" s="48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55"/>
      <c r="Y326" s="146"/>
      <c r="Z326" s="146"/>
      <c r="AA326" s="146"/>
      <c r="AB326" s="146"/>
      <c r="AC326" s="146"/>
      <c r="AD326" s="146"/>
      <c r="AE326" s="146"/>
      <c r="AF326" s="146"/>
      <c r="AG326" s="146"/>
      <c r="AH326" s="146"/>
      <c r="AI326" s="153"/>
      <c r="AL326" s="56"/>
      <c r="AR326" s="56"/>
      <c r="DY326" s="43"/>
      <c r="DZ326" s="16"/>
      <c r="EA326" s="25"/>
      <c r="EB326" s="25"/>
      <c r="EC326" s="21"/>
      <c r="ED326" s="21"/>
      <c r="EE326" s="21"/>
      <c r="EF326" s="21"/>
      <c r="EG326" s="21"/>
      <c r="EH326" s="20"/>
      <c r="EI326" s="11"/>
      <c r="EJ326" s="20"/>
      <c r="EK326" s="20"/>
      <c r="EL326" s="20"/>
      <c r="EM326" s="20"/>
      <c r="EN326" s="20"/>
      <c r="EO326" s="20"/>
      <c r="EP326" s="20"/>
      <c r="EQ326" s="20"/>
      <c r="ER326" s="20"/>
      <c r="ES326" s="20"/>
      <c r="ET326" s="20"/>
      <c r="EU326" s="11"/>
      <c r="EV326" s="20"/>
      <c r="EW326" s="20"/>
      <c r="EX326" s="20"/>
      <c r="EY326" s="20"/>
      <c r="EZ326" s="20"/>
      <c r="FA326" s="20"/>
      <c r="FB326" s="20"/>
      <c r="FC326" s="20"/>
      <c r="FD326" s="20"/>
      <c r="FE326" s="20"/>
      <c r="FF326" s="20"/>
      <c r="FG326" s="20"/>
      <c r="FH326" s="20"/>
      <c r="FI326" s="20"/>
      <c r="FJ326" s="20"/>
      <c r="FK326" s="20"/>
      <c r="FL326" s="20"/>
      <c r="FM326" s="20"/>
      <c r="FN326" s="20"/>
      <c r="FO326" s="20"/>
      <c r="FP326" s="20"/>
      <c r="FQ326" s="20"/>
      <c r="FR326" s="20"/>
      <c r="FS326" s="20"/>
      <c r="FT326" s="20"/>
      <c r="FU326" s="20"/>
      <c r="FV326" s="20"/>
      <c r="FW326" s="20"/>
      <c r="FX326" s="20"/>
    </row>
    <row r="327" spans="1:180" s="13" customFormat="1" ht="15.6" x14ac:dyDescent="0.25">
      <c r="A327" s="178"/>
      <c r="B327" s="180"/>
      <c r="C327" s="118">
        <v>7</v>
      </c>
      <c r="D327" s="118">
        <v>19</v>
      </c>
      <c r="E327" s="118">
        <v>29</v>
      </c>
      <c r="F327" s="118">
        <v>30</v>
      </c>
      <c r="G327" s="118">
        <v>32</v>
      </c>
      <c r="H327" s="118">
        <v>33</v>
      </c>
      <c r="I327" s="48"/>
      <c r="J327" s="118"/>
      <c r="K327" s="48"/>
      <c r="L327" s="186"/>
      <c r="M327" s="48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55"/>
      <c r="Y327" s="146"/>
      <c r="Z327" s="146"/>
      <c r="AA327" s="146"/>
      <c r="AB327" s="146"/>
      <c r="AC327" s="146"/>
      <c r="AD327" s="146"/>
      <c r="AE327" s="146"/>
      <c r="AF327" s="146"/>
      <c r="AG327" s="146"/>
      <c r="AH327" s="146"/>
      <c r="AI327" s="153"/>
      <c r="AL327" s="56"/>
      <c r="AR327" s="56"/>
      <c r="DY327" s="43"/>
      <c r="DZ327" s="16"/>
      <c r="EA327" s="25"/>
      <c r="EB327" s="25"/>
      <c r="EC327" s="21"/>
      <c r="ED327" s="21"/>
      <c r="EE327" s="21"/>
      <c r="EF327" s="21"/>
      <c r="EG327" s="21"/>
      <c r="EH327" s="20"/>
      <c r="EI327" s="161"/>
      <c r="EJ327" s="20"/>
      <c r="EK327" s="22"/>
      <c r="EL327" s="22"/>
      <c r="EM327" s="22"/>
      <c r="EN327" s="22"/>
      <c r="EO327" s="22"/>
      <c r="EP327" s="22"/>
      <c r="EQ327" s="22"/>
      <c r="ER327" s="22"/>
      <c r="ES327" s="22"/>
      <c r="ET327" s="22"/>
      <c r="EU327" s="5"/>
      <c r="EV327" s="20"/>
      <c r="EW327" s="20"/>
      <c r="EX327" s="20"/>
      <c r="EY327" s="20"/>
      <c r="EZ327" s="20"/>
      <c r="FA327" s="20"/>
      <c r="FB327" s="20"/>
      <c r="FC327" s="20"/>
      <c r="FD327" s="20"/>
      <c r="FE327" s="20"/>
      <c r="FF327" s="20"/>
      <c r="FG327" s="20"/>
      <c r="FH327" s="20"/>
      <c r="FI327" s="20"/>
      <c r="FJ327" s="20"/>
      <c r="FK327" s="20"/>
      <c r="FL327" s="20"/>
      <c r="FM327" s="20"/>
      <c r="FN327" s="20"/>
      <c r="FO327" s="20"/>
      <c r="FP327" s="20"/>
      <c r="FQ327" s="20"/>
      <c r="FR327" s="20"/>
      <c r="FS327" s="20"/>
      <c r="FT327" s="20"/>
      <c r="FU327" s="20"/>
      <c r="FV327" s="20"/>
      <c r="FW327" s="20"/>
      <c r="FX327" s="20"/>
    </row>
    <row r="328" spans="1:180" s="13" customFormat="1" ht="13.2" x14ac:dyDescent="0.25">
      <c r="A328" s="179"/>
      <c r="B328" s="180"/>
      <c r="C328" s="10">
        <f>D334+1</f>
        <v>3</v>
      </c>
      <c r="D328" s="10">
        <v>1</v>
      </c>
      <c r="E328" s="10">
        <f>F349+1</f>
        <v>2</v>
      </c>
      <c r="F328" s="10">
        <v>1</v>
      </c>
      <c r="G328" s="10">
        <v>1</v>
      </c>
      <c r="H328" s="10">
        <f>H334+1</f>
        <v>3</v>
      </c>
      <c r="I328" s="48"/>
      <c r="J328" s="156"/>
      <c r="K328" s="48"/>
      <c r="L328" s="186"/>
      <c r="M328" s="48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55"/>
      <c r="Y328" s="146"/>
      <c r="Z328" s="146"/>
      <c r="AA328" s="146"/>
      <c r="AB328" s="146"/>
      <c r="AC328" s="146"/>
      <c r="AD328" s="146"/>
      <c r="AE328" s="146"/>
      <c r="AF328" s="146"/>
      <c r="AG328" s="146"/>
      <c r="AH328" s="146"/>
      <c r="AI328" s="153"/>
      <c r="AL328" s="56"/>
      <c r="AR328" s="56"/>
      <c r="DY328" s="43"/>
      <c r="DZ328" s="16"/>
      <c r="EA328" s="25"/>
      <c r="EB328" s="25"/>
      <c r="EC328" s="21"/>
      <c r="ED328" s="21"/>
      <c r="EE328" s="21"/>
      <c r="EF328" s="21"/>
      <c r="EG328" s="21"/>
      <c r="EH328" s="20"/>
      <c r="EI328" s="11"/>
      <c r="EJ328" s="20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61"/>
      <c r="EV328" s="20"/>
      <c r="EW328" s="20"/>
      <c r="EX328" s="20"/>
      <c r="EY328" s="20"/>
      <c r="EZ328" s="20"/>
      <c r="FA328" s="20"/>
      <c r="FB328" s="20"/>
      <c r="FC328" s="20"/>
      <c r="FD328" s="20"/>
      <c r="FE328" s="20"/>
      <c r="FF328" s="20"/>
      <c r="FG328" s="20"/>
      <c r="FH328" s="20"/>
      <c r="FI328" s="20"/>
      <c r="FJ328" s="20"/>
      <c r="FK328" s="20"/>
      <c r="FL328" s="20"/>
      <c r="FM328" s="20"/>
      <c r="FN328" s="20"/>
      <c r="FO328" s="20"/>
      <c r="FP328" s="20"/>
      <c r="FQ328" s="20"/>
      <c r="FR328" s="20"/>
      <c r="FS328" s="20"/>
      <c r="FT328" s="20"/>
      <c r="FU328" s="20"/>
      <c r="FV328" s="20"/>
      <c r="FW328" s="20"/>
      <c r="FX328" s="20"/>
    </row>
    <row r="329" spans="1:180" s="13" customFormat="1" ht="13.2" customHeight="1" x14ac:dyDescent="0.25">
      <c r="A329" s="177">
        <v>7</v>
      </c>
      <c r="B329" s="180">
        <v>107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48"/>
      <c r="J329" s="156"/>
      <c r="K329" s="48"/>
      <c r="L329" s="186">
        <v>45903</v>
      </c>
      <c r="M329" s="48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55"/>
      <c r="Y329" s="146"/>
      <c r="Z329" s="146"/>
      <c r="AA329" s="146"/>
      <c r="AB329" s="146"/>
      <c r="AC329" s="146"/>
      <c r="AD329" s="146"/>
      <c r="AE329" s="146"/>
      <c r="AF329" s="146"/>
      <c r="AG329" s="146"/>
      <c r="AH329" s="146"/>
      <c r="AI329" s="153"/>
      <c r="AL329" s="56"/>
      <c r="AR329" s="56"/>
      <c r="DY329" s="43"/>
      <c r="DZ329" s="16"/>
      <c r="EA329" s="25"/>
      <c r="EB329" s="25"/>
      <c r="EC329" s="21"/>
      <c r="ED329" s="21"/>
      <c r="EE329" s="21"/>
      <c r="EF329" s="21"/>
      <c r="EG329" s="21"/>
      <c r="EH329" s="20"/>
      <c r="EI329" s="11"/>
      <c r="EJ329" s="20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20"/>
      <c r="EW329" s="20"/>
      <c r="EX329" s="20"/>
      <c r="EY329" s="20"/>
      <c r="EZ329" s="20"/>
      <c r="FA329" s="20"/>
      <c r="FB329" s="20"/>
      <c r="FC329" s="20"/>
      <c r="FD329" s="20"/>
      <c r="FE329" s="20"/>
      <c r="FF329" s="20"/>
      <c r="FG329" s="20"/>
      <c r="FH329" s="20"/>
      <c r="FI329" s="20"/>
      <c r="FJ329" s="20"/>
      <c r="FK329" s="20"/>
      <c r="FL329" s="20"/>
      <c r="FM329" s="20"/>
      <c r="FN329" s="20"/>
      <c r="FO329" s="20"/>
      <c r="FP329" s="20"/>
      <c r="FQ329" s="20"/>
      <c r="FR329" s="20"/>
      <c r="FS329" s="20"/>
      <c r="FT329" s="20"/>
      <c r="FU329" s="20"/>
      <c r="FV329" s="20"/>
      <c r="FW329" s="20"/>
      <c r="FX329" s="20"/>
    </row>
    <row r="330" spans="1:180" s="13" customFormat="1" ht="15.6" x14ac:dyDescent="0.25">
      <c r="A330" s="178"/>
      <c r="B330" s="180"/>
      <c r="C330" s="118">
        <v>27</v>
      </c>
      <c r="D330" s="118">
        <v>35</v>
      </c>
      <c r="E330" s="118">
        <v>39</v>
      </c>
      <c r="F330" s="118">
        <v>57</v>
      </c>
      <c r="G330" s="118">
        <v>61</v>
      </c>
      <c r="H330" s="118">
        <v>88</v>
      </c>
      <c r="I330" s="48"/>
      <c r="J330" s="118"/>
      <c r="K330" s="48"/>
      <c r="L330" s="186"/>
      <c r="M330" s="48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55"/>
      <c r="Y330" s="146"/>
      <c r="Z330" s="146"/>
      <c r="AA330" s="146"/>
      <c r="AB330" s="146"/>
      <c r="AC330" s="146"/>
      <c r="AD330" s="146"/>
      <c r="AE330" s="146"/>
      <c r="AF330" s="146"/>
      <c r="AG330" s="146"/>
      <c r="AH330" s="146"/>
      <c r="AI330" s="153"/>
      <c r="AL330" s="56"/>
      <c r="AR330" s="56"/>
      <c r="DY330" s="43"/>
      <c r="DZ330" s="16"/>
      <c r="EA330" s="25"/>
      <c r="EB330" s="25"/>
      <c r="EC330" s="21"/>
      <c r="ED330" s="21"/>
      <c r="EE330" s="21"/>
      <c r="EF330" s="21"/>
      <c r="EG330" s="21"/>
      <c r="EH330" s="20"/>
      <c r="EI330" s="11"/>
      <c r="EJ330" s="20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20"/>
      <c r="EW330" s="20"/>
      <c r="EX330" s="20"/>
      <c r="EY330" s="20"/>
      <c r="EZ330" s="20"/>
      <c r="FA330" s="20"/>
      <c r="FB330" s="20"/>
      <c r="FC330" s="20"/>
      <c r="FD330" s="20"/>
      <c r="FE330" s="20"/>
      <c r="FF330" s="20"/>
      <c r="FG330" s="20"/>
      <c r="FH330" s="20"/>
      <c r="FI330" s="20"/>
      <c r="FJ330" s="20"/>
      <c r="FK330" s="20"/>
      <c r="FL330" s="20"/>
      <c r="FM330" s="20"/>
      <c r="FN330" s="20"/>
      <c r="FO330" s="20"/>
      <c r="FP330" s="20"/>
      <c r="FQ330" s="20"/>
      <c r="FR330" s="20"/>
      <c r="FS330" s="20"/>
      <c r="FT330" s="20"/>
      <c r="FU330" s="20"/>
      <c r="FV330" s="20"/>
      <c r="FW330" s="20"/>
      <c r="FX330" s="20"/>
    </row>
    <row r="331" spans="1:180" s="13" customFormat="1" ht="13.2" x14ac:dyDescent="0.25">
      <c r="A331" s="179"/>
      <c r="B331" s="180"/>
      <c r="C331" s="10">
        <v>1</v>
      </c>
      <c r="D331" s="10">
        <v>1</v>
      </c>
      <c r="E331" s="10">
        <v>1</v>
      </c>
      <c r="F331" s="10">
        <v>1</v>
      </c>
      <c r="G331" s="10">
        <v>1</v>
      </c>
      <c r="H331" s="10">
        <v>1</v>
      </c>
      <c r="I331" s="48"/>
      <c r="J331" s="156"/>
      <c r="K331" s="48"/>
      <c r="L331" s="186"/>
      <c r="M331" s="48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55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53"/>
      <c r="AL331" s="56"/>
      <c r="AR331" s="56"/>
      <c r="DY331" s="43"/>
      <c r="DZ331" s="16"/>
      <c r="EA331" s="25"/>
      <c r="EB331" s="25"/>
      <c r="EC331" s="21"/>
      <c r="ED331" s="21"/>
      <c r="EE331" s="21"/>
      <c r="EF331" s="21"/>
      <c r="EG331" s="21"/>
      <c r="EH331" s="20"/>
      <c r="EI331" s="11"/>
      <c r="EJ331" s="20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20"/>
      <c r="EW331" s="20"/>
      <c r="EX331" s="20"/>
      <c r="EY331" s="20"/>
      <c r="EZ331" s="20"/>
      <c r="FA331" s="20"/>
      <c r="FB331" s="20"/>
      <c r="FC331" s="20"/>
      <c r="FD331" s="20"/>
      <c r="FE331" s="20"/>
      <c r="FF331" s="20"/>
      <c r="FG331" s="20"/>
      <c r="FH331" s="20"/>
      <c r="FI331" s="20"/>
      <c r="FJ331" s="20"/>
      <c r="FK331" s="20"/>
      <c r="FL331" s="20"/>
      <c r="FM331" s="20"/>
      <c r="FN331" s="20"/>
      <c r="FO331" s="20"/>
      <c r="FP331" s="20"/>
      <c r="FQ331" s="20"/>
      <c r="FR331" s="20"/>
      <c r="FS331" s="20"/>
      <c r="FT331" s="20"/>
      <c r="FU331" s="20"/>
      <c r="FV331" s="20"/>
      <c r="FW331" s="20"/>
      <c r="FX331" s="20"/>
    </row>
    <row r="332" spans="1:180" s="13" customFormat="1" ht="13.2" customHeight="1" x14ac:dyDescent="0.25">
      <c r="A332" s="177">
        <v>6</v>
      </c>
      <c r="B332" s="180">
        <v>108</v>
      </c>
      <c r="C332" s="14">
        <f>A332-A347</f>
        <v>5</v>
      </c>
      <c r="D332" s="14">
        <f>A332-A338</f>
        <v>2</v>
      </c>
      <c r="E332" s="14">
        <v>0</v>
      </c>
      <c r="F332" s="14">
        <f>A332-A347</f>
        <v>5</v>
      </c>
      <c r="G332" s="14">
        <v>0</v>
      </c>
      <c r="H332" s="14">
        <f>A332-A347</f>
        <v>5</v>
      </c>
      <c r="I332" s="48"/>
      <c r="J332" s="156">
        <f>A332-A350-1</f>
        <v>5</v>
      </c>
      <c r="K332" s="48"/>
      <c r="L332" s="186">
        <v>45901</v>
      </c>
      <c r="M332" s="48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55"/>
      <c r="Y332" s="146"/>
      <c r="Z332" s="146"/>
      <c r="AA332" s="146"/>
      <c r="AB332" s="146"/>
      <c r="AC332" s="146"/>
      <c r="AD332" s="146"/>
      <c r="AE332" s="146"/>
      <c r="AF332" s="146"/>
      <c r="AG332" s="146"/>
      <c r="AH332" s="146"/>
      <c r="AI332" s="153"/>
      <c r="AL332" s="56"/>
      <c r="AR332" s="56"/>
      <c r="DY332" s="43"/>
      <c r="DZ332" s="16"/>
      <c r="EA332" s="25"/>
      <c r="EB332" s="25"/>
      <c r="EC332" s="21"/>
      <c r="ED332" s="21"/>
      <c r="EE332" s="21"/>
      <c r="EF332" s="21"/>
      <c r="EG332" s="21"/>
      <c r="EH332" s="20"/>
      <c r="EI332" s="11"/>
      <c r="EJ332" s="20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20"/>
      <c r="EW332" s="20"/>
      <c r="EX332" s="20"/>
      <c r="EY332" s="20"/>
      <c r="EZ332" s="20"/>
      <c r="FA332" s="20"/>
      <c r="FB332" s="20"/>
      <c r="FC332" s="20"/>
      <c r="FD332" s="20"/>
      <c r="FE332" s="20"/>
      <c r="FF332" s="20"/>
      <c r="FG332" s="20"/>
      <c r="FH332" s="20"/>
      <c r="FI332" s="20"/>
      <c r="FJ332" s="20"/>
      <c r="FK332" s="20"/>
      <c r="FL332" s="20"/>
      <c r="FM332" s="20"/>
      <c r="FN332" s="20"/>
      <c r="FO332" s="20"/>
      <c r="FP332" s="20"/>
      <c r="FQ332" s="20"/>
      <c r="FR332" s="20"/>
      <c r="FS332" s="20"/>
      <c r="FT332" s="20"/>
      <c r="FU332" s="20"/>
      <c r="FV332" s="20"/>
      <c r="FW332" s="20"/>
      <c r="FX332" s="20"/>
    </row>
    <row r="333" spans="1:180" s="13" customFormat="1" ht="15.6" x14ac:dyDescent="0.25">
      <c r="A333" s="178"/>
      <c r="B333" s="180"/>
      <c r="C333" s="124">
        <v>5</v>
      </c>
      <c r="D333" s="120">
        <v>7</v>
      </c>
      <c r="E333" s="120">
        <v>14</v>
      </c>
      <c r="F333" s="120">
        <v>23</v>
      </c>
      <c r="G333" s="120">
        <v>26</v>
      </c>
      <c r="H333" s="120">
        <v>33</v>
      </c>
      <c r="I333" s="48"/>
      <c r="J333" s="120">
        <v>85</v>
      </c>
      <c r="K333" s="48"/>
      <c r="L333" s="186"/>
      <c r="M333" s="48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55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53"/>
      <c r="AL333" s="56"/>
      <c r="AR333" s="56"/>
      <c r="DY333" s="43"/>
      <c r="DZ333" s="16"/>
      <c r="EA333" s="25"/>
      <c r="EB333" s="25"/>
      <c r="EC333" s="21"/>
      <c r="ED333" s="21"/>
      <c r="EE333" s="21"/>
      <c r="EF333" s="21"/>
      <c r="EG333" s="21"/>
      <c r="EH333" s="20"/>
      <c r="EI333" s="11"/>
      <c r="EJ333" s="20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20"/>
      <c r="EW333" s="20"/>
      <c r="EX333" s="20"/>
      <c r="EY333" s="20"/>
      <c r="EZ333" s="20"/>
      <c r="FA333" s="20"/>
      <c r="FB333" s="20"/>
      <c r="FC333" s="20"/>
      <c r="FD333" s="20"/>
      <c r="FE333" s="20"/>
      <c r="FF333" s="20"/>
      <c r="FG333" s="20"/>
      <c r="FH333" s="20"/>
      <c r="FI333" s="20"/>
      <c r="FJ333" s="20"/>
      <c r="FK333" s="20"/>
      <c r="FL333" s="20"/>
      <c r="FM333" s="20"/>
      <c r="FN333" s="20"/>
      <c r="FO333" s="20"/>
      <c r="FP333" s="20"/>
      <c r="FQ333" s="20"/>
      <c r="FR333" s="20"/>
      <c r="FS333" s="20"/>
      <c r="FT333" s="20"/>
      <c r="FU333" s="20"/>
      <c r="FV333" s="20"/>
      <c r="FW333" s="20"/>
      <c r="FX333" s="20"/>
    </row>
    <row r="334" spans="1:180" s="13" customFormat="1" ht="13.2" x14ac:dyDescent="0.25">
      <c r="A334" s="179"/>
      <c r="B334" s="180"/>
      <c r="C334" s="10">
        <v>3</v>
      </c>
      <c r="D334" s="10">
        <f>E340+1</f>
        <v>2</v>
      </c>
      <c r="E334" s="10">
        <v>1</v>
      </c>
      <c r="F334" s="10">
        <f>D349+1</f>
        <v>2</v>
      </c>
      <c r="G334" s="10">
        <v>1</v>
      </c>
      <c r="H334" s="10">
        <f>G349+1</f>
        <v>2</v>
      </c>
      <c r="I334" s="48"/>
      <c r="J334" s="156">
        <v>1</v>
      </c>
      <c r="K334" s="48"/>
      <c r="L334" s="186"/>
      <c r="M334" s="48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55"/>
      <c r="Y334" s="146"/>
      <c r="Z334" s="146"/>
      <c r="AA334" s="146"/>
      <c r="AB334" s="146"/>
      <c r="AC334" s="146"/>
      <c r="AD334" s="146"/>
      <c r="AE334" s="146"/>
      <c r="AF334" s="146"/>
      <c r="AG334" s="146"/>
      <c r="AH334" s="146"/>
      <c r="AI334" s="153"/>
      <c r="AL334" s="56"/>
      <c r="AR334" s="56"/>
      <c r="DY334" s="43"/>
      <c r="DZ334" s="16"/>
      <c r="EA334" s="25"/>
      <c r="EB334" s="25"/>
      <c r="EC334" s="21"/>
      <c r="ED334" s="21"/>
      <c r="EE334" s="21"/>
      <c r="EF334" s="21"/>
      <c r="EG334" s="21"/>
      <c r="EH334" s="20"/>
      <c r="EI334" s="11"/>
      <c r="EJ334" s="20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20"/>
      <c r="EW334" s="20"/>
      <c r="EX334" s="20"/>
      <c r="EY334" s="20"/>
      <c r="EZ334" s="20"/>
      <c r="FA334" s="20"/>
      <c r="FB334" s="20"/>
      <c r="FC334" s="20"/>
      <c r="FD334" s="20"/>
      <c r="FE334" s="20"/>
      <c r="FF334" s="20"/>
      <c r="FG334" s="20"/>
      <c r="FH334" s="20"/>
      <c r="FI334" s="20"/>
      <c r="FJ334" s="20"/>
      <c r="FK334" s="20"/>
      <c r="FL334" s="20"/>
      <c r="FM334" s="20"/>
      <c r="FN334" s="20"/>
      <c r="FO334" s="20"/>
      <c r="FP334" s="20"/>
      <c r="FQ334" s="20"/>
      <c r="FR334" s="20"/>
      <c r="FS334" s="20"/>
      <c r="FT334" s="20"/>
      <c r="FU334" s="20"/>
      <c r="FV334" s="20"/>
      <c r="FW334" s="20"/>
      <c r="FX334" s="20"/>
    </row>
    <row r="335" spans="1:180" s="13" customFormat="1" ht="13.2" customHeight="1" x14ac:dyDescent="0.25">
      <c r="A335" s="177">
        <v>5</v>
      </c>
      <c r="B335" s="180">
        <v>109</v>
      </c>
      <c r="C335" s="14">
        <v>0</v>
      </c>
      <c r="D335" s="14">
        <v>0</v>
      </c>
      <c r="E335" s="14">
        <v>0</v>
      </c>
      <c r="F335" s="14">
        <v>0</v>
      </c>
      <c r="G335" s="14">
        <v>0</v>
      </c>
      <c r="H335" s="14">
        <v>0</v>
      </c>
      <c r="I335" s="48"/>
      <c r="J335" s="156"/>
      <c r="K335" s="48"/>
      <c r="L335" s="186">
        <v>45899</v>
      </c>
      <c r="M335" s="48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55"/>
      <c r="Y335" s="146"/>
      <c r="Z335" s="146"/>
      <c r="AA335" s="146"/>
      <c r="AB335" s="146"/>
      <c r="AC335" s="146"/>
      <c r="AD335" s="146"/>
      <c r="AE335" s="146"/>
      <c r="AF335" s="146"/>
      <c r="AG335" s="146"/>
      <c r="AH335" s="146"/>
      <c r="AI335" s="153"/>
      <c r="AL335" s="56"/>
      <c r="AR335" s="56"/>
      <c r="DY335" s="43"/>
      <c r="DZ335" s="16"/>
      <c r="EA335" s="25"/>
      <c r="EB335" s="25"/>
      <c r="EC335" s="21"/>
      <c r="ED335" s="21"/>
      <c r="EE335" s="21"/>
      <c r="EF335" s="21"/>
      <c r="EG335" s="21"/>
      <c r="EH335" s="20"/>
      <c r="EI335" s="11"/>
      <c r="EJ335" s="20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20"/>
      <c r="EW335" s="20"/>
      <c r="EX335" s="20"/>
      <c r="EY335" s="20"/>
      <c r="EZ335" s="20"/>
      <c r="FA335" s="20"/>
      <c r="FB335" s="20"/>
      <c r="FC335" s="20"/>
      <c r="FD335" s="20"/>
      <c r="FE335" s="20"/>
      <c r="FF335" s="20"/>
      <c r="FG335" s="20"/>
      <c r="FH335" s="20"/>
      <c r="FI335" s="20"/>
      <c r="FJ335" s="20"/>
      <c r="FK335" s="20"/>
      <c r="FL335" s="20"/>
      <c r="FM335" s="20"/>
      <c r="FN335" s="20"/>
      <c r="FO335" s="20"/>
      <c r="FP335" s="20"/>
      <c r="FQ335" s="20"/>
      <c r="FR335" s="20"/>
      <c r="FS335" s="20"/>
      <c r="FT335" s="20"/>
      <c r="FU335" s="20"/>
      <c r="FV335" s="20"/>
      <c r="FW335" s="20"/>
      <c r="FX335" s="20"/>
    </row>
    <row r="336" spans="1:180" s="13" customFormat="1" ht="15.6" x14ac:dyDescent="0.25">
      <c r="A336" s="178"/>
      <c r="B336" s="180"/>
      <c r="C336" s="118">
        <v>34</v>
      </c>
      <c r="D336" s="118">
        <v>37</v>
      </c>
      <c r="E336" s="118">
        <v>51</v>
      </c>
      <c r="F336" s="118">
        <v>62</v>
      </c>
      <c r="G336" s="118">
        <v>70</v>
      </c>
      <c r="H336" s="118">
        <v>80</v>
      </c>
      <c r="I336" s="48"/>
      <c r="J336" s="118"/>
      <c r="K336" s="48"/>
      <c r="L336" s="186"/>
      <c r="M336" s="48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55"/>
      <c r="Y336" s="146"/>
      <c r="Z336" s="146"/>
      <c r="AA336" s="146"/>
      <c r="AB336" s="146"/>
      <c r="AC336" s="146"/>
      <c r="AD336" s="146"/>
      <c r="AE336" s="146"/>
      <c r="AF336" s="146"/>
      <c r="AG336" s="146"/>
      <c r="AH336" s="146"/>
      <c r="AI336" s="153"/>
      <c r="AL336" s="56"/>
      <c r="AR336" s="56"/>
      <c r="DY336" s="43"/>
      <c r="DZ336" s="16"/>
      <c r="EA336" s="25"/>
      <c r="EB336" s="25"/>
      <c r="EC336" s="21"/>
      <c r="ED336" s="21"/>
      <c r="EE336" s="21"/>
      <c r="EF336" s="21"/>
      <c r="EG336" s="21"/>
      <c r="EH336" s="20"/>
      <c r="EI336" s="11"/>
      <c r="EJ336" s="20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20"/>
      <c r="EW336" s="20"/>
      <c r="EX336" s="20"/>
      <c r="EY336" s="20"/>
      <c r="EZ336" s="20"/>
      <c r="FA336" s="20"/>
      <c r="FB336" s="20"/>
      <c r="FC336" s="20"/>
      <c r="FD336" s="20"/>
      <c r="FE336" s="20"/>
      <c r="FF336" s="20"/>
      <c r="FG336" s="20"/>
      <c r="FH336" s="20"/>
      <c r="FI336" s="20"/>
      <c r="FJ336" s="20"/>
      <c r="FK336" s="20"/>
      <c r="FL336" s="20"/>
      <c r="FM336" s="20"/>
      <c r="FN336" s="20"/>
      <c r="FO336" s="20"/>
      <c r="FP336" s="20"/>
      <c r="FQ336" s="20"/>
      <c r="FR336" s="20"/>
      <c r="FS336" s="20"/>
      <c r="FT336" s="20"/>
      <c r="FU336" s="20"/>
      <c r="FV336" s="20"/>
      <c r="FW336" s="20"/>
      <c r="FX336" s="20"/>
    </row>
    <row r="337" spans="1:180" s="13" customFormat="1" ht="13.2" x14ac:dyDescent="0.25">
      <c r="A337" s="179"/>
      <c r="B337" s="180"/>
      <c r="C337" s="10">
        <v>1</v>
      </c>
      <c r="D337" s="10">
        <v>1</v>
      </c>
      <c r="E337" s="10">
        <v>1</v>
      </c>
      <c r="F337" s="10">
        <v>1</v>
      </c>
      <c r="G337" s="10">
        <v>1</v>
      </c>
      <c r="H337" s="10">
        <v>1</v>
      </c>
      <c r="I337" s="48"/>
      <c r="J337" s="156"/>
      <c r="K337" s="48"/>
      <c r="L337" s="186"/>
      <c r="M337" s="48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55"/>
      <c r="Y337" s="146"/>
      <c r="Z337" s="146"/>
      <c r="AA337" s="146"/>
      <c r="AB337" s="146"/>
      <c r="AC337" s="146"/>
      <c r="AD337" s="146"/>
      <c r="AE337" s="146"/>
      <c r="AF337" s="146"/>
      <c r="AG337" s="146"/>
      <c r="AH337" s="146"/>
      <c r="AI337" s="153"/>
      <c r="AL337" s="56"/>
      <c r="AN337" s="44"/>
      <c r="AR337" s="56"/>
      <c r="AS337" s="44"/>
      <c r="AW337" s="56"/>
      <c r="AX337" s="94"/>
      <c r="AY337" s="56"/>
      <c r="AZ337" s="56"/>
      <c r="BA337" s="56"/>
      <c r="BB337" s="56"/>
      <c r="BC337" s="94"/>
      <c r="BG337" s="56"/>
      <c r="BH337" s="44"/>
      <c r="DY337" s="43"/>
      <c r="DZ337" s="16"/>
      <c r="EA337" s="25"/>
      <c r="EB337" s="25"/>
      <c r="EC337" s="21"/>
      <c r="ED337" s="21"/>
      <c r="EE337" s="21"/>
      <c r="EF337" s="21"/>
      <c r="EG337" s="21"/>
      <c r="EH337" s="20"/>
      <c r="EI337" s="5"/>
      <c r="EJ337" s="20"/>
      <c r="EK337" s="20"/>
      <c r="EL337" s="20"/>
      <c r="EM337" s="20"/>
      <c r="EN337" s="20"/>
      <c r="EO337" s="20"/>
      <c r="EP337" s="20"/>
      <c r="EQ337" s="20"/>
      <c r="ER337" s="5"/>
      <c r="ES337" s="5"/>
      <c r="ET337" s="5"/>
      <c r="EU337" s="11"/>
      <c r="EV337" s="20"/>
      <c r="EW337" s="20"/>
      <c r="EX337" s="20"/>
      <c r="EY337" s="20"/>
      <c r="EZ337" s="20"/>
      <c r="FA337" s="20"/>
      <c r="FB337" s="20"/>
      <c r="FC337" s="20"/>
      <c r="FD337" s="20"/>
      <c r="FE337" s="20"/>
      <c r="FF337" s="20"/>
      <c r="FG337" s="20"/>
      <c r="FH337" s="20"/>
      <c r="FI337" s="20"/>
      <c r="FJ337" s="20"/>
      <c r="FK337" s="20"/>
      <c r="FL337" s="20"/>
      <c r="FM337" s="20"/>
      <c r="FN337" s="20"/>
      <c r="FO337" s="20"/>
      <c r="FP337" s="20"/>
      <c r="FQ337" s="20"/>
      <c r="FR337" s="20"/>
      <c r="FS337" s="20"/>
      <c r="FT337" s="20"/>
      <c r="FU337" s="20"/>
      <c r="FV337" s="20"/>
      <c r="FW337" s="20"/>
      <c r="FX337" s="20"/>
    </row>
    <row r="338" spans="1:180" s="13" customFormat="1" ht="13.2" customHeight="1" x14ac:dyDescent="0.25">
      <c r="A338" s="177">
        <v>4</v>
      </c>
      <c r="B338" s="180">
        <v>110</v>
      </c>
      <c r="C338" s="14">
        <f>A338-A347</f>
        <v>3</v>
      </c>
      <c r="D338" s="14">
        <v>0</v>
      </c>
      <c r="E338" s="14">
        <v>0</v>
      </c>
      <c r="F338" s="14">
        <f>A338-A341</f>
        <v>1</v>
      </c>
      <c r="G338" s="14">
        <v>0</v>
      </c>
      <c r="H338" s="14">
        <v>0</v>
      </c>
      <c r="I338" s="48"/>
      <c r="J338" s="156"/>
      <c r="K338" s="48"/>
      <c r="L338" s="186">
        <v>45896</v>
      </c>
      <c r="M338" s="48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55"/>
      <c r="Y338" s="146"/>
      <c r="Z338" s="146"/>
      <c r="AA338" s="146"/>
      <c r="AB338" s="146"/>
      <c r="AC338" s="146"/>
      <c r="AD338" s="146"/>
      <c r="AE338" s="146"/>
      <c r="AF338" s="146"/>
      <c r="AG338" s="146"/>
      <c r="AH338" s="146"/>
      <c r="AI338" s="153"/>
      <c r="AL338" s="56"/>
      <c r="AN338" s="44"/>
      <c r="AR338" s="56"/>
      <c r="AS338" s="44"/>
      <c r="AW338" s="56"/>
      <c r="AX338" s="94"/>
      <c r="AY338" s="56"/>
      <c r="AZ338" s="56"/>
      <c r="BA338" s="56"/>
      <c r="BB338" s="56"/>
      <c r="BC338" s="94"/>
      <c r="BG338" s="56"/>
      <c r="BH338" s="44"/>
      <c r="DY338" s="43"/>
      <c r="DZ338" s="16"/>
      <c r="EA338" s="25"/>
      <c r="EB338" s="25"/>
      <c r="EC338" s="21"/>
      <c r="ED338" s="21"/>
      <c r="EE338" s="21"/>
      <c r="EF338" s="21"/>
      <c r="EG338" s="21"/>
      <c r="EH338" s="20"/>
      <c r="EI338" s="161"/>
      <c r="EJ338" s="20"/>
      <c r="EK338" s="22"/>
      <c r="EL338" s="22"/>
      <c r="EM338" s="22"/>
      <c r="EN338" s="22"/>
      <c r="EO338" s="22"/>
      <c r="EP338" s="22"/>
      <c r="EQ338" s="22"/>
      <c r="ER338" s="22"/>
      <c r="ES338" s="22"/>
      <c r="ET338" s="22"/>
      <c r="EU338" s="20"/>
      <c r="EV338" s="20"/>
      <c r="EW338" s="20"/>
      <c r="EX338" s="20"/>
      <c r="EY338" s="20"/>
      <c r="EZ338" s="20"/>
      <c r="FA338" s="20"/>
      <c r="FB338" s="20"/>
      <c r="FC338" s="20"/>
      <c r="FD338" s="20"/>
      <c r="FE338" s="20"/>
      <c r="FF338" s="20"/>
      <c r="FG338" s="20"/>
      <c r="FH338" s="20"/>
      <c r="FI338" s="20"/>
      <c r="FJ338" s="20"/>
      <c r="FK338" s="20"/>
      <c r="FL338" s="20"/>
      <c r="FM338" s="20"/>
      <c r="FN338" s="20"/>
      <c r="FO338" s="20"/>
      <c r="FP338" s="20"/>
      <c r="FQ338" s="20"/>
      <c r="FR338" s="20"/>
      <c r="FS338" s="20"/>
      <c r="FT338" s="20"/>
      <c r="FU338" s="20"/>
      <c r="FV338" s="20"/>
      <c r="FW338" s="20"/>
      <c r="FX338" s="20"/>
    </row>
    <row r="339" spans="1:180" s="13" customFormat="1" ht="15.6" x14ac:dyDescent="0.25">
      <c r="A339" s="178"/>
      <c r="B339" s="180"/>
      <c r="C339" s="118">
        <v>5</v>
      </c>
      <c r="D339" s="118">
        <v>6</v>
      </c>
      <c r="E339" s="118">
        <v>7</v>
      </c>
      <c r="F339" s="118">
        <v>44</v>
      </c>
      <c r="G339" s="118">
        <v>72</v>
      </c>
      <c r="H339" s="118">
        <v>79</v>
      </c>
      <c r="I339" s="48"/>
      <c r="J339" s="118"/>
      <c r="K339" s="48"/>
      <c r="L339" s="186"/>
      <c r="M339" s="48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55"/>
      <c r="Y339" s="146"/>
      <c r="Z339" s="146"/>
      <c r="AA339" s="146"/>
      <c r="AB339" s="146"/>
      <c r="AC339" s="146"/>
      <c r="AD339" s="146"/>
      <c r="AE339" s="146"/>
      <c r="AF339" s="146"/>
      <c r="AG339" s="146"/>
      <c r="AH339" s="146"/>
      <c r="AI339" s="153"/>
      <c r="AL339" s="56"/>
      <c r="AN339" s="44"/>
      <c r="AR339" s="56"/>
      <c r="AS339" s="44"/>
      <c r="AW339" s="56"/>
      <c r="AX339" s="94"/>
      <c r="AY339" s="56"/>
      <c r="AZ339" s="56"/>
      <c r="BA339" s="56"/>
      <c r="BB339" s="56"/>
      <c r="BC339" s="94"/>
      <c r="BG339" s="56"/>
      <c r="BH339" s="44"/>
      <c r="DY339" s="43"/>
      <c r="DZ339" s="16"/>
      <c r="EA339" s="25"/>
      <c r="EB339" s="25"/>
      <c r="EC339" s="21"/>
      <c r="ED339" s="21"/>
      <c r="EE339" s="21"/>
      <c r="EF339" s="21"/>
      <c r="EG339" s="21"/>
      <c r="EH339" s="20"/>
      <c r="EI339" s="11"/>
      <c r="EJ339" s="20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20"/>
      <c r="EV339" s="20"/>
      <c r="EW339" s="20"/>
      <c r="EX339" s="20"/>
      <c r="EY339" s="20"/>
      <c r="EZ339" s="20"/>
      <c r="FA339" s="20"/>
      <c r="FB339" s="20"/>
      <c r="FC339" s="20"/>
      <c r="FD339" s="20"/>
      <c r="FE339" s="20"/>
      <c r="FF339" s="20"/>
      <c r="FG339" s="20"/>
      <c r="FH339" s="20"/>
      <c r="FI339" s="20"/>
      <c r="FJ339" s="20"/>
      <c r="FK339" s="20"/>
      <c r="FL339" s="20"/>
      <c r="FM339" s="20"/>
      <c r="FN339" s="20"/>
      <c r="FO339" s="20"/>
      <c r="FP339" s="20"/>
      <c r="FQ339" s="20"/>
      <c r="FR339" s="20"/>
      <c r="FS339" s="20"/>
      <c r="FT339" s="20"/>
      <c r="FU339" s="20"/>
      <c r="FV339" s="20"/>
      <c r="FW339" s="20"/>
      <c r="FX339" s="20"/>
    </row>
    <row r="340" spans="1:180" s="13" customFormat="1" ht="13.2" x14ac:dyDescent="0.25">
      <c r="A340" s="179"/>
      <c r="B340" s="180"/>
      <c r="C340" s="10">
        <f>C349+1</f>
        <v>2</v>
      </c>
      <c r="D340" s="10">
        <v>1</v>
      </c>
      <c r="E340" s="10">
        <v>1</v>
      </c>
      <c r="F340" s="10">
        <f>E343+1</f>
        <v>2</v>
      </c>
      <c r="G340" s="10">
        <v>1</v>
      </c>
      <c r="H340" s="10">
        <v>1</v>
      </c>
      <c r="I340" s="48"/>
      <c r="J340" s="156"/>
      <c r="K340" s="48"/>
      <c r="L340" s="186"/>
      <c r="M340" s="48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55"/>
      <c r="Y340" s="146"/>
      <c r="Z340" s="146"/>
      <c r="AA340" s="146"/>
      <c r="AB340" s="146"/>
      <c r="AC340" s="146"/>
      <c r="AD340" s="146"/>
      <c r="AE340" s="146"/>
      <c r="AF340" s="146"/>
      <c r="AG340" s="146"/>
      <c r="AH340" s="146"/>
      <c r="AI340" s="153"/>
      <c r="AL340" s="56"/>
      <c r="AN340" s="44"/>
      <c r="AR340" s="56"/>
      <c r="AS340" s="44"/>
      <c r="AW340" s="56"/>
      <c r="AX340" s="94"/>
      <c r="AY340" s="56"/>
      <c r="AZ340" s="56"/>
      <c r="BA340" s="56"/>
      <c r="BB340" s="56"/>
      <c r="BC340" s="94"/>
      <c r="BG340" s="56"/>
      <c r="BH340" s="44"/>
      <c r="DY340" s="43"/>
      <c r="DZ340" s="16"/>
      <c r="EA340" s="25"/>
      <c r="EB340" s="25"/>
      <c r="EC340" s="21"/>
      <c r="ED340" s="21"/>
      <c r="EE340" s="21"/>
      <c r="EF340" s="21"/>
      <c r="EG340" s="21"/>
      <c r="EH340" s="20"/>
      <c r="EI340" s="11"/>
      <c r="EJ340" s="20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20"/>
      <c r="EV340" s="161"/>
      <c r="EW340" s="161"/>
      <c r="EX340" s="161"/>
      <c r="EY340" s="161"/>
      <c r="EZ340" s="161"/>
      <c r="FA340" s="161"/>
      <c r="FB340" s="161"/>
      <c r="FC340" s="161"/>
      <c r="FD340" s="161"/>
      <c r="FE340" s="20"/>
      <c r="FF340" s="20"/>
      <c r="FG340" s="20"/>
      <c r="FH340" s="20"/>
      <c r="FI340" s="20"/>
      <c r="FJ340" s="20"/>
      <c r="FK340" s="20"/>
      <c r="FL340" s="20"/>
      <c r="FM340" s="20"/>
      <c r="FN340" s="20"/>
      <c r="FO340" s="20"/>
      <c r="FP340" s="20"/>
      <c r="FQ340" s="20"/>
      <c r="FR340" s="20"/>
      <c r="FS340" s="20"/>
      <c r="FT340" s="20"/>
      <c r="FU340" s="20"/>
      <c r="FV340" s="20"/>
      <c r="FW340" s="20"/>
      <c r="FX340" s="20"/>
    </row>
    <row r="341" spans="1:180" s="13" customFormat="1" ht="13.2" customHeight="1" x14ac:dyDescent="0.25">
      <c r="A341" s="177">
        <v>3</v>
      </c>
      <c r="B341" s="180">
        <v>111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48"/>
      <c r="J341" s="156"/>
      <c r="K341" s="48"/>
      <c r="L341" s="186">
        <v>45894</v>
      </c>
      <c r="M341" s="48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55"/>
      <c r="Y341" s="146"/>
      <c r="Z341" s="146"/>
      <c r="AA341" s="146"/>
      <c r="AB341" s="146"/>
      <c r="AC341" s="146"/>
      <c r="AD341" s="146"/>
      <c r="AE341" s="146"/>
      <c r="AF341" s="146"/>
      <c r="AG341" s="146"/>
      <c r="AH341" s="146"/>
      <c r="AI341" s="153"/>
      <c r="AL341" s="56"/>
      <c r="AN341" s="44"/>
      <c r="AR341" s="56"/>
      <c r="AS341" s="44"/>
      <c r="AW341" s="56"/>
      <c r="AX341" s="94"/>
      <c r="AY341" s="56"/>
      <c r="AZ341" s="56"/>
      <c r="BA341" s="56"/>
      <c r="BB341" s="56"/>
      <c r="BC341" s="94"/>
      <c r="BG341" s="56"/>
      <c r="BH341" s="44"/>
      <c r="DY341" s="43"/>
      <c r="DZ341" s="16"/>
      <c r="EA341" s="25"/>
      <c r="EB341" s="25"/>
      <c r="EC341" s="21"/>
      <c r="ED341" s="21"/>
      <c r="EE341" s="21"/>
      <c r="EF341" s="21"/>
      <c r="EG341" s="21"/>
      <c r="EH341" s="20"/>
      <c r="EI341" s="11"/>
      <c r="EJ341" s="20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20"/>
      <c r="EV341" s="11"/>
      <c r="EW341" s="11"/>
      <c r="EX341" s="11"/>
      <c r="EY341" s="11"/>
      <c r="EZ341" s="11"/>
      <c r="FA341" s="11"/>
      <c r="FB341" s="11"/>
      <c r="FC341" s="11"/>
      <c r="FD341" s="11"/>
      <c r="FE341" s="20"/>
      <c r="FF341" s="20"/>
      <c r="FG341" s="20"/>
      <c r="FH341" s="20"/>
      <c r="FI341" s="20"/>
      <c r="FJ341" s="20"/>
      <c r="FK341" s="20"/>
      <c r="FL341" s="20"/>
      <c r="FM341" s="20"/>
      <c r="FN341" s="20"/>
      <c r="FO341" s="20"/>
      <c r="FP341" s="20"/>
      <c r="FQ341" s="20"/>
      <c r="FR341" s="20"/>
      <c r="FS341" s="20"/>
      <c r="FT341" s="20"/>
      <c r="FU341" s="20"/>
      <c r="FV341" s="20"/>
      <c r="FW341" s="20"/>
      <c r="FX341" s="20"/>
    </row>
    <row r="342" spans="1:180" s="13" customFormat="1" ht="15.6" x14ac:dyDescent="0.25">
      <c r="A342" s="178"/>
      <c r="B342" s="180"/>
      <c r="C342" s="124">
        <v>2</v>
      </c>
      <c r="D342" s="120">
        <v>40</v>
      </c>
      <c r="E342" s="120">
        <v>44</v>
      </c>
      <c r="F342" s="120">
        <v>50</v>
      </c>
      <c r="G342" s="120">
        <v>56</v>
      </c>
      <c r="H342" s="120">
        <v>77</v>
      </c>
      <c r="I342" s="48"/>
      <c r="J342" s="120"/>
      <c r="K342" s="48"/>
      <c r="L342" s="186"/>
      <c r="M342" s="48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55"/>
      <c r="Y342" s="146"/>
      <c r="Z342" s="146"/>
      <c r="AA342" s="146"/>
      <c r="AB342" s="146"/>
      <c r="AC342" s="146"/>
      <c r="AD342" s="146"/>
      <c r="AE342" s="146"/>
      <c r="AF342" s="146"/>
      <c r="AG342" s="146"/>
      <c r="AH342" s="146"/>
      <c r="AI342" s="153"/>
      <c r="AL342" s="56"/>
      <c r="AN342" s="44"/>
      <c r="AR342" s="56"/>
      <c r="AS342" s="44"/>
      <c r="AW342" s="56"/>
      <c r="AX342" s="94"/>
      <c r="AY342" s="56"/>
      <c r="AZ342" s="56"/>
      <c r="BA342" s="56"/>
      <c r="BB342" s="56"/>
      <c r="BC342" s="94"/>
      <c r="BG342" s="56"/>
      <c r="BH342" s="44"/>
      <c r="DY342" s="43"/>
      <c r="DZ342" s="16"/>
      <c r="EA342" s="25"/>
      <c r="EB342" s="25"/>
      <c r="EC342" s="21"/>
      <c r="ED342" s="21"/>
      <c r="EE342" s="21"/>
      <c r="EF342" s="21"/>
      <c r="EG342" s="21"/>
      <c r="EH342" s="20"/>
      <c r="EI342" s="11"/>
      <c r="EJ342" s="20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20"/>
      <c r="EV342" s="11"/>
      <c r="EW342" s="11"/>
      <c r="EX342" s="11"/>
      <c r="EY342" s="11"/>
      <c r="EZ342" s="11"/>
      <c r="FA342" s="11"/>
      <c r="FB342" s="11"/>
      <c r="FC342" s="11"/>
      <c r="FD342" s="11"/>
      <c r="FE342" s="20"/>
      <c r="FF342" s="20"/>
      <c r="FG342" s="20"/>
      <c r="FH342" s="20"/>
      <c r="FI342" s="20"/>
      <c r="FJ342" s="20"/>
      <c r="FK342" s="20"/>
      <c r="FL342" s="20"/>
      <c r="FM342" s="20"/>
      <c r="FN342" s="20"/>
      <c r="FO342" s="20"/>
      <c r="FP342" s="20"/>
      <c r="FQ342" s="20"/>
      <c r="FR342" s="20"/>
      <c r="FS342" s="20"/>
      <c r="FT342" s="20"/>
      <c r="FU342" s="20"/>
      <c r="FV342" s="20"/>
      <c r="FW342" s="20"/>
      <c r="FX342" s="20"/>
    </row>
    <row r="343" spans="1:180" s="13" customFormat="1" ht="13.2" x14ac:dyDescent="0.25">
      <c r="A343" s="179"/>
      <c r="B343" s="180"/>
      <c r="C343" s="10">
        <v>1</v>
      </c>
      <c r="D343" s="10">
        <v>1</v>
      </c>
      <c r="E343" s="10">
        <v>1</v>
      </c>
      <c r="F343" s="10">
        <v>1</v>
      </c>
      <c r="G343" s="10">
        <v>1</v>
      </c>
      <c r="H343" s="10">
        <v>1</v>
      </c>
      <c r="I343" s="48"/>
      <c r="J343" s="156"/>
      <c r="K343" s="48"/>
      <c r="L343" s="186"/>
      <c r="M343" s="48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55"/>
      <c r="Y343" s="146"/>
      <c r="Z343" s="146"/>
      <c r="AA343" s="146"/>
      <c r="AB343" s="146"/>
      <c r="AC343" s="146"/>
      <c r="AD343" s="146"/>
      <c r="AE343" s="146"/>
      <c r="AF343" s="146"/>
      <c r="AG343" s="146"/>
      <c r="AH343" s="146"/>
      <c r="AI343" s="153"/>
      <c r="AL343" s="56"/>
      <c r="AN343" s="44"/>
      <c r="AR343" s="56"/>
      <c r="AS343" s="44"/>
      <c r="AW343" s="56"/>
      <c r="AX343" s="94"/>
      <c r="AY343" s="56"/>
      <c r="AZ343" s="56"/>
      <c r="BA343" s="56"/>
      <c r="BB343" s="56"/>
      <c r="BC343" s="94"/>
      <c r="BG343" s="56"/>
      <c r="BH343" s="44"/>
      <c r="DY343" s="43"/>
      <c r="DZ343" s="16"/>
      <c r="EA343" s="25"/>
      <c r="EB343" s="25"/>
      <c r="EC343" s="21"/>
      <c r="ED343" s="21"/>
      <c r="EE343" s="21"/>
      <c r="EF343" s="21"/>
      <c r="EG343" s="21"/>
      <c r="EH343" s="20"/>
      <c r="EI343" s="11"/>
      <c r="EJ343" s="20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20"/>
      <c r="EV343" s="11"/>
      <c r="EW343" s="11"/>
      <c r="EX343" s="11"/>
      <c r="EY343" s="11"/>
      <c r="EZ343" s="11"/>
      <c r="FA343" s="11"/>
      <c r="FB343" s="11"/>
      <c r="FC343" s="11"/>
      <c r="FD343" s="11"/>
      <c r="FE343" s="20"/>
      <c r="FF343" s="20"/>
      <c r="FG343" s="20"/>
      <c r="FH343" s="20"/>
      <c r="FI343" s="20"/>
      <c r="FJ343" s="20"/>
      <c r="FK343" s="20"/>
      <c r="FL343" s="20"/>
      <c r="FM343" s="20"/>
      <c r="FN343" s="20"/>
      <c r="FO343" s="20"/>
      <c r="FP343" s="20"/>
      <c r="FQ343" s="20"/>
      <c r="FR343" s="20"/>
      <c r="FS343" s="20"/>
      <c r="FT343" s="20"/>
      <c r="FU343" s="20"/>
      <c r="FV343" s="20"/>
      <c r="FW343" s="20"/>
      <c r="FX343" s="20"/>
    </row>
    <row r="344" spans="1:180" s="13" customFormat="1" ht="13.2" customHeight="1" x14ac:dyDescent="0.25">
      <c r="A344" s="177">
        <v>2</v>
      </c>
      <c r="B344" s="180">
        <v>112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48"/>
      <c r="J344" s="156"/>
      <c r="K344" s="48"/>
      <c r="L344" s="186">
        <v>45892</v>
      </c>
      <c r="M344" s="48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55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53"/>
      <c r="AL344" s="56"/>
      <c r="AN344" s="44"/>
      <c r="AR344" s="56"/>
      <c r="AS344" s="44"/>
      <c r="AW344" s="56"/>
      <c r="AX344" s="94"/>
      <c r="AY344" s="56"/>
      <c r="AZ344" s="56"/>
      <c r="BA344" s="56"/>
      <c r="BB344" s="56"/>
      <c r="BC344" s="94"/>
      <c r="BG344" s="56"/>
      <c r="BH344" s="44"/>
      <c r="DY344" s="43"/>
      <c r="DZ344" s="16"/>
      <c r="EA344" s="25"/>
      <c r="EB344" s="25"/>
      <c r="EC344" s="21"/>
      <c r="ED344" s="21"/>
      <c r="EE344" s="21"/>
      <c r="EF344" s="21"/>
      <c r="EG344" s="21"/>
      <c r="EH344" s="20"/>
      <c r="EI344" s="11"/>
      <c r="EJ344" s="20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20"/>
      <c r="EV344" s="11"/>
      <c r="EW344" s="11"/>
      <c r="EX344" s="11"/>
      <c r="EY344" s="11"/>
      <c r="EZ344" s="11"/>
      <c r="FA344" s="11"/>
      <c r="FB344" s="11"/>
      <c r="FC344" s="11"/>
      <c r="FD344" s="11"/>
      <c r="FE344" s="20"/>
      <c r="FF344" s="20"/>
      <c r="FG344" s="20"/>
      <c r="FH344" s="20"/>
      <c r="FI344" s="20"/>
      <c r="FJ344" s="20"/>
      <c r="FK344" s="20"/>
      <c r="FL344" s="20"/>
      <c r="FM344" s="20"/>
      <c r="FN344" s="20"/>
      <c r="FO344" s="20"/>
      <c r="FP344" s="20"/>
      <c r="FQ344" s="20"/>
      <c r="FR344" s="20"/>
      <c r="FS344" s="20"/>
      <c r="FT344" s="20"/>
      <c r="FU344" s="20"/>
      <c r="FV344" s="20"/>
      <c r="FW344" s="20"/>
      <c r="FX344" s="20"/>
    </row>
    <row r="345" spans="1:180" s="13" customFormat="1" ht="15.6" x14ac:dyDescent="0.25">
      <c r="A345" s="178"/>
      <c r="B345" s="180"/>
      <c r="C345" s="118">
        <v>4</v>
      </c>
      <c r="D345" s="118">
        <v>10</v>
      </c>
      <c r="E345" s="118">
        <v>36</v>
      </c>
      <c r="F345" s="118">
        <v>45</v>
      </c>
      <c r="G345" s="118">
        <v>65</v>
      </c>
      <c r="H345" s="118">
        <v>83</v>
      </c>
      <c r="I345" s="48"/>
      <c r="J345" s="118"/>
      <c r="K345" s="48"/>
      <c r="L345" s="186"/>
      <c r="M345" s="48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55"/>
      <c r="Y345" s="146"/>
      <c r="Z345" s="146"/>
      <c r="AA345" s="146"/>
      <c r="AB345" s="146"/>
      <c r="AC345" s="146"/>
      <c r="AD345" s="146"/>
      <c r="AE345" s="146"/>
      <c r="AF345" s="146"/>
      <c r="AG345" s="146"/>
      <c r="AH345" s="146"/>
      <c r="AI345" s="153"/>
      <c r="AL345" s="56"/>
      <c r="AN345" s="44"/>
      <c r="AR345" s="56"/>
      <c r="AS345" s="44"/>
      <c r="AW345" s="56"/>
      <c r="AX345" s="94"/>
      <c r="AY345" s="56"/>
      <c r="AZ345" s="56"/>
      <c r="BA345" s="56"/>
      <c r="BB345" s="56"/>
      <c r="BC345" s="94"/>
      <c r="BG345" s="56"/>
      <c r="BH345" s="44"/>
      <c r="DY345" s="43"/>
      <c r="DZ345" s="16"/>
      <c r="EA345" s="25"/>
      <c r="EB345" s="25"/>
      <c r="EC345" s="21"/>
      <c r="ED345" s="21"/>
      <c r="EE345" s="21"/>
      <c r="EF345" s="21"/>
      <c r="EG345" s="21"/>
      <c r="EH345" s="20"/>
      <c r="EI345" s="11"/>
      <c r="EJ345" s="20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20"/>
      <c r="EV345" s="11"/>
      <c r="EW345" s="11"/>
      <c r="EX345" s="11"/>
      <c r="EY345" s="11"/>
      <c r="EZ345" s="11"/>
      <c r="FA345" s="11"/>
      <c r="FB345" s="11"/>
      <c r="FC345" s="11"/>
      <c r="FD345" s="11"/>
      <c r="FE345" s="20"/>
      <c r="FF345" s="20"/>
      <c r="FG345" s="20"/>
      <c r="FH345" s="20"/>
      <c r="FI345" s="20"/>
      <c r="FJ345" s="20"/>
      <c r="FK345" s="20"/>
      <c r="FL345" s="20"/>
      <c r="FM345" s="20"/>
      <c r="FN345" s="20"/>
      <c r="FO345" s="20"/>
      <c r="FP345" s="20"/>
      <c r="FQ345" s="20"/>
      <c r="FR345" s="20"/>
      <c r="FS345" s="20"/>
      <c r="FT345" s="20"/>
      <c r="FU345" s="20"/>
      <c r="FV345" s="20"/>
      <c r="FW345" s="20"/>
      <c r="FX345" s="20"/>
    </row>
    <row r="346" spans="1:180" s="13" customFormat="1" ht="13.2" x14ac:dyDescent="0.25">
      <c r="A346" s="179"/>
      <c r="B346" s="180"/>
      <c r="C346" s="10">
        <v>1</v>
      </c>
      <c r="D346" s="10">
        <v>1</v>
      </c>
      <c r="E346" s="10">
        <v>1</v>
      </c>
      <c r="F346" s="10">
        <v>1</v>
      </c>
      <c r="G346" s="10">
        <v>1</v>
      </c>
      <c r="H346" s="10">
        <v>1</v>
      </c>
      <c r="I346" s="48"/>
      <c r="J346" s="156"/>
      <c r="K346" s="48"/>
      <c r="L346" s="186"/>
      <c r="M346" s="48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55"/>
      <c r="Y346" s="146"/>
      <c r="Z346" s="146"/>
      <c r="AA346" s="146"/>
      <c r="AB346" s="146"/>
      <c r="AC346" s="146"/>
      <c r="AD346" s="146"/>
      <c r="AE346" s="146"/>
      <c r="AF346" s="146"/>
      <c r="AG346" s="146"/>
      <c r="AH346" s="146"/>
      <c r="AI346" s="153"/>
      <c r="AL346" s="56"/>
      <c r="AN346" s="44"/>
      <c r="AR346" s="56"/>
      <c r="AS346" s="44"/>
      <c r="AW346" s="56"/>
      <c r="AX346" s="94"/>
      <c r="AY346" s="56"/>
      <c r="AZ346" s="56"/>
      <c r="BA346" s="56"/>
      <c r="BB346" s="56"/>
      <c r="BC346" s="94"/>
      <c r="BG346" s="56"/>
      <c r="BH346" s="44"/>
      <c r="DY346" s="43"/>
      <c r="DZ346" s="16"/>
      <c r="EA346" s="25"/>
      <c r="EB346" s="25"/>
      <c r="EC346" s="21"/>
      <c r="ED346" s="21"/>
      <c r="EE346" s="21"/>
      <c r="EF346" s="21"/>
      <c r="EG346" s="21"/>
      <c r="EH346" s="20"/>
      <c r="EI346" s="11"/>
      <c r="EJ346" s="20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20"/>
      <c r="EV346" s="11"/>
      <c r="EW346" s="11"/>
      <c r="EX346" s="11"/>
      <c r="EY346" s="11"/>
      <c r="EZ346" s="11"/>
      <c r="FA346" s="11"/>
      <c r="FB346" s="11"/>
      <c r="FC346" s="11"/>
      <c r="FD346" s="11"/>
      <c r="FE346" s="20"/>
      <c r="FF346" s="20"/>
      <c r="FG346" s="20"/>
      <c r="FH346" s="20"/>
      <c r="FI346" s="20"/>
      <c r="FJ346" s="20"/>
      <c r="FK346" s="20"/>
      <c r="FL346" s="20"/>
      <c r="FM346" s="20"/>
      <c r="FN346" s="20"/>
      <c r="FO346" s="20"/>
      <c r="FP346" s="20"/>
      <c r="FQ346" s="20"/>
      <c r="FR346" s="20"/>
      <c r="FS346" s="20"/>
      <c r="FT346" s="20"/>
      <c r="FU346" s="20"/>
      <c r="FV346" s="20"/>
      <c r="FW346" s="20"/>
      <c r="FX346" s="20"/>
    </row>
    <row r="347" spans="1:180" s="13" customFormat="1" ht="13.2" customHeight="1" x14ac:dyDescent="0.25">
      <c r="A347" s="177">
        <v>1</v>
      </c>
      <c r="B347" s="180">
        <v>113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48"/>
      <c r="J347" s="156"/>
      <c r="K347" s="48"/>
      <c r="L347" s="186">
        <v>45889</v>
      </c>
      <c r="M347" s="48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55"/>
      <c r="Y347" s="146"/>
      <c r="Z347" s="146"/>
      <c r="AA347" s="146"/>
      <c r="AB347" s="146"/>
      <c r="AC347" s="146"/>
      <c r="AD347" s="146"/>
      <c r="AE347" s="146"/>
      <c r="AF347" s="146"/>
      <c r="AG347" s="146"/>
      <c r="AH347" s="146"/>
      <c r="AI347" s="153"/>
      <c r="AL347" s="56"/>
      <c r="AN347" s="44"/>
      <c r="AR347" s="56"/>
      <c r="AS347" s="44"/>
      <c r="AW347" s="56"/>
      <c r="AX347" s="94"/>
      <c r="AY347" s="56"/>
      <c r="AZ347" s="56"/>
      <c r="BA347" s="56"/>
      <c r="BB347" s="56"/>
      <c r="BC347" s="94"/>
      <c r="BG347" s="56"/>
      <c r="BH347" s="44"/>
      <c r="DY347" s="43"/>
      <c r="DZ347" s="16"/>
      <c r="EA347" s="25"/>
      <c r="EB347" s="25"/>
      <c r="EC347" s="21"/>
      <c r="ED347" s="21"/>
      <c r="EE347" s="21"/>
      <c r="EF347" s="21"/>
      <c r="EG347" s="21"/>
      <c r="EH347" s="20"/>
      <c r="EI347" s="11"/>
      <c r="EJ347" s="20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20"/>
      <c r="EV347" s="11"/>
      <c r="EW347" s="11"/>
      <c r="EX347" s="11"/>
      <c r="EY347" s="11"/>
      <c r="EZ347" s="11"/>
      <c r="FA347" s="11"/>
      <c r="FB347" s="11"/>
      <c r="FC347" s="11"/>
      <c r="FD347" s="11"/>
      <c r="FE347" s="20"/>
      <c r="FF347" s="20"/>
      <c r="FG347" s="20"/>
      <c r="FH347" s="20"/>
      <c r="FI347" s="20"/>
      <c r="FJ347" s="20"/>
      <c r="FK347" s="20"/>
      <c r="FL347" s="20"/>
      <c r="FM347" s="20"/>
      <c r="FN347" s="20"/>
      <c r="FO347" s="20"/>
      <c r="FP347" s="20"/>
      <c r="FQ347" s="20"/>
      <c r="FR347" s="20"/>
      <c r="FS347" s="20"/>
      <c r="FT347" s="20"/>
      <c r="FU347" s="20"/>
      <c r="FV347" s="20"/>
      <c r="FW347" s="20"/>
      <c r="FX347" s="20"/>
    </row>
    <row r="348" spans="1:180" s="13" customFormat="1" ht="15.6" x14ac:dyDescent="0.25">
      <c r="A348" s="178"/>
      <c r="B348" s="180"/>
      <c r="C348" s="118">
        <v>5</v>
      </c>
      <c r="D348" s="118">
        <v>23</v>
      </c>
      <c r="E348" s="118">
        <v>24</v>
      </c>
      <c r="F348" s="118">
        <v>29</v>
      </c>
      <c r="G348" s="118">
        <v>33</v>
      </c>
      <c r="H348" s="118">
        <v>53</v>
      </c>
      <c r="I348" s="48"/>
      <c r="J348" s="118"/>
      <c r="K348" s="48"/>
      <c r="L348" s="186"/>
      <c r="M348" s="48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55"/>
      <c r="Y348" s="146"/>
      <c r="Z348" s="146"/>
      <c r="AA348" s="146"/>
      <c r="AB348" s="146"/>
      <c r="AC348" s="146"/>
      <c r="AD348" s="146"/>
      <c r="AE348" s="146"/>
      <c r="AF348" s="146"/>
      <c r="AG348" s="146"/>
      <c r="AH348" s="146"/>
      <c r="AI348" s="153"/>
      <c r="AL348" s="56"/>
      <c r="AN348" s="44"/>
      <c r="AR348" s="56"/>
      <c r="AS348" s="44"/>
      <c r="AW348" s="56"/>
      <c r="AX348" s="94"/>
      <c r="AY348" s="56"/>
      <c r="AZ348" s="56"/>
      <c r="BA348" s="56"/>
      <c r="BB348" s="56"/>
      <c r="BC348" s="94"/>
      <c r="BG348" s="56"/>
      <c r="BH348" s="44"/>
      <c r="DY348" s="43"/>
      <c r="DZ348" s="16"/>
      <c r="EA348" s="25"/>
      <c r="EB348" s="25"/>
      <c r="EC348" s="21"/>
      <c r="ED348" s="21"/>
      <c r="EE348" s="21"/>
      <c r="EF348" s="21"/>
      <c r="EG348" s="21"/>
      <c r="EH348" s="20"/>
      <c r="EI348" s="20"/>
      <c r="EJ348" s="20"/>
      <c r="EK348" s="20"/>
      <c r="EL348" s="20"/>
      <c r="EM348" s="20"/>
      <c r="EN348" s="20"/>
      <c r="EO348" s="20"/>
      <c r="EP348" s="20"/>
      <c r="EQ348" s="20"/>
      <c r="ER348" s="20"/>
      <c r="ES348" s="20"/>
      <c r="ET348" s="20"/>
      <c r="EU348" s="20"/>
      <c r="EV348" s="11"/>
      <c r="EW348" s="11"/>
      <c r="EX348" s="11"/>
      <c r="EY348" s="11"/>
      <c r="EZ348" s="11"/>
      <c r="FA348" s="11"/>
      <c r="FB348" s="11"/>
      <c r="FC348" s="11"/>
      <c r="FD348" s="11"/>
      <c r="FE348" s="20"/>
      <c r="FF348" s="20"/>
      <c r="FG348" s="20"/>
      <c r="FH348" s="20"/>
      <c r="FI348" s="20"/>
      <c r="FJ348" s="20"/>
      <c r="FK348" s="20"/>
      <c r="FL348" s="20"/>
      <c r="FM348" s="20"/>
      <c r="FN348" s="20"/>
      <c r="FO348" s="20"/>
      <c r="FP348" s="20"/>
      <c r="FQ348" s="20"/>
      <c r="FR348" s="20"/>
      <c r="FS348" s="20"/>
      <c r="FT348" s="20"/>
      <c r="FU348" s="20"/>
      <c r="FV348" s="20"/>
      <c r="FW348" s="20"/>
      <c r="FX348" s="20"/>
    </row>
    <row r="349" spans="1:180" s="13" customFormat="1" ht="13.2" x14ac:dyDescent="0.25">
      <c r="A349" s="179"/>
      <c r="B349" s="180"/>
      <c r="C349" s="10">
        <v>1</v>
      </c>
      <c r="D349" s="10">
        <v>1</v>
      </c>
      <c r="E349" s="10">
        <v>1</v>
      </c>
      <c r="F349" s="10">
        <v>1</v>
      </c>
      <c r="G349" s="10">
        <v>1</v>
      </c>
      <c r="H349" s="10">
        <v>1</v>
      </c>
      <c r="I349" s="45"/>
      <c r="J349" s="156"/>
      <c r="K349" s="45"/>
      <c r="L349" s="186"/>
      <c r="M349" s="45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55"/>
      <c r="Y349" s="146"/>
      <c r="Z349" s="146"/>
      <c r="AA349" s="146"/>
      <c r="AB349" s="146"/>
      <c r="AC349" s="146"/>
      <c r="AD349" s="146"/>
      <c r="AE349" s="146"/>
      <c r="AF349" s="146"/>
      <c r="AG349" s="146"/>
      <c r="AH349" s="146"/>
      <c r="AI349" s="150"/>
      <c r="AL349" s="56"/>
      <c r="AN349" s="44"/>
      <c r="AR349" s="56"/>
      <c r="AS349" s="44"/>
      <c r="AW349" s="56"/>
      <c r="AX349" s="94"/>
      <c r="AY349" s="56"/>
      <c r="AZ349" s="56"/>
      <c r="BA349" s="56"/>
      <c r="BB349" s="56"/>
      <c r="BC349" s="94"/>
      <c r="BG349" s="56"/>
      <c r="BH349" s="44"/>
      <c r="DY349" s="43"/>
      <c r="DZ349" s="20"/>
      <c r="EA349" s="161"/>
      <c r="EB349" s="161"/>
      <c r="EC349" s="161"/>
      <c r="ED349" s="161"/>
      <c r="EE349" s="161"/>
      <c r="EF349" s="161"/>
      <c r="EG349" s="161"/>
      <c r="EH349" s="22"/>
      <c r="EI349" s="22"/>
      <c r="EJ349" s="23"/>
      <c r="EK349" s="22"/>
      <c r="EL349" s="22"/>
      <c r="EM349" s="22"/>
      <c r="EN349" s="22"/>
      <c r="EO349" s="22"/>
      <c r="EP349" s="22"/>
      <c r="EQ349" s="22"/>
      <c r="ER349" s="22"/>
      <c r="ES349" s="22"/>
      <c r="ET349" s="22"/>
      <c r="EU349" s="22"/>
      <c r="EV349" s="22"/>
      <c r="EW349" s="22"/>
      <c r="EX349" s="22"/>
      <c r="EY349" s="22"/>
      <c r="EZ349" s="22"/>
      <c r="FA349" s="22"/>
      <c r="FB349" s="22"/>
      <c r="FC349" s="22"/>
      <c r="FD349" s="22"/>
      <c r="FE349" s="22"/>
      <c r="FF349" s="22"/>
      <c r="FG349" s="22"/>
      <c r="FH349" s="22"/>
      <c r="FI349" s="22"/>
      <c r="FJ349" s="22"/>
      <c r="FK349" s="22"/>
      <c r="FL349" s="22"/>
      <c r="FM349" s="22"/>
      <c r="FN349" s="22"/>
      <c r="FO349" s="22"/>
      <c r="FP349" s="22"/>
      <c r="FQ349" s="22"/>
      <c r="FR349" s="22"/>
      <c r="FS349" s="22"/>
      <c r="FT349" s="22"/>
      <c r="FU349" s="22"/>
      <c r="FV349" s="22"/>
      <c r="FW349" s="22"/>
      <c r="FX349" s="22"/>
    </row>
    <row r="350" spans="1:180" s="13" customFormat="1" ht="13.2" x14ac:dyDescent="0.25">
      <c r="A350" s="7"/>
      <c r="B350" s="7"/>
      <c r="C350" s="21"/>
      <c r="D350" s="21"/>
      <c r="E350" s="21"/>
      <c r="F350" s="21"/>
      <c r="G350" s="21"/>
      <c r="H350" s="21"/>
      <c r="I350" s="45"/>
      <c r="J350" s="21"/>
      <c r="K350" s="45"/>
      <c r="L350" s="40"/>
      <c r="M350" s="45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55"/>
      <c r="Y350" s="146"/>
      <c r="Z350" s="146"/>
      <c r="AA350" s="146"/>
      <c r="AB350" s="146"/>
      <c r="AC350" s="146"/>
      <c r="AD350" s="146"/>
      <c r="AE350" s="146"/>
      <c r="AF350" s="146"/>
      <c r="AG350" s="146"/>
      <c r="AH350" s="146"/>
      <c r="AI350" s="150"/>
      <c r="AL350" s="56"/>
      <c r="AN350" s="44"/>
      <c r="AR350" s="56"/>
      <c r="AS350" s="44"/>
      <c r="AW350" s="56"/>
      <c r="AX350" s="94"/>
      <c r="AY350" s="56"/>
      <c r="AZ350" s="56"/>
      <c r="BA350" s="56"/>
      <c r="BB350" s="56"/>
      <c r="BC350" s="94"/>
      <c r="BG350" s="56"/>
      <c r="BH350" s="44"/>
      <c r="DY350" s="43"/>
      <c r="DZ350" s="20"/>
      <c r="EA350" s="81"/>
      <c r="EB350" s="81"/>
      <c r="EC350" s="81"/>
      <c r="ED350" s="81"/>
      <c r="EE350" s="81"/>
      <c r="EF350" s="81"/>
      <c r="EG350" s="81"/>
      <c r="EH350" s="11"/>
      <c r="EI350" s="11"/>
      <c r="EJ350" s="23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</row>
    <row r="351" spans="1:180" s="13" customFormat="1" ht="13.2" x14ac:dyDescent="0.25">
      <c r="A351" s="7"/>
      <c r="B351" s="7"/>
      <c r="C351" s="9">
        <v>24</v>
      </c>
      <c r="D351" s="9">
        <v>37</v>
      </c>
      <c r="E351" s="9">
        <v>45</v>
      </c>
      <c r="F351" s="9">
        <v>55</v>
      </c>
      <c r="G351" s="9">
        <v>60</v>
      </c>
      <c r="H351" s="9">
        <v>62</v>
      </c>
      <c r="I351" s="45"/>
      <c r="J351" s="9">
        <v>62</v>
      </c>
      <c r="K351" s="45"/>
      <c r="L351" s="39">
        <v>45887</v>
      </c>
      <c r="M351" s="45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55"/>
      <c r="Y351" s="146"/>
      <c r="Z351" s="146"/>
      <c r="AA351" s="146"/>
      <c r="AB351" s="146"/>
      <c r="AC351" s="146"/>
      <c r="AD351" s="146"/>
      <c r="AE351" s="146"/>
      <c r="AF351" s="146"/>
      <c r="AG351" s="146"/>
      <c r="AH351" s="146"/>
      <c r="AI351" s="150"/>
      <c r="AL351" s="56"/>
      <c r="AN351" s="44"/>
      <c r="AR351" s="56"/>
      <c r="AS351" s="44"/>
      <c r="AW351" s="56"/>
      <c r="AX351" s="94"/>
      <c r="AY351" s="56"/>
      <c r="AZ351" s="56"/>
      <c r="BA351" s="56"/>
      <c r="BB351" s="56"/>
      <c r="BC351" s="94"/>
      <c r="BG351" s="56"/>
      <c r="BH351" s="44"/>
      <c r="DY351" s="43"/>
      <c r="DZ351" s="20"/>
      <c r="EA351" s="81"/>
      <c r="EB351" s="81"/>
      <c r="EC351" s="81"/>
      <c r="ED351" s="81"/>
      <c r="EE351" s="81"/>
      <c r="EF351" s="81"/>
      <c r="EG351" s="81"/>
      <c r="EH351" s="11"/>
      <c r="EI351" s="11"/>
      <c r="EJ351" s="23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</row>
    <row r="352" spans="1:180" s="13" customFormat="1" ht="13.2" x14ac:dyDescent="0.25">
      <c r="A352" s="7"/>
      <c r="B352" s="7"/>
      <c r="C352" s="9">
        <v>20</v>
      </c>
      <c r="D352" s="9">
        <v>45</v>
      </c>
      <c r="E352" s="9">
        <v>46</v>
      </c>
      <c r="F352" s="9">
        <v>50</v>
      </c>
      <c r="G352" s="9">
        <v>62</v>
      </c>
      <c r="H352" s="9">
        <v>80</v>
      </c>
      <c r="I352" s="45"/>
      <c r="J352" s="9">
        <v>80</v>
      </c>
      <c r="K352" s="45"/>
      <c r="L352" s="39">
        <v>45885</v>
      </c>
      <c r="M352" s="45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55"/>
      <c r="Y352" s="146"/>
      <c r="Z352" s="146"/>
      <c r="AA352" s="146"/>
      <c r="AB352" s="146"/>
      <c r="AC352" s="146"/>
      <c r="AD352" s="146"/>
      <c r="AE352" s="146"/>
      <c r="AF352" s="146"/>
      <c r="AG352" s="146"/>
      <c r="AH352" s="146"/>
      <c r="AI352" s="150"/>
      <c r="AL352" s="56"/>
      <c r="AN352" s="44"/>
      <c r="AR352" s="56"/>
      <c r="AS352" s="44"/>
      <c r="AW352" s="56"/>
      <c r="AX352" s="94"/>
      <c r="AY352" s="56"/>
      <c r="AZ352" s="56"/>
      <c r="BA352" s="56"/>
      <c r="BB352" s="56"/>
      <c r="BC352" s="94"/>
      <c r="BG352" s="56"/>
      <c r="BH352" s="44"/>
      <c r="DY352" s="43"/>
      <c r="DZ352" s="20"/>
      <c r="EA352" s="81"/>
      <c r="EB352" s="81"/>
      <c r="EC352" s="81"/>
      <c r="ED352" s="81"/>
      <c r="EE352" s="81"/>
      <c r="EF352" s="81"/>
      <c r="EG352" s="81"/>
      <c r="EH352" s="11"/>
      <c r="EI352" s="11"/>
      <c r="EJ352" s="23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</row>
    <row r="353" spans="1:180" s="13" customFormat="1" ht="13.2" x14ac:dyDescent="0.25">
      <c r="A353" s="7"/>
      <c r="B353" s="7"/>
      <c r="C353" s="9">
        <v>4</v>
      </c>
      <c r="D353" s="9">
        <v>6</v>
      </c>
      <c r="E353" s="9">
        <v>12</v>
      </c>
      <c r="F353" s="9">
        <v>30</v>
      </c>
      <c r="G353" s="9">
        <v>67</v>
      </c>
      <c r="H353" s="9">
        <v>70</v>
      </c>
      <c r="I353" s="45"/>
      <c r="J353" s="9">
        <v>70</v>
      </c>
      <c r="K353" s="45"/>
      <c r="L353" s="39">
        <v>45882</v>
      </c>
      <c r="M353" s="45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55"/>
      <c r="Y353" s="146"/>
      <c r="Z353" s="146"/>
      <c r="AA353" s="146"/>
      <c r="AB353" s="146"/>
      <c r="AC353" s="146"/>
      <c r="AD353" s="146"/>
      <c r="AE353" s="146"/>
      <c r="AF353" s="146"/>
      <c r="AG353" s="146"/>
      <c r="AH353" s="146"/>
      <c r="AI353" s="150"/>
      <c r="AL353" s="56"/>
      <c r="AN353" s="44"/>
      <c r="AR353" s="56"/>
      <c r="AS353" s="44"/>
      <c r="AW353" s="56"/>
      <c r="AX353" s="94"/>
      <c r="AY353" s="56"/>
      <c r="AZ353" s="56"/>
      <c r="BA353" s="56"/>
      <c r="BB353" s="56"/>
      <c r="BC353" s="94"/>
      <c r="BG353" s="56"/>
      <c r="BH353" s="44"/>
      <c r="DY353" s="43"/>
      <c r="DZ353" s="20"/>
      <c r="EA353" s="81"/>
      <c r="EB353" s="81"/>
      <c r="EC353" s="81"/>
      <c r="ED353" s="81"/>
      <c r="EE353" s="81"/>
      <c r="EF353" s="81"/>
      <c r="EG353" s="81"/>
      <c r="EH353" s="11"/>
      <c r="EI353" s="11"/>
      <c r="EJ353" s="23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</row>
    <row r="354" spans="1:180" s="13" customFormat="1" ht="13.2" x14ac:dyDescent="0.25">
      <c r="A354" s="7"/>
      <c r="B354" s="7"/>
      <c r="C354" s="9">
        <v>19</v>
      </c>
      <c r="D354" s="9">
        <v>31</v>
      </c>
      <c r="E354" s="9">
        <v>41</v>
      </c>
      <c r="F354" s="9">
        <v>52</v>
      </c>
      <c r="G354" s="9">
        <v>70</v>
      </c>
      <c r="H354" s="9">
        <v>71</v>
      </c>
      <c r="I354" s="45"/>
      <c r="J354" s="9">
        <v>71</v>
      </c>
      <c r="K354" s="45"/>
      <c r="L354" s="39">
        <v>45880</v>
      </c>
      <c r="M354" s="45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55"/>
      <c r="Y354" s="146"/>
      <c r="Z354" s="146"/>
      <c r="AA354" s="146"/>
      <c r="AB354" s="146"/>
      <c r="AC354" s="146"/>
      <c r="AD354" s="146"/>
      <c r="AE354" s="146"/>
      <c r="AF354" s="146"/>
      <c r="AG354" s="146"/>
      <c r="AH354" s="146"/>
      <c r="AI354" s="150"/>
      <c r="AL354" s="56"/>
      <c r="AN354" s="44"/>
      <c r="AR354" s="56"/>
      <c r="AS354" s="44"/>
      <c r="AW354" s="56"/>
      <c r="AX354" s="94"/>
      <c r="AY354" s="56"/>
      <c r="AZ354" s="56"/>
      <c r="BA354" s="56"/>
      <c r="BB354" s="56"/>
      <c r="BC354" s="94"/>
      <c r="BG354" s="56"/>
      <c r="BH354" s="44"/>
      <c r="DY354" s="43"/>
      <c r="DZ354" s="20"/>
      <c r="EA354" s="81"/>
      <c r="EB354" s="81"/>
      <c r="EC354" s="81"/>
      <c r="ED354" s="81"/>
      <c r="EE354" s="81"/>
      <c r="EF354" s="81"/>
      <c r="EG354" s="81"/>
      <c r="EH354" s="11"/>
      <c r="EI354" s="11"/>
      <c r="EJ354" s="20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</row>
    <row r="355" spans="1:180" s="13" customFormat="1" ht="13.2" x14ac:dyDescent="0.25">
      <c r="A355" s="7"/>
      <c r="B355" s="7"/>
      <c r="C355" s="9">
        <v>6</v>
      </c>
      <c r="D355" s="9">
        <v>18</v>
      </c>
      <c r="E355" s="9">
        <v>20</v>
      </c>
      <c r="F355" s="9">
        <v>38</v>
      </c>
      <c r="G355" s="9">
        <v>62</v>
      </c>
      <c r="H355" s="9">
        <v>85</v>
      </c>
      <c r="I355" s="45"/>
      <c r="J355" s="9">
        <v>85</v>
      </c>
      <c r="K355" s="45"/>
      <c r="L355" s="39">
        <v>45878</v>
      </c>
      <c r="M355" s="45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55"/>
      <c r="Y355" s="146"/>
      <c r="Z355" s="146"/>
      <c r="AA355" s="146"/>
      <c r="AB355" s="146"/>
      <c r="AC355" s="146"/>
      <c r="AD355" s="146"/>
      <c r="AE355" s="146"/>
      <c r="AF355" s="146"/>
      <c r="AG355" s="146"/>
      <c r="AH355" s="146"/>
      <c r="AI355" s="150"/>
      <c r="AL355" s="56"/>
      <c r="AN355" s="44"/>
      <c r="AR355" s="56"/>
      <c r="AS355" s="44"/>
      <c r="AW355" s="56"/>
      <c r="AX355" s="94"/>
      <c r="AY355" s="56"/>
      <c r="AZ355" s="56"/>
      <c r="BA355" s="56"/>
      <c r="BB355" s="56"/>
      <c r="BC355" s="94"/>
      <c r="BG355" s="56"/>
      <c r="BH355" s="44"/>
      <c r="DY355" s="43"/>
      <c r="DZ355" s="20"/>
      <c r="EA355" s="81"/>
      <c r="EB355" s="81"/>
      <c r="EC355" s="81"/>
      <c r="ED355" s="81"/>
      <c r="EE355" s="81"/>
      <c r="EF355" s="81"/>
      <c r="EG355" s="81"/>
      <c r="EH355" s="11"/>
      <c r="EI355" s="11"/>
      <c r="EJ355" s="20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</row>
    <row r="356" spans="1:180" s="13" customFormat="1" ht="13.2" x14ac:dyDescent="0.25">
      <c r="A356" s="7"/>
      <c r="B356" s="7"/>
      <c r="C356" s="9">
        <v>22</v>
      </c>
      <c r="D356" s="9">
        <v>36</v>
      </c>
      <c r="E356" s="9">
        <v>43</v>
      </c>
      <c r="F356" s="9">
        <v>46</v>
      </c>
      <c r="G356" s="9">
        <v>80</v>
      </c>
      <c r="H356" s="9">
        <v>88</v>
      </c>
      <c r="I356" s="45"/>
      <c r="J356" s="9">
        <v>88</v>
      </c>
      <c r="K356" s="45"/>
      <c r="L356" s="39">
        <v>45875</v>
      </c>
      <c r="M356" s="45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55"/>
      <c r="Y356" s="146"/>
      <c r="Z356" s="146"/>
      <c r="AA356" s="146"/>
      <c r="AB356" s="146"/>
      <c r="AC356" s="146"/>
      <c r="AD356" s="146"/>
      <c r="AE356" s="146"/>
      <c r="AF356" s="146"/>
      <c r="AG356" s="146"/>
      <c r="AH356" s="146"/>
      <c r="AI356" s="150"/>
      <c r="AL356" s="56"/>
      <c r="AN356" s="44"/>
      <c r="AR356" s="56"/>
      <c r="AS356" s="44"/>
      <c r="AW356" s="56"/>
      <c r="AX356" s="94"/>
      <c r="AY356" s="56"/>
      <c r="AZ356" s="56"/>
      <c r="BA356" s="56"/>
      <c r="BB356" s="56"/>
      <c r="BC356" s="94"/>
      <c r="BG356" s="56"/>
      <c r="BH356" s="44"/>
      <c r="DY356" s="43"/>
      <c r="DZ356" s="20"/>
      <c r="EA356" s="81"/>
      <c r="EB356" s="81"/>
      <c r="EC356" s="81"/>
      <c r="ED356" s="81"/>
      <c r="EE356" s="81"/>
      <c r="EF356" s="81"/>
      <c r="EG356" s="81"/>
      <c r="EH356" s="11"/>
      <c r="EI356" s="11"/>
      <c r="EJ356" s="20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</row>
    <row r="357" spans="1:180" s="13" customFormat="1" ht="13.2" x14ac:dyDescent="0.25">
      <c r="A357" s="7"/>
      <c r="B357" s="7"/>
      <c r="C357" s="9">
        <v>12</v>
      </c>
      <c r="D357" s="9">
        <v>20</v>
      </c>
      <c r="E357" s="9">
        <v>39</v>
      </c>
      <c r="F357" s="9">
        <v>48</v>
      </c>
      <c r="G357" s="9">
        <v>59</v>
      </c>
      <c r="H357" s="9">
        <v>62</v>
      </c>
      <c r="I357" s="45"/>
      <c r="J357" s="9">
        <v>62</v>
      </c>
      <c r="K357" s="45"/>
      <c r="L357" s="39">
        <v>45873</v>
      </c>
      <c r="M357" s="45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55"/>
      <c r="Y357" s="146"/>
      <c r="Z357" s="146"/>
      <c r="AA357" s="146"/>
      <c r="AB357" s="146"/>
      <c r="AC357" s="146"/>
      <c r="AD357" s="146"/>
      <c r="AE357" s="146"/>
      <c r="AF357" s="146"/>
      <c r="AG357" s="146"/>
      <c r="AH357" s="146"/>
      <c r="AI357" s="150"/>
      <c r="AL357" s="56"/>
      <c r="AN357" s="44"/>
      <c r="AR357" s="56"/>
      <c r="AS357" s="44"/>
      <c r="AW357" s="56"/>
      <c r="AX357" s="94"/>
      <c r="AY357" s="56"/>
      <c r="AZ357" s="56"/>
      <c r="BA357" s="56"/>
      <c r="BB357" s="56"/>
      <c r="BC357" s="94"/>
      <c r="BG357" s="56"/>
      <c r="BH357" s="44"/>
      <c r="DY357" s="43"/>
      <c r="DZ357" s="20"/>
      <c r="EA357" s="81"/>
      <c r="EB357" s="81"/>
      <c r="EC357" s="81"/>
      <c r="ED357" s="81"/>
      <c r="EE357" s="81"/>
      <c r="EF357" s="81"/>
      <c r="EG357" s="81"/>
      <c r="EH357" s="11"/>
      <c r="EI357" s="11"/>
      <c r="EJ357" s="20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</row>
    <row r="358" spans="1:180" s="13" customFormat="1" ht="13.2" x14ac:dyDescent="0.25">
      <c r="A358" s="2"/>
      <c r="B358" s="2"/>
      <c r="C358" s="9">
        <v>4</v>
      </c>
      <c r="D358" s="9">
        <v>5</v>
      </c>
      <c r="E358" s="9">
        <v>13</v>
      </c>
      <c r="F358" s="9">
        <v>22</v>
      </c>
      <c r="G358" s="9">
        <v>35</v>
      </c>
      <c r="H358" s="9">
        <v>53</v>
      </c>
      <c r="I358" s="45"/>
      <c r="J358" s="9">
        <v>53</v>
      </c>
      <c r="K358" s="45"/>
      <c r="L358" s="39">
        <v>45871</v>
      </c>
      <c r="M358" s="45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55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46"/>
      <c r="AI358" s="150"/>
      <c r="AL358" s="56"/>
      <c r="AN358" s="44"/>
      <c r="AR358" s="56"/>
      <c r="AS358" s="44"/>
      <c r="AW358" s="56"/>
      <c r="AX358" s="94"/>
      <c r="AY358" s="56"/>
      <c r="AZ358" s="56"/>
      <c r="BA358" s="56"/>
      <c r="BB358" s="56"/>
      <c r="BC358" s="94"/>
      <c r="BG358" s="56"/>
      <c r="BH358" s="44"/>
      <c r="DY358" s="43"/>
      <c r="DZ358" s="20"/>
      <c r="EA358" s="81"/>
      <c r="EB358" s="81"/>
      <c r="EC358" s="81"/>
      <c r="ED358" s="81"/>
      <c r="EE358" s="81"/>
      <c r="EF358" s="81"/>
      <c r="EG358" s="81"/>
      <c r="EH358" s="11"/>
      <c r="EI358" s="11"/>
      <c r="EJ358" s="20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</row>
    <row r="359" spans="1:180" s="13" customFormat="1" ht="13.2" x14ac:dyDescent="0.25">
      <c r="A359" s="2"/>
      <c r="B359" s="2"/>
      <c r="C359" s="9">
        <v>12</v>
      </c>
      <c r="D359" s="9">
        <v>19</v>
      </c>
      <c r="E359" s="9">
        <v>50</v>
      </c>
      <c r="F359" s="9">
        <v>58</v>
      </c>
      <c r="G359" s="9">
        <v>62</v>
      </c>
      <c r="H359" s="9">
        <v>73</v>
      </c>
      <c r="I359" s="45"/>
      <c r="J359" s="9">
        <v>73</v>
      </c>
      <c r="K359" s="45"/>
      <c r="L359" s="39">
        <v>45868</v>
      </c>
      <c r="M359" s="45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55"/>
      <c r="Y359" s="146"/>
      <c r="Z359" s="146"/>
      <c r="AA359" s="146"/>
      <c r="AB359" s="146"/>
      <c r="AC359" s="146"/>
      <c r="AD359" s="146"/>
      <c r="AE359" s="146"/>
      <c r="AF359" s="146"/>
      <c r="AG359" s="146"/>
      <c r="AH359" s="146"/>
      <c r="AI359" s="150"/>
      <c r="AL359" s="56"/>
      <c r="AN359" s="44"/>
      <c r="AR359" s="56"/>
      <c r="AS359" s="44"/>
      <c r="AW359" s="56"/>
      <c r="AX359" s="94"/>
      <c r="AY359" s="56"/>
      <c r="AZ359" s="56"/>
      <c r="BA359" s="56"/>
      <c r="BB359" s="56"/>
      <c r="BC359" s="94"/>
      <c r="BG359" s="56"/>
      <c r="BH359" s="44"/>
      <c r="DY359" s="43"/>
      <c r="DZ359" s="20"/>
      <c r="EA359" s="21"/>
      <c r="EB359" s="21"/>
      <c r="EC359" s="21"/>
      <c r="ED359" s="21"/>
      <c r="EE359" s="21"/>
      <c r="EF359" s="21"/>
      <c r="EG359" s="24"/>
      <c r="EH359" s="24"/>
      <c r="EI359" s="20"/>
      <c r="EJ359" s="20"/>
      <c r="EK359" s="20"/>
      <c r="EL359" s="20"/>
      <c r="EM359" s="20"/>
      <c r="EN359" s="20"/>
      <c r="EO359" s="20"/>
      <c r="EP359" s="20"/>
      <c r="EQ359" s="20"/>
      <c r="ER359" s="20"/>
      <c r="ES359" s="20"/>
      <c r="ET359" s="20"/>
      <c r="EU359" s="20"/>
      <c r="EV359" s="20"/>
      <c r="EW359" s="20"/>
      <c r="EX359" s="20"/>
      <c r="EY359" s="20"/>
      <c r="EZ359" s="20"/>
      <c r="FA359" s="20"/>
      <c r="FB359" s="20"/>
      <c r="FC359" s="20"/>
      <c r="FD359" s="20"/>
      <c r="FE359" s="20"/>
      <c r="FF359" s="20"/>
      <c r="FG359" s="20"/>
      <c r="FH359" s="20"/>
      <c r="FI359" s="20"/>
      <c r="FJ359" s="20"/>
      <c r="FK359" s="20"/>
      <c r="FL359" s="20"/>
      <c r="FM359" s="20"/>
      <c r="FN359" s="20"/>
      <c r="FO359" s="20"/>
      <c r="FP359" s="20"/>
      <c r="FQ359" s="20"/>
      <c r="FR359" s="20"/>
      <c r="FS359" s="20"/>
      <c r="FT359" s="20"/>
      <c r="FU359" s="20"/>
      <c r="FV359" s="20"/>
      <c r="FW359" s="20"/>
      <c r="FX359" s="20"/>
    </row>
    <row r="360" spans="1:180" s="13" customFormat="1" ht="13.2" x14ac:dyDescent="0.25">
      <c r="A360" s="2"/>
      <c r="B360" s="2"/>
      <c r="C360" s="9">
        <v>7</v>
      </c>
      <c r="D360" s="9">
        <v>10</v>
      </c>
      <c r="E360" s="9">
        <v>19</v>
      </c>
      <c r="F360" s="9">
        <v>30</v>
      </c>
      <c r="G360" s="9">
        <v>41</v>
      </c>
      <c r="H360" s="9">
        <v>59</v>
      </c>
      <c r="I360" s="45"/>
      <c r="J360" s="9">
        <v>59</v>
      </c>
      <c r="K360" s="45"/>
      <c r="L360" s="39">
        <v>45866</v>
      </c>
      <c r="M360" s="45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55"/>
      <c r="Y360" s="146"/>
      <c r="Z360" s="146"/>
      <c r="AA360" s="146"/>
      <c r="AB360" s="146"/>
      <c r="AC360" s="146"/>
      <c r="AD360" s="146"/>
      <c r="AE360" s="146"/>
      <c r="AF360" s="146"/>
      <c r="AG360" s="146"/>
      <c r="AH360" s="146"/>
      <c r="AI360" s="150"/>
      <c r="AL360" s="56"/>
      <c r="AN360" s="44"/>
      <c r="AR360" s="56"/>
      <c r="AS360" s="44"/>
      <c r="AW360" s="56"/>
      <c r="AX360" s="94"/>
      <c r="AY360" s="56"/>
      <c r="AZ360" s="56"/>
      <c r="BA360" s="56"/>
      <c r="BB360" s="56"/>
      <c r="BC360" s="94"/>
      <c r="BG360" s="56"/>
      <c r="BH360" s="44"/>
      <c r="DY360" s="43"/>
      <c r="DZ360" s="20"/>
      <c r="EA360" s="161"/>
      <c r="EB360" s="161"/>
      <c r="EC360" s="161"/>
      <c r="ED360" s="161"/>
      <c r="EE360" s="161"/>
      <c r="EF360" s="161"/>
      <c r="EG360" s="161"/>
      <c r="EH360" s="22"/>
      <c r="EI360" s="22"/>
      <c r="EJ360" s="20"/>
      <c r="EK360" s="22"/>
      <c r="EL360" s="22"/>
      <c r="EM360" s="22"/>
      <c r="EN360" s="22"/>
      <c r="EO360" s="22"/>
      <c r="EP360" s="22"/>
      <c r="EQ360" s="22"/>
      <c r="ER360" s="22"/>
      <c r="ES360" s="22"/>
      <c r="ET360" s="22"/>
      <c r="EU360" s="22"/>
      <c r="EV360" s="22"/>
      <c r="EW360" s="22"/>
      <c r="EX360" s="22"/>
      <c r="EY360" s="22"/>
      <c r="EZ360" s="22"/>
      <c r="FA360" s="22"/>
      <c r="FB360" s="22"/>
      <c r="FC360" s="22"/>
      <c r="FD360" s="22"/>
      <c r="FE360" s="22"/>
      <c r="FF360" s="22"/>
      <c r="FG360" s="22"/>
      <c r="FH360" s="22"/>
      <c r="FI360" s="22"/>
      <c r="FJ360" s="22"/>
      <c r="FK360" s="22"/>
      <c r="FL360" s="22"/>
      <c r="FM360" s="22"/>
      <c r="FN360" s="22"/>
      <c r="FO360" s="22"/>
      <c r="FP360" s="22"/>
      <c r="FQ360" s="22"/>
      <c r="FR360" s="22"/>
      <c r="FS360" s="22"/>
      <c r="FT360" s="22"/>
      <c r="FU360" s="22"/>
      <c r="FV360" s="22"/>
      <c r="FW360" s="22"/>
      <c r="FX360" s="22"/>
    </row>
    <row r="361" spans="1:180" s="13" customFormat="1" ht="13.2" x14ac:dyDescent="0.25">
      <c r="A361" s="2"/>
      <c r="B361" s="2"/>
      <c r="C361" s="9">
        <v>26</v>
      </c>
      <c r="D361" s="9">
        <v>38</v>
      </c>
      <c r="E361" s="9">
        <v>41</v>
      </c>
      <c r="F361" s="9">
        <v>45</v>
      </c>
      <c r="G361" s="9">
        <v>70</v>
      </c>
      <c r="H361" s="9">
        <v>73</v>
      </c>
      <c r="I361" s="45"/>
      <c r="J361" s="9">
        <v>73</v>
      </c>
      <c r="K361" s="45"/>
      <c r="L361" s="39">
        <v>45864</v>
      </c>
      <c r="M361" s="45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55"/>
      <c r="Y361" s="146"/>
      <c r="Z361" s="146"/>
      <c r="AA361" s="146"/>
      <c r="AB361" s="146"/>
      <c r="AC361" s="146"/>
      <c r="AD361" s="146"/>
      <c r="AE361" s="146"/>
      <c r="AF361" s="146"/>
      <c r="AG361" s="146"/>
      <c r="AH361" s="146"/>
      <c r="AI361" s="150"/>
      <c r="AL361" s="56"/>
      <c r="AN361" s="44"/>
      <c r="AR361" s="56"/>
      <c r="AS361" s="44"/>
      <c r="AW361" s="56"/>
      <c r="AX361" s="94"/>
      <c r="AY361" s="56"/>
      <c r="AZ361" s="56"/>
      <c r="BA361" s="56"/>
      <c r="BB361" s="56"/>
      <c r="BC361" s="94"/>
      <c r="BG361" s="56"/>
      <c r="BH361" s="44"/>
      <c r="DY361" s="43"/>
      <c r="DZ361" s="20"/>
      <c r="EA361" s="81"/>
      <c r="EB361" s="81"/>
      <c r="EC361" s="81"/>
      <c r="ED361" s="81"/>
      <c r="EE361" s="81"/>
      <c r="EF361" s="81"/>
      <c r="EG361" s="81"/>
      <c r="EH361" s="11"/>
      <c r="EI361" s="11"/>
      <c r="EJ361" s="20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</row>
    <row r="362" spans="1:180" s="13" customFormat="1" ht="13.2" x14ac:dyDescent="0.25">
      <c r="A362" s="2"/>
      <c r="B362" s="2"/>
      <c r="C362" s="9">
        <v>4</v>
      </c>
      <c r="D362" s="9">
        <v>29</v>
      </c>
      <c r="E362" s="9">
        <v>52</v>
      </c>
      <c r="F362" s="9">
        <v>58</v>
      </c>
      <c r="G362" s="9">
        <v>72</v>
      </c>
      <c r="H362" s="9">
        <v>83</v>
      </c>
      <c r="I362" s="45"/>
      <c r="J362" s="9">
        <v>83</v>
      </c>
      <c r="K362" s="45"/>
      <c r="L362" s="39">
        <v>45861</v>
      </c>
      <c r="M362" s="45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55"/>
      <c r="Y362" s="146"/>
      <c r="Z362" s="146"/>
      <c r="AA362" s="146"/>
      <c r="AB362" s="146"/>
      <c r="AC362" s="146"/>
      <c r="AD362" s="146"/>
      <c r="AE362" s="146"/>
      <c r="AF362" s="146"/>
      <c r="AG362" s="146"/>
      <c r="AH362" s="146"/>
      <c r="AI362" s="150"/>
      <c r="AL362" s="56"/>
      <c r="AN362" s="44"/>
      <c r="AR362" s="56"/>
      <c r="AS362" s="44"/>
      <c r="AW362" s="56"/>
      <c r="AX362" s="94"/>
      <c r="AY362" s="56"/>
      <c r="AZ362" s="56"/>
      <c r="BA362" s="56"/>
      <c r="BB362" s="56"/>
      <c r="BC362" s="94"/>
      <c r="BG362" s="56"/>
      <c r="BH362" s="44"/>
      <c r="DY362" s="43"/>
      <c r="DZ362" s="20"/>
      <c r="EA362" s="81"/>
      <c r="EB362" s="81"/>
      <c r="EC362" s="81"/>
      <c r="ED362" s="81"/>
      <c r="EE362" s="81"/>
      <c r="EF362" s="81"/>
      <c r="EG362" s="81"/>
      <c r="EH362" s="11"/>
      <c r="EI362" s="11"/>
      <c r="EJ362" s="20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</row>
    <row r="363" spans="1:180" s="13" customFormat="1" ht="13.2" x14ac:dyDescent="0.25">
      <c r="A363" s="2"/>
      <c r="B363" s="2"/>
      <c r="C363" s="9">
        <v>12</v>
      </c>
      <c r="D363" s="9">
        <v>48</v>
      </c>
      <c r="E363" s="9">
        <v>51</v>
      </c>
      <c r="F363" s="9">
        <v>71</v>
      </c>
      <c r="G363" s="9">
        <v>76</v>
      </c>
      <c r="H363" s="9">
        <v>78</v>
      </c>
      <c r="I363" s="45"/>
      <c r="J363" s="9">
        <v>78</v>
      </c>
      <c r="K363" s="45"/>
      <c r="L363" s="39">
        <v>45859</v>
      </c>
      <c r="M363" s="45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55"/>
      <c r="Y363" s="146"/>
      <c r="Z363" s="146"/>
      <c r="AA363" s="146"/>
      <c r="AB363" s="146"/>
      <c r="AC363" s="146"/>
      <c r="AD363" s="146"/>
      <c r="AE363" s="146"/>
      <c r="AF363" s="146"/>
      <c r="AG363" s="146"/>
      <c r="AH363" s="146"/>
      <c r="AI363" s="150"/>
      <c r="AL363" s="56"/>
      <c r="AN363" s="44"/>
      <c r="AR363" s="56"/>
      <c r="AS363" s="44"/>
      <c r="AW363" s="56"/>
      <c r="AX363" s="94"/>
      <c r="AY363" s="56"/>
      <c r="AZ363" s="56"/>
      <c r="BA363" s="56"/>
      <c r="BB363" s="56"/>
      <c r="BC363" s="94"/>
      <c r="BG363" s="56"/>
      <c r="BH363" s="44"/>
      <c r="DY363" s="43"/>
      <c r="DZ363" s="20"/>
      <c r="EA363" s="81"/>
      <c r="EB363" s="81"/>
      <c r="EC363" s="81"/>
      <c r="ED363" s="81"/>
      <c r="EE363" s="81"/>
      <c r="EF363" s="81"/>
      <c r="EG363" s="81"/>
      <c r="EH363" s="11"/>
      <c r="EI363" s="11"/>
      <c r="EJ363" s="20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</row>
    <row r="364" spans="1:180" s="13" customFormat="1" ht="13.2" x14ac:dyDescent="0.25">
      <c r="A364" s="2"/>
      <c r="B364" s="2"/>
      <c r="C364" s="9">
        <v>5</v>
      </c>
      <c r="D364" s="9">
        <v>7</v>
      </c>
      <c r="E364" s="9">
        <v>15</v>
      </c>
      <c r="F364" s="9">
        <v>22</v>
      </c>
      <c r="G364" s="9">
        <v>25</v>
      </c>
      <c r="H364" s="9">
        <v>74</v>
      </c>
      <c r="I364" s="45"/>
      <c r="J364" s="9">
        <v>74</v>
      </c>
      <c r="K364" s="45"/>
      <c r="L364" s="39">
        <v>45857</v>
      </c>
      <c r="M364" s="45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55"/>
      <c r="Y364" s="146"/>
      <c r="Z364" s="146"/>
      <c r="AA364" s="146"/>
      <c r="AB364" s="146"/>
      <c r="AC364" s="146"/>
      <c r="AD364" s="146"/>
      <c r="AE364" s="146"/>
      <c r="AF364" s="146"/>
      <c r="AG364" s="146"/>
      <c r="AH364" s="146"/>
      <c r="AI364" s="150"/>
      <c r="AL364" s="56"/>
      <c r="AN364" s="44"/>
      <c r="AR364" s="56"/>
      <c r="AS364" s="44"/>
      <c r="AW364" s="56"/>
      <c r="AX364" s="94"/>
      <c r="AY364" s="56"/>
      <c r="AZ364" s="56"/>
      <c r="BA364" s="56"/>
      <c r="BB364" s="56"/>
      <c r="BC364" s="94"/>
      <c r="BG364" s="56"/>
      <c r="BH364" s="44"/>
      <c r="DY364" s="43"/>
      <c r="DZ364" s="20"/>
      <c r="EA364" s="81"/>
      <c r="EB364" s="81"/>
      <c r="EC364" s="81"/>
      <c r="ED364" s="81"/>
      <c r="EE364" s="81"/>
      <c r="EF364" s="81"/>
      <c r="EG364" s="81"/>
      <c r="EH364" s="11"/>
      <c r="EI364" s="11"/>
      <c r="EJ364" s="20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</row>
    <row r="365" spans="1:180" s="13" customFormat="1" ht="13.2" x14ac:dyDescent="0.25">
      <c r="A365" s="2"/>
      <c r="B365" s="2"/>
      <c r="C365" s="9">
        <v>9</v>
      </c>
      <c r="D365" s="9">
        <v>22</v>
      </c>
      <c r="E365" s="9">
        <v>47</v>
      </c>
      <c r="F365" s="9">
        <v>49</v>
      </c>
      <c r="G365" s="9">
        <v>55</v>
      </c>
      <c r="H365" s="9">
        <v>73</v>
      </c>
      <c r="I365" s="45"/>
      <c r="J365" s="9">
        <v>73</v>
      </c>
      <c r="K365" s="45"/>
      <c r="L365" s="39">
        <v>45854</v>
      </c>
      <c r="M365" s="45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55"/>
      <c r="Y365" s="146"/>
      <c r="Z365" s="146"/>
      <c r="AA365" s="146"/>
      <c r="AB365" s="146"/>
      <c r="AC365" s="146"/>
      <c r="AD365" s="146"/>
      <c r="AE365" s="146"/>
      <c r="AF365" s="146"/>
      <c r="AG365" s="146"/>
      <c r="AH365" s="146"/>
      <c r="AI365" s="150"/>
      <c r="AL365" s="56"/>
      <c r="AN365" s="44"/>
      <c r="AR365" s="56"/>
      <c r="AS365" s="44"/>
      <c r="AW365" s="56"/>
      <c r="AX365" s="94"/>
      <c r="AY365" s="56"/>
      <c r="AZ365" s="56"/>
      <c r="BA365" s="56"/>
      <c r="BB365" s="56"/>
      <c r="BC365" s="94"/>
      <c r="BG365" s="56"/>
      <c r="BH365" s="44"/>
      <c r="DY365" s="43"/>
      <c r="DZ365" s="20"/>
      <c r="EA365" s="81"/>
      <c r="EB365" s="81"/>
      <c r="EC365" s="81"/>
      <c r="ED365" s="81"/>
      <c r="EE365" s="81"/>
      <c r="EF365" s="81"/>
      <c r="EG365" s="81"/>
      <c r="EH365" s="11"/>
      <c r="EI365" s="11"/>
      <c r="EJ365" s="20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</row>
    <row r="366" spans="1:180" s="13" customFormat="1" ht="13.2" x14ac:dyDescent="0.25">
      <c r="A366" s="2"/>
      <c r="B366" s="2"/>
      <c r="C366" s="9">
        <v>8</v>
      </c>
      <c r="D366" s="9">
        <v>17</v>
      </c>
      <c r="E366" s="9">
        <v>60</v>
      </c>
      <c r="F366" s="9">
        <v>73</v>
      </c>
      <c r="G366" s="9">
        <v>84</v>
      </c>
      <c r="H366" s="9">
        <v>90</v>
      </c>
      <c r="I366" s="45"/>
      <c r="J366" s="9">
        <v>90</v>
      </c>
      <c r="K366" s="45"/>
      <c r="L366" s="39">
        <v>45850</v>
      </c>
      <c r="M366" s="45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55"/>
      <c r="Y366" s="146"/>
      <c r="Z366" s="146"/>
      <c r="AA366" s="146"/>
      <c r="AB366" s="146"/>
      <c r="AC366" s="146"/>
      <c r="AD366" s="146"/>
      <c r="AE366" s="146"/>
      <c r="AF366" s="146"/>
      <c r="AG366" s="146"/>
      <c r="AH366" s="146"/>
      <c r="AI366" s="150"/>
      <c r="AL366" s="56"/>
      <c r="AN366" s="44"/>
      <c r="AR366" s="56"/>
      <c r="AS366" s="44"/>
      <c r="AW366" s="56"/>
      <c r="AX366" s="94"/>
      <c r="AY366" s="56"/>
      <c r="AZ366" s="56"/>
      <c r="BA366" s="56"/>
      <c r="BB366" s="56"/>
      <c r="BC366" s="94"/>
      <c r="BG366" s="56"/>
      <c r="BH366" s="44"/>
      <c r="DY366" s="43"/>
      <c r="DZ366" s="20"/>
      <c r="EA366" s="81"/>
      <c r="EB366" s="81"/>
      <c r="EC366" s="81"/>
      <c r="ED366" s="81"/>
      <c r="EE366" s="81"/>
      <c r="EF366" s="81"/>
      <c r="EG366" s="81"/>
      <c r="EH366" s="11"/>
      <c r="EI366" s="11"/>
      <c r="EJ366" s="20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</row>
    <row r="367" spans="1:180" s="13" customFormat="1" ht="13.2" x14ac:dyDescent="0.25">
      <c r="A367" s="2"/>
      <c r="B367" s="2"/>
      <c r="C367" s="9">
        <v>4</v>
      </c>
      <c r="D367" s="9">
        <v>13</v>
      </c>
      <c r="E367" s="9">
        <v>36</v>
      </c>
      <c r="F367" s="9">
        <v>48</v>
      </c>
      <c r="G367" s="9">
        <v>53</v>
      </c>
      <c r="H367" s="9">
        <v>80</v>
      </c>
      <c r="I367" s="45"/>
      <c r="J367" s="9">
        <v>80</v>
      </c>
      <c r="K367" s="45"/>
      <c r="L367" s="39">
        <v>45847</v>
      </c>
      <c r="M367" s="45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55"/>
      <c r="Y367" s="146"/>
      <c r="Z367" s="146"/>
      <c r="AA367" s="146"/>
      <c r="AB367" s="146"/>
      <c r="AC367" s="146"/>
      <c r="AD367" s="146"/>
      <c r="AE367" s="146"/>
      <c r="AF367" s="146"/>
      <c r="AG367" s="146"/>
      <c r="AH367" s="146"/>
      <c r="AI367" s="150"/>
      <c r="AL367" s="56"/>
      <c r="AN367" s="44"/>
      <c r="AR367" s="56"/>
      <c r="AS367" s="44"/>
      <c r="AW367" s="56"/>
      <c r="AX367" s="94"/>
      <c r="AY367" s="56"/>
      <c r="AZ367" s="56"/>
      <c r="BA367" s="56"/>
      <c r="BB367" s="56"/>
      <c r="BC367" s="94"/>
      <c r="BG367" s="56"/>
      <c r="BH367" s="44"/>
      <c r="DY367" s="43"/>
      <c r="DZ367" s="20"/>
      <c r="EA367" s="81"/>
      <c r="EB367" s="81"/>
      <c r="EC367" s="81"/>
      <c r="ED367" s="81"/>
      <c r="EE367" s="81"/>
      <c r="EF367" s="81"/>
      <c r="EG367" s="81"/>
      <c r="EH367" s="11"/>
      <c r="EI367" s="11"/>
      <c r="EJ367" s="20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</row>
    <row r="368" spans="1:180" s="13" customFormat="1" ht="13.2" x14ac:dyDescent="0.25">
      <c r="A368" s="2"/>
      <c r="B368" s="2"/>
      <c r="C368" s="9">
        <v>8</v>
      </c>
      <c r="D368" s="9">
        <v>18</v>
      </c>
      <c r="E368" s="9">
        <v>61</v>
      </c>
      <c r="F368" s="9">
        <v>71</v>
      </c>
      <c r="G368" s="9">
        <v>75</v>
      </c>
      <c r="H368" s="9">
        <v>79</v>
      </c>
      <c r="I368" s="45"/>
      <c r="J368" s="9">
        <v>79</v>
      </c>
      <c r="K368" s="45"/>
      <c r="L368" s="39">
        <v>45845</v>
      </c>
      <c r="M368" s="45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55"/>
      <c r="Y368" s="146"/>
      <c r="Z368" s="146"/>
      <c r="AA368" s="146"/>
      <c r="AB368" s="146"/>
      <c r="AC368" s="146"/>
      <c r="AD368" s="146"/>
      <c r="AE368" s="146"/>
      <c r="AF368" s="146"/>
      <c r="AG368" s="146"/>
      <c r="AH368" s="146"/>
      <c r="AI368" s="150"/>
      <c r="AL368" s="56"/>
      <c r="AN368" s="44"/>
      <c r="AR368" s="56"/>
      <c r="AS368" s="44"/>
      <c r="AW368" s="56"/>
      <c r="AX368" s="94"/>
      <c r="AY368" s="56"/>
      <c r="AZ368" s="56"/>
      <c r="BA368" s="56"/>
      <c r="BB368" s="56"/>
      <c r="BC368" s="94"/>
      <c r="BG368" s="56"/>
      <c r="BH368" s="44"/>
      <c r="DY368" s="43"/>
      <c r="DZ368" s="20"/>
      <c r="EA368" s="81"/>
      <c r="EB368" s="81"/>
      <c r="EC368" s="81"/>
      <c r="ED368" s="81"/>
      <c r="EE368" s="81"/>
      <c r="EF368" s="81"/>
      <c r="EG368" s="81"/>
      <c r="EH368" s="11"/>
      <c r="EI368" s="11"/>
      <c r="EJ368" s="20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</row>
    <row r="369" spans="1:180" s="13" customFormat="1" ht="13.2" x14ac:dyDescent="0.25">
      <c r="A369" s="2"/>
      <c r="B369" s="2"/>
      <c r="C369" s="9">
        <v>11</v>
      </c>
      <c r="D369" s="9">
        <v>12</v>
      </c>
      <c r="E369" s="9">
        <v>27</v>
      </c>
      <c r="F369" s="9">
        <v>71</v>
      </c>
      <c r="G369" s="9">
        <v>76</v>
      </c>
      <c r="H369" s="9">
        <v>87</v>
      </c>
      <c r="I369" s="45"/>
      <c r="J369" s="9">
        <v>87</v>
      </c>
      <c r="K369" s="45"/>
      <c r="L369" s="39">
        <v>45843</v>
      </c>
      <c r="M369" s="45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55"/>
      <c r="Y369" s="146"/>
      <c r="Z369" s="146"/>
      <c r="AA369" s="146"/>
      <c r="AB369" s="146"/>
      <c r="AC369" s="146"/>
      <c r="AD369" s="146"/>
      <c r="AE369" s="146"/>
      <c r="AF369" s="146"/>
      <c r="AG369" s="146"/>
      <c r="AH369" s="146"/>
      <c r="AI369" s="150"/>
      <c r="AL369" s="56"/>
      <c r="AN369" s="44"/>
      <c r="AR369" s="56"/>
      <c r="AS369" s="44"/>
      <c r="AW369" s="56"/>
      <c r="AX369" s="94"/>
      <c r="AY369" s="56"/>
      <c r="AZ369" s="56"/>
      <c r="BA369" s="56"/>
      <c r="BB369" s="56"/>
      <c r="BC369" s="94"/>
      <c r="BG369" s="56"/>
      <c r="BH369" s="44"/>
      <c r="DY369" s="43"/>
      <c r="DZ369" s="20"/>
      <c r="EA369" s="81"/>
      <c r="EB369" s="81"/>
      <c r="EC369" s="81"/>
      <c r="ED369" s="81"/>
      <c r="EE369" s="81"/>
      <c r="EF369" s="81"/>
      <c r="EG369" s="81"/>
      <c r="EH369" s="11"/>
      <c r="EI369" s="11"/>
      <c r="EJ369" s="20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</row>
    <row r="370" spans="1:180" s="13" customFormat="1" ht="13.2" x14ac:dyDescent="0.25">
      <c r="A370" s="2"/>
      <c r="B370" s="2"/>
      <c r="C370" s="9">
        <v>5</v>
      </c>
      <c r="D370" s="9">
        <v>38</v>
      </c>
      <c r="E370" s="9">
        <v>65</v>
      </c>
      <c r="F370" s="9">
        <v>68</v>
      </c>
      <c r="G370" s="9">
        <v>69</v>
      </c>
      <c r="H370" s="9">
        <v>75</v>
      </c>
      <c r="I370" s="45"/>
      <c r="J370" s="9">
        <v>75</v>
      </c>
      <c r="K370" s="45"/>
      <c r="L370" s="39">
        <v>45840</v>
      </c>
      <c r="M370" s="45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55"/>
      <c r="Y370" s="146"/>
      <c r="Z370" s="146"/>
      <c r="AA370" s="146"/>
      <c r="AB370" s="146"/>
      <c r="AC370" s="146"/>
      <c r="AD370" s="146"/>
      <c r="AE370" s="146"/>
      <c r="AF370" s="146"/>
      <c r="AG370" s="146"/>
      <c r="AH370" s="146"/>
      <c r="AI370" s="150"/>
      <c r="AL370" s="56"/>
      <c r="AN370" s="44"/>
      <c r="AR370" s="56"/>
      <c r="AS370" s="44"/>
      <c r="AW370" s="56"/>
      <c r="AX370" s="94"/>
      <c r="AY370" s="56"/>
      <c r="AZ370" s="56"/>
      <c r="BA370" s="56"/>
      <c r="BB370" s="56"/>
      <c r="BC370" s="94"/>
      <c r="BG370" s="56"/>
      <c r="BH370" s="44"/>
      <c r="DY370" s="43"/>
      <c r="DZ370" s="20"/>
      <c r="EA370" s="21"/>
      <c r="EB370" s="33"/>
      <c r="EC370" s="34"/>
      <c r="ED370" s="34"/>
      <c r="EE370" s="34"/>
      <c r="EF370" s="34"/>
      <c r="EG370" s="34"/>
      <c r="EH370" s="28"/>
      <c r="EI370" s="20"/>
      <c r="EJ370" s="20"/>
      <c r="EK370" s="26"/>
      <c r="EL370" s="20"/>
      <c r="EM370" s="24"/>
      <c r="EN370" s="20"/>
      <c r="EO370" s="20"/>
      <c r="EP370" s="20"/>
      <c r="EQ370" s="20"/>
      <c r="ER370" s="20"/>
      <c r="ES370" s="20"/>
      <c r="ET370" s="20"/>
      <c r="EU370" s="20"/>
      <c r="EV370" s="20"/>
      <c r="EW370" s="20"/>
      <c r="EX370" s="20"/>
      <c r="EY370" s="20"/>
      <c r="EZ370" s="20"/>
      <c r="FA370" s="20"/>
      <c r="FB370" s="20"/>
      <c r="FC370" s="20"/>
      <c r="FD370" s="20"/>
      <c r="FE370" s="20"/>
      <c r="FF370" s="20"/>
      <c r="FG370" s="20"/>
      <c r="FH370" s="20"/>
      <c r="FI370" s="20"/>
      <c r="FJ370" s="20"/>
      <c r="FK370" s="20"/>
      <c r="FL370" s="20"/>
      <c r="FM370" s="20"/>
      <c r="FN370" s="20"/>
      <c r="FO370" s="20"/>
      <c r="FP370" s="20"/>
      <c r="FQ370" s="20"/>
      <c r="FR370" s="20"/>
      <c r="FS370" s="20"/>
      <c r="FT370" s="20"/>
      <c r="FU370" s="20"/>
      <c r="FV370" s="20"/>
      <c r="FW370" s="20"/>
      <c r="FX370" s="20"/>
    </row>
    <row r="371" spans="1:180" s="13" customFormat="1" ht="13.2" x14ac:dyDescent="0.25">
      <c r="A371" s="2"/>
      <c r="B371" s="2"/>
      <c r="C371" s="9">
        <v>24</v>
      </c>
      <c r="D371" s="9">
        <v>41</v>
      </c>
      <c r="E371" s="9">
        <v>45</v>
      </c>
      <c r="F371" s="9">
        <v>58</v>
      </c>
      <c r="G371" s="9">
        <v>72</v>
      </c>
      <c r="H371" s="9">
        <v>90</v>
      </c>
      <c r="I371" s="45"/>
      <c r="J371" s="9">
        <v>90</v>
      </c>
      <c r="K371" s="45"/>
      <c r="L371" s="39">
        <v>45838</v>
      </c>
      <c r="M371" s="45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55"/>
      <c r="Y371" s="146"/>
      <c r="Z371" s="146"/>
      <c r="AA371" s="146"/>
      <c r="AB371" s="146"/>
      <c r="AC371" s="146"/>
      <c r="AD371" s="146"/>
      <c r="AE371" s="146"/>
      <c r="AF371" s="146"/>
      <c r="AG371" s="146"/>
      <c r="AH371" s="146"/>
      <c r="AI371" s="150"/>
      <c r="AL371" s="56"/>
      <c r="AN371" s="44"/>
      <c r="AR371" s="56"/>
      <c r="AS371" s="44"/>
      <c r="AW371" s="56"/>
      <c r="AX371" s="94"/>
      <c r="AY371" s="56"/>
      <c r="AZ371" s="56"/>
      <c r="BA371" s="56"/>
      <c r="BB371" s="56"/>
      <c r="BC371" s="94"/>
      <c r="BG371" s="56"/>
      <c r="BH371" s="44"/>
      <c r="DY371" s="43"/>
      <c r="DZ371" s="20"/>
      <c r="EA371" s="161"/>
      <c r="EB371" s="161"/>
      <c r="EC371" s="161"/>
      <c r="ED371" s="161"/>
      <c r="EE371" s="161"/>
      <c r="EF371" s="161"/>
      <c r="EG371" s="161"/>
      <c r="EH371" s="22"/>
      <c r="EI371" s="22"/>
      <c r="EJ371" s="20"/>
      <c r="EK371" s="22"/>
      <c r="EL371" s="22"/>
      <c r="EM371" s="22"/>
      <c r="EN371" s="22"/>
      <c r="EO371" s="22"/>
      <c r="EP371" s="22"/>
      <c r="EQ371" s="22"/>
      <c r="ER371" s="22"/>
      <c r="ES371" s="22"/>
      <c r="ET371" s="22"/>
      <c r="EU371" s="22"/>
      <c r="EV371" s="22"/>
      <c r="EW371" s="22"/>
      <c r="EX371" s="22"/>
      <c r="EY371" s="22"/>
      <c r="EZ371" s="22"/>
      <c r="FA371" s="22"/>
      <c r="FB371" s="22"/>
      <c r="FC371" s="22"/>
      <c r="FD371" s="22"/>
      <c r="FE371" s="22"/>
      <c r="FF371" s="22"/>
      <c r="FG371" s="22"/>
      <c r="FH371" s="22"/>
      <c r="FI371" s="22"/>
      <c r="FJ371" s="22"/>
      <c r="FK371" s="22"/>
      <c r="FL371" s="22"/>
      <c r="FM371" s="22"/>
      <c r="FN371" s="22"/>
      <c r="FO371" s="22"/>
      <c r="FP371" s="22"/>
      <c r="FQ371" s="22"/>
      <c r="FR371" s="22"/>
      <c r="FS371" s="22"/>
      <c r="FT371" s="22"/>
      <c r="FU371" s="22"/>
      <c r="FV371" s="22"/>
      <c r="FW371" s="22"/>
      <c r="FX371" s="22"/>
    </row>
    <row r="372" spans="1:180" s="13" customFormat="1" ht="13.2" x14ac:dyDescent="0.25">
      <c r="A372" s="2"/>
      <c r="B372" s="2"/>
      <c r="C372" s="9">
        <v>15</v>
      </c>
      <c r="D372" s="9">
        <v>22</v>
      </c>
      <c r="E372" s="9">
        <v>27</v>
      </c>
      <c r="F372" s="9">
        <v>38</v>
      </c>
      <c r="G372" s="9">
        <v>56</v>
      </c>
      <c r="H372" s="9">
        <v>71</v>
      </c>
      <c r="I372" s="45"/>
      <c r="J372" s="9">
        <v>71</v>
      </c>
      <c r="K372" s="45"/>
      <c r="L372" s="39">
        <v>45836</v>
      </c>
      <c r="M372" s="45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55"/>
      <c r="Y372" s="146"/>
      <c r="Z372" s="146"/>
      <c r="AA372" s="146"/>
      <c r="AB372" s="146"/>
      <c r="AC372" s="146"/>
      <c r="AD372" s="146"/>
      <c r="AE372" s="146"/>
      <c r="AF372" s="146"/>
      <c r="AG372" s="146"/>
      <c r="AH372" s="146"/>
      <c r="AI372" s="150"/>
      <c r="AL372" s="56"/>
      <c r="AN372" s="44"/>
      <c r="AR372" s="56"/>
      <c r="AS372" s="44"/>
      <c r="AW372" s="56"/>
      <c r="AX372" s="94"/>
      <c r="AY372" s="56"/>
      <c r="AZ372" s="56"/>
      <c r="BA372" s="56"/>
      <c r="BB372" s="56"/>
      <c r="BC372" s="94"/>
      <c r="BG372" s="56"/>
      <c r="BH372" s="44"/>
      <c r="DY372" s="43"/>
      <c r="DZ372" s="20"/>
      <c r="EA372" s="81"/>
      <c r="EB372" s="81"/>
      <c r="EC372" s="81"/>
      <c r="ED372" s="81"/>
      <c r="EE372" s="81"/>
      <c r="EF372" s="81"/>
      <c r="EG372" s="81"/>
      <c r="EH372" s="11"/>
      <c r="EI372" s="11"/>
      <c r="EJ372" s="20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</row>
    <row r="373" spans="1:180" s="13" customFormat="1" ht="13.2" x14ac:dyDescent="0.25">
      <c r="A373" s="2"/>
      <c r="B373" s="2"/>
      <c r="C373" s="9">
        <v>7</v>
      </c>
      <c r="D373" s="9">
        <v>20</v>
      </c>
      <c r="E373" s="9">
        <v>25</v>
      </c>
      <c r="F373" s="9">
        <v>28</v>
      </c>
      <c r="G373" s="9">
        <v>78</v>
      </c>
      <c r="H373" s="9">
        <v>88</v>
      </c>
      <c r="I373" s="45"/>
      <c r="J373" s="9">
        <v>88</v>
      </c>
      <c r="K373" s="45"/>
      <c r="L373" s="39">
        <v>45833</v>
      </c>
      <c r="M373" s="45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55"/>
      <c r="Y373" s="146"/>
      <c r="Z373" s="146"/>
      <c r="AA373" s="146"/>
      <c r="AB373" s="146"/>
      <c r="AC373" s="146"/>
      <c r="AD373" s="146"/>
      <c r="AE373" s="146"/>
      <c r="AF373" s="146"/>
      <c r="AG373" s="146"/>
      <c r="AH373" s="146"/>
      <c r="AI373" s="150"/>
      <c r="AL373" s="56"/>
      <c r="AN373" s="44"/>
      <c r="AR373" s="56"/>
      <c r="AS373" s="44"/>
      <c r="AW373" s="56"/>
      <c r="AX373" s="94"/>
      <c r="AY373" s="56"/>
      <c r="AZ373" s="56"/>
      <c r="BA373" s="56"/>
      <c r="BB373" s="56"/>
      <c r="BC373" s="94"/>
      <c r="BG373" s="56"/>
      <c r="BH373" s="44"/>
      <c r="DY373" s="43"/>
      <c r="DZ373" s="20"/>
      <c r="EA373" s="81"/>
      <c r="EB373" s="81"/>
      <c r="EC373" s="81"/>
      <c r="ED373" s="81"/>
      <c r="EE373" s="81"/>
      <c r="EF373" s="81"/>
      <c r="EG373" s="81"/>
      <c r="EH373" s="11"/>
      <c r="EI373" s="11"/>
      <c r="EJ373" s="20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</row>
    <row r="374" spans="1:180" s="13" customFormat="1" ht="13.2" x14ac:dyDescent="0.25">
      <c r="A374" s="2"/>
      <c r="B374" s="2"/>
      <c r="C374" s="9">
        <v>4</v>
      </c>
      <c r="D374" s="9">
        <v>8</v>
      </c>
      <c r="E374" s="9">
        <v>12</v>
      </c>
      <c r="F374" s="9">
        <v>24</v>
      </c>
      <c r="G374" s="9">
        <v>30</v>
      </c>
      <c r="H374" s="9">
        <v>54</v>
      </c>
      <c r="I374" s="45"/>
      <c r="J374" s="9">
        <v>54</v>
      </c>
      <c r="K374" s="45"/>
      <c r="L374" s="39">
        <v>45831</v>
      </c>
      <c r="M374" s="45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55"/>
      <c r="Y374" s="146"/>
      <c r="Z374" s="146"/>
      <c r="AA374" s="146"/>
      <c r="AB374" s="146"/>
      <c r="AC374" s="146"/>
      <c r="AD374" s="146"/>
      <c r="AE374" s="146"/>
      <c r="AF374" s="146"/>
      <c r="AG374" s="146"/>
      <c r="AH374" s="146"/>
      <c r="AI374" s="150"/>
      <c r="AL374" s="56"/>
      <c r="AN374" s="44"/>
      <c r="AR374" s="56"/>
      <c r="AS374" s="44"/>
      <c r="AW374" s="56"/>
      <c r="AX374" s="94"/>
      <c r="AY374" s="56"/>
      <c r="AZ374" s="56"/>
      <c r="BA374" s="56"/>
      <c r="BB374" s="56"/>
      <c r="BC374" s="94"/>
      <c r="BG374" s="56"/>
      <c r="BH374" s="44"/>
      <c r="DY374" s="43"/>
      <c r="DZ374" s="20"/>
      <c r="EA374" s="81"/>
      <c r="EB374" s="81"/>
      <c r="EC374" s="81"/>
      <c r="ED374" s="81"/>
      <c r="EE374" s="81"/>
      <c r="EF374" s="81"/>
      <c r="EG374" s="81"/>
      <c r="EH374" s="11"/>
      <c r="EI374" s="11"/>
      <c r="EJ374" s="20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</row>
    <row r="375" spans="1:180" s="13" customFormat="1" ht="13.2" x14ac:dyDescent="0.25">
      <c r="A375" s="2"/>
      <c r="B375" s="2"/>
      <c r="C375" s="9">
        <v>3</v>
      </c>
      <c r="D375" s="9">
        <v>13</v>
      </c>
      <c r="E375" s="9">
        <v>16</v>
      </c>
      <c r="F375" s="9">
        <v>25</v>
      </c>
      <c r="G375" s="9">
        <v>50</v>
      </c>
      <c r="H375" s="9">
        <v>84</v>
      </c>
      <c r="I375" s="45"/>
      <c r="J375" s="9">
        <v>84</v>
      </c>
      <c r="K375" s="45"/>
      <c r="L375" s="39">
        <v>45829</v>
      </c>
      <c r="M375" s="45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55"/>
      <c r="Y375" s="146"/>
      <c r="Z375" s="146"/>
      <c r="AA375" s="146"/>
      <c r="AB375" s="146"/>
      <c r="AC375" s="146"/>
      <c r="AD375" s="146"/>
      <c r="AE375" s="146"/>
      <c r="AF375" s="146"/>
      <c r="AG375" s="146"/>
      <c r="AH375" s="146"/>
      <c r="AI375" s="150"/>
      <c r="AL375" s="56"/>
      <c r="AN375" s="44"/>
      <c r="AR375" s="56"/>
      <c r="AS375" s="44"/>
      <c r="AW375" s="56"/>
      <c r="AX375" s="94"/>
      <c r="AY375" s="56"/>
      <c r="AZ375" s="56"/>
      <c r="BA375" s="56"/>
      <c r="BB375" s="56"/>
      <c r="BC375" s="94"/>
      <c r="BG375" s="56"/>
      <c r="BH375" s="44"/>
      <c r="DY375" s="43"/>
      <c r="DZ375" s="20"/>
      <c r="EA375" s="81"/>
      <c r="EB375" s="81"/>
      <c r="EC375" s="81"/>
      <c r="ED375" s="81"/>
      <c r="EE375" s="81"/>
      <c r="EF375" s="81"/>
      <c r="EG375" s="81"/>
      <c r="EH375" s="11"/>
      <c r="EI375" s="11"/>
      <c r="EJ375" s="20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</row>
    <row r="376" spans="1:180" s="13" customFormat="1" ht="13.2" x14ac:dyDescent="0.25">
      <c r="A376" s="2"/>
      <c r="B376" s="2"/>
      <c r="C376" s="9">
        <v>37</v>
      </c>
      <c r="D376" s="9">
        <v>39</v>
      </c>
      <c r="E376" s="9">
        <v>48</v>
      </c>
      <c r="F376" s="9">
        <v>54</v>
      </c>
      <c r="G376" s="9">
        <v>85</v>
      </c>
      <c r="H376" s="9">
        <v>90</v>
      </c>
      <c r="I376" s="45"/>
      <c r="J376" s="9">
        <v>90</v>
      </c>
      <c r="K376" s="45"/>
      <c r="L376" s="39">
        <v>45826</v>
      </c>
      <c r="M376" s="45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55"/>
      <c r="Y376" s="146"/>
      <c r="Z376" s="146"/>
      <c r="AA376" s="146"/>
      <c r="AB376" s="146"/>
      <c r="AC376" s="146"/>
      <c r="AD376" s="146"/>
      <c r="AE376" s="146"/>
      <c r="AF376" s="146"/>
      <c r="AG376" s="146"/>
      <c r="AH376" s="146"/>
      <c r="AI376" s="150"/>
      <c r="AL376" s="56"/>
      <c r="AN376" s="44"/>
      <c r="AR376" s="56"/>
      <c r="AS376" s="44"/>
      <c r="AW376" s="56"/>
      <c r="AX376" s="94"/>
      <c r="AY376" s="56"/>
      <c r="AZ376" s="56"/>
      <c r="BA376" s="56"/>
      <c r="BB376" s="56"/>
      <c r="BC376" s="94"/>
      <c r="BG376" s="56"/>
      <c r="BH376" s="44"/>
      <c r="DY376" s="43"/>
      <c r="DZ376" s="20"/>
      <c r="EA376" s="81"/>
      <c r="EB376" s="81"/>
      <c r="EC376" s="81"/>
      <c r="ED376" s="81"/>
      <c r="EE376" s="81"/>
      <c r="EF376" s="81"/>
      <c r="EG376" s="81"/>
      <c r="EH376" s="11"/>
      <c r="EI376" s="11"/>
      <c r="EJ376" s="20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</row>
    <row r="377" spans="1:180" s="13" customFormat="1" ht="13.2" x14ac:dyDescent="0.25">
      <c r="A377" s="2"/>
      <c r="B377" s="2"/>
      <c r="C377" s="9">
        <v>7</v>
      </c>
      <c r="D377" s="9">
        <v>12</v>
      </c>
      <c r="E377" s="9">
        <v>27</v>
      </c>
      <c r="F377" s="9">
        <v>53</v>
      </c>
      <c r="G377" s="9">
        <v>72</v>
      </c>
      <c r="H377" s="9">
        <v>77</v>
      </c>
      <c r="I377" s="45"/>
      <c r="J377" s="9">
        <v>77</v>
      </c>
      <c r="K377" s="45"/>
      <c r="L377" s="39">
        <v>45824</v>
      </c>
      <c r="M377" s="45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55"/>
      <c r="Y377" s="146"/>
      <c r="Z377" s="146"/>
      <c r="AA377" s="146"/>
      <c r="AB377" s="146"/>
      <c r="AC377" s="146"/>
      <c r="AD377" s="146"/>
      <c r="AE377" s="146"/>
      <c r="AF377" s="146"/>
      <c r="AG377" s="146"/>
      <c r="AH377" s="146"/>
      <c r="AI377" s="150"/>
      <c r="AL377" s="56"/>
      <c r="AN377" s="44"/>
      <c r="AR377" s="56"/>
      <c r="AS377" s="44"/>
      <c r="AW377" s="56"/>
      <c r="AX377" s="94"/>
      <c r="AY377" s="56"/>
      <c r="AZ377" s="56"/>
      <c r="BA377" s="56"/>
      <c r="BB377" s="56"/>
      <c r="BC377" s="94"/>
      <c r="BG377" s="56"/>
      <c r="BH377" s="44"/>
      <c r="DY377" s="43"/>
      <c r="DZ377" s="20"/>
      <c r="EA377" s="81"/>
      <c r="EB377" s="81"/>
      <c r="EC377" s="81"/>
      <c r="ED377" s="81"/>
      <c r="EE377" s="81"/>
      <c r="EF377" s="81"/>
      <c r="EG377" s="81"/>
      <c r="EH377" s="11"/>
      <c r="EI377" s="11"/>
      <c r="EJ377" s="20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</row>
    <row r="378" spans="1:180" s="13" customFormat="1" ht="13.2" x14ac:dyDescent="0.25">
      <c r="A378" s="2"/>
      <c r="B378" s="2"/>
      <c r="C378" s="9">
        <v>28</v>
      </c>
      <c r="D378" s="9">
        <v>35</v>
      </c>
      <c r="E378" s="9">
        <v>60</v>
      </c>
      <c r="F378" s="9">
        <v>76</v>
      </c>
      <c r="G378" s="9">
        <v>80</v>
      </c>
      <c r="H378" s="9">
        <v>88</v>
      </c>
      <c r="I378" s="45"/>
      <c r="J378" s="9">
        <v>88</v>
      </c>
      <c r="K378" s="45"/>
      <c r="L378" s="39">
        <v>45822</v>
      </c>
      <c r="M378" s="45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55"/>
      <c r="Y378" s="146"/>
      <c r="Z378" s="146"/>
      <c r="AA378" s="146"/>
      <c r="AB378" s="146"/>
      <c r="AC378" s="146"/>
      <c r="AD378" s="146"/>
      <c r="AE378" s="146"/>
      <c r="AF378" s="146"/>
      <c r="AG378" s="146"/>
      <c r="AH378" s="146"/>
      <c r="AI378" s="150"/>
      <c r="AL378" s="56"/>
      <c r="AN378" s="44"/>
      <c r="AR378" s="56"/>
      <c r="AS378" s="44"/>
      <c r="AW378" s="56"/>
      <c r="AX378" s="94"/>
      <c r="AY378" s="56"/>
      <c r="AZ378" s="56"/>
      <c r="BA378" s="56"/>
      <c r="BB378" s="56"/>
      <c r="BC378" s="94"/>
      <c r="BG378" s="56"/>
      <c r="BH378" s="44"/>
      <c r="DY378" s="43"/>
      <c r="DZ378" s="20"/>
      <c r="EA378" s="81"/>
      <c r="EB378" s="81"/>
      <c r="EC378" s="81"/>
      <c r="ED378" s="81"/>
      <c r="EE378" s="81"/>
      <c r="EF378" s="81"/>
      <c r="EG378" s="81"/>
      <c r="EH378" s="11"/>
      <c r="EI378" s="11"/>
      <c r="EJ378" s="20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</row>
    <row r="379" spans="1:180" s="13" customFormat="1" ht="13.2" x14ac:dyDescent="0.25">
      <c r="A379" s="2"/>
      <c r="B379" s="2"/>
      <c r="C379" s="9">
        <v>31</v>
      </c>
      <c r="D379" s="9">
        <v>42</v>
      </c>
      <c r="E379" s="9">
        <v>65</v>
      </c>
      <c r="F379" s="9">
        <v>76</v>
      </c>
      <c r="G379" s="9">
        <v>81</v>
      </c>
      <c r="H379" s="9">
        <v>87</v>
      </c>
      <c r="I379" s="45"/>
      <c r="J379" s="9">
        <v>87</v>
      </c>
      <c r="K379" s="45"/>
      <c r="L379" s="39">
        <v>45819</v>
      </c>
      <c r="M379" s="45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55"/>
      <c r="Y379" s="146"/>
      <c r="Z379" s="146"/>
      <c r="AA379" s="146"/>
      <c r="AB379" s="146"/>
      <c r="AC379" s="146"/>
      <c r="AD379" s="146"/>
      <c r="AE379" s="146"/>
      <c r="AF379" s="146"/>
      <c r="AG379" s="146"/>
      <c r="AH379" s="146"/>
      <c r="AI379" s="150"/>
      <c r="AL379" s="56"/>
      <c r="AN379" s="44"/>
      <c r="AR379" s="56"/>
      <c r="AS379" s="44"/>
      <c r="AW379" s="56"/>
      <c r="AX379" s="94"/>
      <c r="AY379" s="56"/>
      <c r="AZ379" s="56"/>
      <c r="BA379" s="56"/>
      <c r="BB379" s="56"/>
      <c r="BC379" s="94"/>
      <c r="BG379" s="56"/>
      <c r="BH379" s="44"/>
      <c r="DY379" s="43"/>
      <c r="DZ379" s="20"/>
      <c r="EA379" s="81"/>
      <c r="EB379" s="81"/>
      <c r="EC379" s="81"/>
      <c r="ED379" s="81"/>
      <c r="EE379" s="81"/>
      <c r="EF379" s="81"/>
      <c r="EG379" s="81"/>
      <c r="EH379" s="11"/>
      <c r="EI379" s="11"/>
      <c r="EJ379" s="20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</row>
    <row r="380" spans="1:180" s="13" customFormat="1" ht="13.2" x14ac:dyDescent="0.25">
      <c r="A380" s="2"/>
      <c r="B380" s="2"/>
      <c r="C380" s="9">
        <v>40</v>
      </c>
      <c r="D380" s="9">
        <v>54</v>
      </c>
      <c r="E380" s="9">
        <v>55</v>
      </c>
      <c r="F380" s="9">
        <v>60</v>
      </c>
      <c r="G380" s="9">
        <v>80</v>
      </c>
      <c r="H380" s="9">
        <v>84</v>
      </c>
      <c r="I380" s="45"/>
      <c r="J380" s="9">
        <v>84</v>
      </c>
      <c r="K380" s="45"/>
      <c r="L380" s="39">
        <v>45817</v>
      </c>
      <c r="M380" s="45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55"/>
      <c r="Y380" s="146"/>
      <c r="Z380" s="146"/>
      <c r="AA380" s="146"/>
      <c r="AB380" s="146"/>
      <c r="AC380" s="146"/>
      <c r="AD380" s="146"/>
      <c r="AE380" s="146"/>
      <c r="AF380" s="146"/>
      <c r="AG380" s="146"/>
      <c r="AH380" s="146"/>
      <c r="AI380" s="150"/>
      <c r="AL380" s="56"/>
      <c r="AN380" s="44"/>
      <c r="AR380" s="56"/>
      <c r="AS380" s="44"/>
      <c r="AW380" s="56"/>
      <c r="AX380" s="94"/>
      <c r="AY380" s="56"/>
      <c r="AZ380" s="56"/>
      <c r="BA380" s="56"/>
      <c r="BB380" s="56"/>
      <c r="BC380" s="94"/>
      <c r="BG380" s="56"/>
      <c r="BH380" s="44"/>
      <c r="DY380" s="43"/>
      <c r="DZ380" s="20"/>
      <c r="EA380" s="81"/>
      <c r="EB380" s="81"/>
      <c r="EC380" s="81"/>
      <c r="ED380" s="81"/>
      <c r="EE380" s="81"/>
      <c r="EF380" s="81"/>
      <c r="EG380" s="81"/>
      <c r="EH380" s="11"/>
      <c r="EI380" s="11"/>
      <c r="EJ380" s="20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</row>
    <row r="381" spans="1:180" s="13" customFormat="1" ht="13.2" x14ac:dyDescent="0.25">
      <c r="A381" s="2"/>
      <c r="B381" s="2"/>
      <c r="C381" s="9">
        <v>8</v>
      </c>
      <c r="D381" s="9">
        <v>12</v>
      </c>
      <c r="E381" s="9">
        <v>18</v>
      </c>
      <c r="F381" s="9">
        <v>22</v>
      </c>
      <c r="G381" s="9">
        <v>25</v>
      </c>
      <c r="H381" s="9">
        <v>32</v>
      </c>
      <c r="I381" s="45"/>
      <c r="J381" s="9">
        <v>32</v>
      </c>
      <c r="K381" s="45"/>
      <c r="L381" s="39">
        <v>45815</v>
      </c>
      <c r="M381" s="45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55"/>
      <c r="Y381" s="146"/>
      <c r="Z381" s="146"/>
      <c r="AA381" s="146"/>
      <c r="AB381" s="146"/>
      <c r="AC381" s="146"/>
      <c r="AD381" s="146"/>
      <c r="AE381" s="146"/>
      <c r="AF381" s="146"/>
      <c r="AG381" s="146"/>
      <c r="AH381" s="146"/>
      <c r="AI381" s="150"/>
      <c r="AL381" s="56"/>
      <c r="AN381" s="44"/>
      <c r="AR381" s="56"/>
      <c r="AS381" s="44"/>
      <c r="AW381" s="56"/>
      <c r="AX381" s="94"/>
      <c r="AY381" s="56"/>
      <c r="AZ381" s="56"/>
      <c r="BA381" s="56"/>
      <c r="BB381" s="56"/>
      <c r="BC381" s="94"/>
      <c r="BG381" s="56"/>
      <c r="BH381" s="44"/>
      <c r="DY381" s="43"/>
      <c r="DZ381" s="20"/>
      <c r="EA381" s="21"/>
      <c r="EB381" s="33"/>
      <c r="EC381" s="34"/>
      <c r="ED381" s="34"/>
      <c r="EE381" s="34"/>
      <c r="EF381" s="34"/>
      <c r="EG381" s="34"/>
      <c r="EH381" s="28"/>
      <c r="EI381" s="11"/>
      <c r="EJ381" s="20"/>
      <c r="EK381" s="81"/>
      <c r="EL381" s="11"/>
      <c r="EM381" s="161"/>
      <c r="EN381" s="11"/>
      <c r="EO381" s="11"/>
      <c r="EP381" s="11"/>
      <c r="EQ381" s="11"/>
      <c r="ER381" s="11"/>
      <c r="ES381" s="11"/>
      <c r="ET381" s="11"/>
      <c r="EU381" s="20"/>
      <c r="EV381" s="20"/>
      <c r="EW381" s="20"/>
      <c r="EX381" s="20"/>
      <c r="EY381" s="20"/>
      <c r="EZ381" s="20"/>
      <c r="FA381" s="20"/>
      <c r="FB381" s="20"/>
      <c r="FC381" s="20"/>
      <c r="FD381" s="20"/>
      <c r="FE381" s="20"/>
      <c r="FF381" s="20"/>
      <c r="FG381" s="20"/>
      <c r="FH381" s="20"/>
      <c r="FI381" s="20"/>
      <c r="FJ381" s="20"/>
      <c r="FK381" s="20"/>
      <c r="FL381" s="20"/>
      <c r="FM381" s="20"/>
      <c r="FN381" s="20"/>
      <c r="FO381" s="20"/>
      <c r="FP381" s="20"/>
      <c r="FQ381" s="20"/>
      <c r="FR381" s="20"/>
      <c r="FS381" s="20"/>
      <c r="FT381" s="20"/>
      <c r="FU381" s="20"/>
      <c r="FV381" s="20"/>
      <c r="FW381" s="20"/>
      <c r="FX381" s="20"/>
    </row>
    <row r="382" spans="1:180" s="13" customFormat="1" ht="13.2" x14ac:dyDescent="0.25">
      <c r="A382" s="2"/>
      <c r="B382" s="2"/>
      <c r="C382" s="9">
        <v>4</v>
      </c>
      <c r="D382" s="9">
        <v>35</v>
      </c>
      <c r="E382" s="9">
        <v>41</v>
      </c>
      <c r="F382" s="9">
        <v>46</v>
      </c>
      <c r="G382" s="9">
        <v>75</v>
      </c>
      <c r="H382" s="9">
        <v>80</v>
      </c>
      <c r="I382" s="45"/>
      <c r="J382" s="9">
        <v>80</v>
      </c>
      <c r="K382" s="45"/>
      <c r="L382" s="39">
        <v>45812</v>
      </c>
      <c r="M382" s="45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55"/>
      <c r="Y382" s="146"/>
      <c r="Z382" s="146"/>
      <c r="AA382" s="146"/>
      <c r="AB382" s="146"/>
      <c r="AC382" s="146"/>
      <c r="AD382" s="146"/>
      <c r="AE382" s="146"/>
      <c r="AF382" s="146"/>
      <c r="AG382" s="146"/>
      <c r="AH382" s="146"/>
      <c r="AI382" s="150"/>
      <c r="AL382" s="56"/>
      <c r="AN382" s="44"/>
      <c r="AR382" s="56"/>
      <c r="AS382" s="44"/>
      <c r="AW382" s="56"/>
      <c r="AX382" s="94"/>
      <c r="AY382" s="56"/>
      <c r="AZ382" s="56"/>
      <c r="BA382" s="56"/>
      <c r="BB382" s="56"/>
      <c r="BC382" s="94"/>
      <c r="BG382" s="56"/>
      <c r="BH382" s="44"/>
      <c r="DY382" s="43"/>
      <c r="DZ382" s="20"/>
      <c r="EA382" s="21"/>
      <c r="EB382" s="21"/>
      <c r="EC382" s="21"/>
      <c r="ED382" s="21"/>
      <c r="EE382" s="21"/>
      <c r="EF382" s="21"/>
      <c r="EG382" s="21"/>
      <c r="EH382" s="20"/>
      <c r="EI382" s="20"/>
      <c r="EJ382" s="20"/>
      <c r="EK382" s="20"/>
      <c r="EL382" s="20"/>
      <c r="EM382" s="20"/>
      <c r="EN382" s="20"/>
      <c r="EO382" s="20"/>
      <c r="EP382" s="20"/>
      <c r="EQ382" s="20"/>
      <c r="ER382" s="20"/>
      <c r="ES382" s="20"/>
      <c r="ET382" s="20"/>
      <c r="EU382" s="20"/>
      <c r="EV382" s="20"/>
      <c r="EW382" s="20"/>
      <c r="EX382" s="20"/>
      <c r="EY382" s="20"/>
      <c r="EZ382" s="20"/>
      <c r="FA382" s="20"/>
      <c r="FB382" s="20"/>
      <c r="FC382" s="20"/>
      <c r="FD382" s="20"/>
      <c r="FE382" s="20"/>
      <c r="FF382" s="20"/>
      <c r="FG382" s="20"/>
      <c r="FH382" s="20"/>
      <c r="FI382" s="20"/>
      <c r="FJ382" s="20"/>
      <c r="FK382" s="20"/>
      <c r="FL382" s="20"/>
      <c r="FM382" s="20"/>
      <c r="FN382" s="20"/>
      <c r="FO382" s="20"/>
      <c r="FP382" s="20"/>
      <c r="FQ382" s="20"/>
      <c r="FR382" s="20"/>
      <c r="FS382" s="20"/>
      <c r="FT382" s="20"/>
      <c r="FU382" s="20"/>
      <c r="FV382" s="20"/>
      <c r="FW382" s="20"/>
      <c r="FX382" s="20"/>
    </row>
    <row r="383" spans="1:180" s="13" customFormat="1" ht="13.2" x14ac:dyDescent="0.25">
      <c r="A383" s="2"/>
      <c r="B383" s="2"/>
      <c r="C383" s="9">
        <v>16</v>
      </c>
      <c r="D383" s="9">
        <v>29</v>
      </c>
      <c r="E383" s="9">
        <v>46</v>
      </c>
      <c r="F383" s="9">
        <v>61</v>
      </c>
      <c r="G383" s="9">
        <v>80</v>
      </c>
      <c r="H383" s="9">
        <v>87</v>
      </c>
      <c r="I383" s="45"/>
      <c r="J383" s="9">
        <v>87</v>
      </c>
      <c r="K383" s="45"/>
      <c r="L383" s="39">
        <v>45810</v>
      </c>
      <c r="M383" s="45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55"/>
      <c r="Y383" s="146"/>
      <c r="Z383" s="146"/>
      <c r="AA383" s="146"/>
      <c r="AB383" s="146"/>
      <c r="AC383" s="146"/>
      <c r="AD383" s="146"/>
      <c r="AE383" s="146"/>
      <c r="AF383" s="146"/>
      <c r="AG383" s="146"/>
      <c r="AH383" s="146"/>
      <c r="AI383" s="150"/>
      <c r="AL383" s="56"/>
      <c r="AN383" s="44"/>
      <c r="AR383" s="56"/>
      <c r="AS383" s="44"/>
      <c r="AW383" s="56"/>
      <c r="AX383" s="94"/>
      <c r="AY383" s="56"/>
      <c r="AZ383" s="56"/>
      <c r="BA383" s="56"/>
      <c r="BB383" s="56"/>
      <c r="BC383" s="94"/>
      <c r="BG383" s="56"/>
      <c r="BH383" s="44"/>
      <c r="DY383" s="43"/>
      <c r="DZ383" s="20"/>
      <c r="EA383" s="21"/>
      <c r="EB383" s="21"/>
      <c r="EC383" s="21"/>
      <c r="ED383" s="21"/>
      <c r="EE383" s="21"/>
      <c r="EF383" s="21"/>
      <c r="EG383" s="21"/>
      <c r="EH383" s="20"/>
      <c r="EI383" s="20"/>
      <c r="EJ383" s="20"/>
      <c r="EK383" s="20"/>
      <c r="EL383" s="20"/>
      <c r="EM383" s="20"/>
      <c r="EN383" s="20"/>
      <c r="EO383" s="20"/>
      <c r="EP383" s="20"/>
      <c r="EQ383" s="20"/>
      <c r="ER383" s="20"/>
      <c r="ES383" s="20"/>
      <c r="ET383" s="20"/>
      <c r="EU383" s="20"/>
      <c r="EV383" s="20"/>
      <c r="EW383" s="20"/>
      <c r="EX383" s="20"/>
      <c r="EY383" s="20"/>
      <c r="EZ383" s="20"/>
      <c r="FA383" s="20"/>
      <c r="FB383" s="20"/>
      <c r="FC383" s="20"/>
      <c r="FD383" s="20"/>
      <c r="FE383" s="20"/>
      <c r="FF383" s="20"/>
      <c r="FG383" s="20"/>
      <c r="FH383" s="20"/>
      <c r="FI383" s="20"/>
      <c r="FJ383" s="20"/>
      <c r="FK383" s="20"/>
      <c r="FL383" s="20"/>
      <c r="FM383" s="20"/>
      <c r="FN383" s="20"/>
      <c r="FO383" s="20"/>
      <c r="FP383" s="20"/>
      <c r="FQ383" s="20"/>
      <c r="FR383" s="20"/>
      <c r="FS383" s="20"/>
      <c r="FT383" s="20"/>
      <c r="FU383" s="20"/>
      <c r="FV383" s="20"/>
      <c r="FW383" s="20"/>
      <c r="FX383" s="20"/>
    </row>
    <row r="384" spans="1:180" s="13" customFormat="1" ht="13.2" x14ac:dyDescent="0.25">
      <c r="A384" s="2"/>
      <c r="B384" s="2"/>
      <c r="C384" s="9">
        <v>7</v>
      </c>
      <c r="D384" s="9">
        <v>14</v>
      </c>
      <c r="E384" s="9">
        <v>23</v>
      </c>
      <c r="F384" s="9">
        <v>53</v>
      </c>
      <c r="G384" s="9">
        <v>57</v>
      </c>
      <c r="H384" s="9">
        <v>87</v>
      </c>
      <c r="I384" s="45"/>
      <c r="J384" s="9">
        <v>87</v>
      </c>
      <c r="K384" s="45"/>
      <c r="L384" s="39">
        <v>45808</v>
      </c>
      <c r="M384" s="45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55"/>
      <c r="Y384" s="146"/>
      <c r="Z384" s="146"/>
      <c r="AA384" s="146"/>
      <c r="AB384" s="146"/>
      <c r="AC384" s="146"/>
      <c r="AD384" s="146"/>
      <c r="AE384" s="146"/>
      <c r="AF384" s="146"/>
      <c r="AG384" s="146"/>
      <c r="AH384" s="146"/>
      <c r="AI384" s="150"/>
      <c r="AL384" s="56"/>
      <c r="AN384" s="44"/>
      <c r="AR384" s="56"/>
      <c r="AS384" s="44"/>
      <c r="AW384" s="56"/>
      <c r="AX384" s="94"/>
      <c r="AY384" s="56"/>
      <c r="AZ384" s="56"/>
      <c r="BA384" s="56"/>
      <c r="BB384" s="56"/>
      <c r="BC384" s="94"/>
      <c r="BG384" s="56"/>
      <c r="BH384" s="44"/>
      <c r="DY384" s="43"/>
      <c r="DZ384" s="20"/>
      <c r="EA384" s="21"/>
      <c r="EB384" s="21"/>
      <c r="EC384" s="21"/>
      <c r="ED384" s="21"/>
      <c r="EE384" s="21"/>
      <c r="EF384" s="21"/>
      <c r="EG384" s="21"/>
      <c r="EH384" s="20"/>
      <c r="EI384" s="20"/>
      <c r="EJ384" s="20"/>
      <c r="EK384" s="20"/>
      <c r="EL384" s="20"/>
      <c r="EM384" s="20"/>
      <c r="EN384" s="20"/>
      <c r="EO384" s="20"/>
      <c r="EP384" s="20"/>
      <c r="EQ384" s="20"/>
      <c r="ER384" s="20"/>
      <c r="ES384" s="20"/>
      <c r="ET384" s="20"/>
      <c r="EU384" s="20"/>
      <c r="EV384" s="20"/>
      <c r="EW384" s="20"/>
      <c r="EX384" s="20"/>
      <c r="EY384" s="20"/>
      <c r="EZ384" s="20"/>
      <c r="FA384" s="20"/>
      <c r="FB384" s="20"/>
      <c r="FC384" s="20"/>
      <c r="FD384" s="20"/>
      <c r="FE384" s="20"/>
      <c r="FF384" s="20"/>
      <c r="FG384" s="20"/>
      <c r="FH384" s="20"/>
      <c r="FI384" s="20"/>
      <c r="FJ384" s="20"/>
      <c r="FK384" s="20"/>
      <c r="FL384" s="20"/>
      <c r="FM384" s="20"/>
      <c r="FN384" s="20"/>
      <c r="FO384" s="20"/>
      <c r="FP384" s="20"/>
      <c r="FQ384" s="20"/>
      <c r="FR384" s="20"/>
      <c r="FS384" s="20"/>
      <c r="FT384" s="20"/>
      <c r="FU384" s="20"/>
      <c r="FV384" s="20"/>
      <c r="FW384" s="20"/>
      <c r="FX384" s="20"/>
    </row>
    <row r="385" spans="1:180" s="13" customFormat="1" ht="13.2" x14ac:dyDescent="0.25">
      <c r="A385" s="2"/>
      <c r="B385" s="2"/>
      <c r="C385" s="9">
        <v>35</v>
      </c>
      <c r="D385" s="9">
        <v>37</v>
      </c>
      <c r="E385" s="9">
        <v>49</v>
      </c>
      <c r="F385" s="9">
        <v>60</v>
      </c>
      <c r="G385" s="9">
        <v>72</v>
      </c>
      <c r="H385" s="9">
        <v>89</v>
      </c>
      <c r="I385" s="45"/>
      <c r="J385" s="9">
        <v>89</v>
      </c>
      <c r="K385" s="45"/>
      <c r="L385" s="39">
        <v>45805</v>
      </c>
      <c r="M385" s="45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55"/>
      <c r="Y385" s="146"/>
      <c r="Z385" s="146"/>
      <c r="AA385" s="146"/>
      <c r="AB385" s="146"/>
      <c r="AC385" s="146"/>
      <c r="AD385" s="146"/>
      <c r="AE385" s="146"/>
      <c r="AF385" s="146"/>
      <c r="AG385" s="146"/>
      <c r="AH385" s="146"/>
      <c r="AI385" s="150"/>
      <c r="AL385" s="56"/>
      <c r="AN385" s="44"/>
      <c r="AR385" s="56"/>
      <c r="AS385" s="44"/>
      <c r="AW385" s="56"/>
      <c r="AX385" s="94"/>
      <c r="AY385" s="56"/>
      <c r="AZ385" s="56"/>
      <c r="BA385" s="56"/>
      <c r="BB385" s="56"/>
      <c r="BC385" s="94"/>
      <c r="BG385" s="56"/>
      <c r="BH385" s="44"/>
      <c r="DY385" s="43"/>
      <c r="DZ385" s="20"/>
      <c r="EA385" s="21"/>
      <c r="EB385" s="21"/>
      <c r="EC385" s="21"/>
      <c r="ED385" s="21"/>
      <c r="EE385" s="21"/>
      <c r="EF385" s="21"/>
      <c r="EG385" s="21"/>
      <c r="EH385" s="20"/>
      <c r="EI385" s="20"/>
      <c r="EJ385" s="20"/>
      <c r="EK385" s="20"/>
      <c r="EL385" s="20"/>
      <c r="EM385" s="20"/>
      <c r="EN385" s="20"/>
      <c r="EO385" s="20"/>
      <c r="EP385" s="20"/>
      <c r="EQ385" s="20"/>
      <c r="ER385" s="20"/>
      <c r="ES385" s="20"/>
      <c r="ET385" s="20"/>
      <c r="EU385" s="20"/>
      <c r="EV385" s="20"/>
      <c r="EW385" s="20"/>
      <c r="EX385" s="20"/>
      <c r="EY385" s="20"/>
      <c r="EZ385" s="20"/>
      <c r="FA385" s="20"/>
      <c r="FB385" s="20"/>
      <c r="FC385" s="20"/>
      <c r="FD385" s="20"/>
      <c r="FE385" s="20"/>
      <c r="FF385" s="20"/>
      <c r="FG385" s="20"/>
      <c r="FH385" s="20"/>
      <c r="FI385" s="20"/>
      <c r="FJ385" s="20"/>
      <c r="FK385" s="20"/>
      <c r="FL385" s="20"/>
      <c r="FM385" s="20"/>
      <c r="FN385" s="20"/>
      <c r="FO385" s="20"/>
      <c r="FP385" s="20"/>
      <c r="FQ385" s="20"/>
      <c r="FR385" s="20"/>
      <c r="FS385" s="20"/>
      <c r="FT385" s="20"/>
      <c r="FU385" s="20"/>
      <c r="FV385" s="20"/>
      <c r="FW385" s="20"/>
      <c r="FX385" s="20"/>
    </row>
    <row r="386" spans="1:180" s="13" customFormat="1" ht="13.2" x14ac:dyDescent="0.25">
      <c r="A386" s="2"/>
      <c r="B386" s="2"/>
      <c r="C386" s="9">
        <v>26</v>
      </c>
      <c r="D386" s="9">
        <v>30</v>
      </c>
      <c r="E386" s="9">
        <v>45</v>
      </c>
      <c r="F386" s="9">
        <v>70</v>
      </c>
      <c r="G386" s="9">
        <v>78</v>
      </c>
      <c r="H386" s="9">
        <v>88</v>
      </c>
      <c r="I386" s="45"/>
      <c r="J386" s="9">
        <v>88</v>
      </c>
      <c r="K386" s="45"/>
      <c r="L386" s="39">
        <v>45803</v>
      </c>
      <c r="M386" s="45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55"/>
      <c r="Y386" s="146"/>
      <c r="Z386" s="146"/>
      <c r="AA386" s="146"/>
      <c r="AB386" s="146"/>
      <c r="AC386" s="146"/>
      <c r="AD386" s="146"/>
      <c r="AE386" s="146"/>
      <c r="AF386" s="146"/>
      <c r="AG386" s="146"/>
      <c r="AH386" s="146"/>
      <c r="AI386" s="150"/>
      <c r="AL386" s="56"/>
      <c r="AN386" s="44"/>
      <c r="AR386" s="56"/>
      <c r="AS386" s="44"/>
      <c r="AW386" s="56"/>
      <c r="AX386" s="94"/>
      <c r="AY386" s="56"/>
      <c r="AZ386" s="56"/>
      <c r="BA386" s="56"/>
      <c r="BB386" s="56"/>
      <c r="BC386" s="94"/>
      <c r="BG386" s="56"/>
      <c r="BH386" s="44"/>
      <c r="DY386" s="43"/>
      <c r="DZ386" s="20"/>
      <c r="EA386" s="21"/>
      <c r="EB386" s="21"/>
      <c r="EC386" s="21"/>
      <c r="ED386" s="21"/>
      <c r="EE386" s="21"/>
      <c r="EF386" s="21"/>
      <c r="EG386" s="21"/>
      <c r="EH386" s="20"/>
      <c r="EI386" s="20"/>
      <c r="EJ386" s="20"/>
      <c r="EK386" s="20"/>
      <c r="EL386" s="20"/>
      <c r="EM386" s="20"/>
      <c r="EN386" s="20"/>
      <c r="EO386" s="20"/>
      <c r="EP386" s="20"/>
      <c r="EQ386" s="20"/>
      <c r="ER386" s="20"/>
      <c r="ES386" s="20"/>
      <c r="ET386" s="20"/>
      <c r="EU386" s="20"/>
      <c r="EV386" s="20"/>
      <c r="EW386" s="20"/>
      <c r="EX386" s="20"/>
      <c r="EY386" s="20"/>
      <c r="EZ386" s="20"/>
      <c r="FA386" s="20"/>
      <c r="FB386" s="20"/>
      <c r="FC386" s="20"/>
      <c r="FD386" s="20"/>
      <c r="FE386" s="20"/>
      <c r="FF386" s="20"/>
      <c r="FG386" s="20"/>
      <c r="FH386" s="20"/>
      <c r="FI386" s="20"/>
      <c r="FJ386" s="20"/>
      <c r="FK386" s="20"/>
      <c r="FL386" s="20"/>
      <c r="FM386" s="20"/>
      <c r="FN386" s="20"/>
      <c r="FO386" s="20"/>
      <c r="FP386" s="20"/>
      <c r="FQ386" s="20"/>
      <c r="FR386" s="20"/>
      <c r="FS386" s="20"/>
      <c r="FT386" s="20"/>
      <c r="FU386" s="20"/>
      <c r="FV386" s="20"/>
      <c r="FW386" s="20"/>
      <c r="FX386" s="20"/>
    </row>
    <row r="387" spans="1:180" s="13" customFormat="1" ht="13.2" x14ac:dyDescent="0.25">
      <c r="A387" s="2"/>
      <c r="B387" s="2"/>
      <c r="C387" s="9">
        <v>38</v>
      </c>
      <c r="D387" s="9">
        <v>40</v>
      </c>
      <c r="E387" s="9">
        <v>49</v>
      </c>
      <c r="F387" s="9">
        <v>55</v>
      </c>
      <c r="G387" s="9">
        <v>61</v>
      </c>
      <c r="H387" s="9">
        <v>77</v>
      </c>
      <c r="I387" s="45"/>
      <c r="J387" s="9">
        <v>77</v>
      </c>
      <c r="K387" s="45"/>
      <c r="L387" s="39">
        <v>45801</v>
      </c>
      <c r="M387" s="45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55"/>
      <c r="Y387" s="146"/>
      <c r="Z387" s="146"/>
      <c r="AA387" s="146"/>
      <c r="AB387" s="146"/>
      <c r="AC387" s="146"/>
      <c r="AD387" s="146"/>
      <c r="AE387" s="146"/>
      <c r="AF387" s="146"/>
      <c r="AG387" s="146"/>
      <c r="AH387" s="146"/>
      <c r="AI387" s="150"/>
      <c r="AL387" s="56"/>
      <c r="AN387" s="44"/>
      <c r="AR387" s="56"/>
      <c r="AS387" s="44"/>
      <c r="AW387" s="56"/>
      <c r="AX387" s="94"/>
      <c r="AY387" s="56"/>
      <c r="AZ387" s="56"/>
      <c r="BA387" s="56"/>
      <c r="BB387" s="56"/>
      <c r="BC387" s="94"/>
      <c r="BG387" s="56"/>
      <c r="BH387" s="44"/>
      <c r="DY387" s="43"/>
      <c r="DZ387" s="20"/>
      <c r="EA387" s="21"/>
      <c r="EB387" s="21"/>
      <c r="EC387" s="21"/>
      <c r="ED387" s="21"/>
      <c r="EE387" s="21"/>
      <c r="EF387" s="21"/>
      <c r="EG387" s="21"/>
      <c r="EH387" s="20"/>
      <c r="EI387" s="20"/>
      <c r="EJ387" s="20"/>
      <c r="EK387" s="20"/>
      <c r="EL387" s="20"/>
      <c r="EM387" s="20"/>
      <c r="EN387" s="20"/>
      <c r="EO387" s="20"/>
      <c r="EP387" s="20"/>
      <c r="EQ387" s="20"/>
      <c r="ER387" s="20"/>
      <c r="ES387" s="20"/>
      <c r="ET387" s="20"/>
      <c r="EU387" s="20"/>
      <c r="EV387" s="20"/>
      <c r="EW387" s="20"/>
      <c r="EX387" s="20"/>
      <c r="EY387" s="20"/>
      <c r="EZ387" s="20"/>
      <c r="FA387" s="20"/>
      <c r="FB387" s="20"/>
      <c r="FC387" s="20"/>
      <c r="FD387" s="20"/>
      <c r="FE387" s="20"/>
      <c r="FF387" s="20"/>
      <c r="FG387" s="20"/>
      <c r="FH387" s="20"/>
      <c r="FI387" s="20"/>
      <c r="FJ387" s="20"/>
      <c r="FK387" s="20"/>
      <c r="FL387" s="20"/>
      <c r="FM387" s="20"/>
      <c r="FN387" s="20"/>
      <c r="FO387" s="20"/>
      <c r="FP387" s="20"/>
      <c r="FQ387" s="20"/>
      <c r="FR387" s="20"/>
      <c r="FS387" s="20"/>
      <c r="FT387" s="20"/>
      <c r="FU387" s="20"/>
      <c r="FV387" s="20"/>
      <c r="FW387" s="20"/>
      <c r="FX387" s="20"/>
    </row>
    <row r="388" spans="1:180" s="13" customFormat="1" ht="13.2" x14ac:dyDescent="0.25">
      <c r="A388" s="2"/>
      <c r="B388" s="2"/>
      <c r="C388" s="9">
        <v>16</v>
      </c>
      <c r="D388" s="9">
        <v>34</v>
      </c>
      <c r="E388" s="9">
        <v>41</v>
      </c>
      <c r="F388" s="9">
        <v>63</v>
      </c>
      <c r="G388" s="9">
        <v>71</v>
      </c>
      <c r="H388" s="9">
        <v>82</v>
      </c>
      <c r="I388" s="45"/>
      <c r="J388" s="9">
        <v>82</v>
      </c>
      <c r="K388" s="45"/>
      <c r="L388" s="39">
        <v>45798</v>
      </c>
      <c r="M388" s="45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55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50"/>
      <c r="AL388" s="56"/>
      <c r="AN388" s="44"/>
      <c r="AR388" s="56"/>
      <c r="AS388" s="44"/>
      <c r="AW388" s="56"/>
      <c r="AX388" s="94"/>
      <c r="AY388" s="56"/>
      <c r="AZ388" s="56"/>
      <c r="BA388" s="56"/>
      <c r="BB388" s="56"/>
      <c r="BC388" s="94"/>
      <c r="BG388" s="56"/>
      <c r="BH388" s="44"/>
      <c r="DY388" s="43"/>
      <c r="DZ388" s="20"/>
      <c r="EA388" s="21"/>
      <c r="EB388" s="21"/>
      <c r="EC388" s="21"/>
      <c r="ED388" s="21"/>
      <c r="EE388" s="21"/>
      <c r="EF388" s="21"/>
      <c r="EG388" s="21"/>
      <c r="EH388" s="20"/>
      <c r="EI388" s="20"/>
      <c r="EJ388" s="20"/>
      <c r="EK388" s="20"/>
      <c r="EL388" s="20"/>
      <c r="EM388" s="20"/>
      <c r="EN388" s="20"/>
      <c r="EO388" s="20"/>
      <c r="EP388" s="20"/>
      <c r="EQ388" s="20"/>
      <c r="ER388" s="20"/>
      <c r="ES388" s="20"/>
      <c r="ET388" s="20"/>
      <c r="EU388" s="20"/>
      <c r="EV388" s="20"/>
      <c r="EW388" s="20"/>
      <c r="EX388" s="20"/>
      <c r="EY388" s="20"/>
      <c r="EZ388" s="20"/>
      <c r="FA388" s="20"/>
      <c r="FB388" s="20"/>
      <c r="FC388" s="20"/>
      <c r="FD388" s="20"/>
      <c r="FE388" s="20"/>
      <c r="FF388" s="20"/>
      <c r="FG388" s="20"/>
      <c r="FH388" s="20"/>
      <c r="FI388" s="20"/>
      <c r="FJ388" s="20"/>
      <c r="FK388" s="20"/>
      <c r="FL388" s="20"/>
      <c r="FM388" s="20"/>
      <c r="FN388" s="20"/>
      <c r="FO388" s="20"/>
      <c r="FP388" s="20"/>
      <c r="FQ388" s="20"/>
      <c r="FR388" s="20"/>
      <c r="FS388" s="20"/>
      <c r="FT388" s="20"/>
      <c r="FU388" s="20"/>
      <c r="FV388" s="20"/>
      <c r="FW388" s="20"/>
      <c r="FX388" s="20"/>
    </row>
    <row r="389" spans="1:180" s="13" customFormat="1" ht="13.2" x14ac:dyDescent="0.25">
      <c r="A389" s="2"/>
      <c r="B389" s="2"/>
      <c r="C389" s="9">
        <v>6</v>
      </c>
      <c r="D389" s="9">
        <v>22</v>
      </c>
      <c r="E389" s="9">
        <v>58</v>
      </c>
      <c r="F389" s="9">
        <v>84</v>
      </c>
      <c r="G389" s="9">
        <v>87</v>
      </c>
      <c r="H389" s="9">
        <v>90</v>
      </c>
      <c r="I389" s="45"/>
      <c r="J389" s="9">
        <v>90</v>
      </c>
      <c r="K389" s="45"/>
      <c r="L389" s="39">
        <v>45796</v>
      </c>
      <c r="M389" s="45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55"/>
      <c r="Y389" s="146"/>
      <c r="Z389" s="146"/>
      <c r="AA389" s="146"/>
      <c r="AB389" s="146"/>
      <c r="AC389" s="146"/>
      <c r="AD389" s="146"/>
      <c r="AE389" s="146"/>
      <c r="AF389" s="146"/>
      <c r="AG389" s="146"/>
      <c r="AH389" s="146"/>
      <c r="AI389" s="150"/>
      <c r="AL389" s="56"/>
      <c r="AN389" s="44"/>
      <c r="AR389" s="56"/>
      <c r="AS389" s="44"/>
      <c r="AW389" s="56"/>
      <c r="AX389" s="94"/>
      <c r="AY389" s="56"/>
      <c r="AZ389" s="56"/>
      <c r="BA389" s="56"/>
      <c r="BB389" s="56"/>
      <c r="BC389" s="94"/>
      <c r="BG389" s="56"/>
      <c r="BH389" s="44"/>
      <c r="DY389" s="43"/>
      <c r="DZ389" s="20"/>
      <c r="EA389" s="21"/>
      <c r="EB389" s="21"/>
      <c r="EC389" s="21"/>
      <c r="ED389" s="21"/>
      <c r="EE389" s="21"/>
      <c r="EF389" s="21"/>
      <c r="EG389" s="21"/>
      <c r="EH389" s="20"/>
      <c r="EI389" s="20"/>
      <c r="EJ389" s="20"/>
      <c r="EK389" s="20"/>
      <c r="EL389" s="20"/>
      <c r="EM389" s="20"/>
      <c r="EN389" s="20"/>
      <c r="EO389" s="20"/>
      <c r="EP389" s="20"/>
      <c r="EQ389" s="20"/>
      <c r="ER389" s="20"/>
      <c r="ES389" s="20"/>
      <c r="ET389" s="20"/>
      <c r="EU389" s="20"/>
      <c r="EV389" s="20"/>
      <c r="EW389" s="20"/>
      <c r="EX389" s="20"/>
      <c r="EY389" s="20"/>
      <c r="EZ389" s="20"/>
      <c r="FA389" s="20"/>
      <c r="FB389" s="20"/>
      <c r="FC389" s="20"/>
      <c r="FD389" s="20"/>
      <c r="FE389" s="20"/>
      <c r="FF389" s="20"/>
      <c r="FG389" s="20"/>
      <c r="FH389" s="20"/>
      <c r="FI389" s="20"/>
      <c r="FJ389" s="20"/>
      <c r="FK389" s="20"/>
      <c r="FL389" s="20"/>
      <c r="FM389" s="20"/>
      <c r="FN389" s="20"/>
      <c r="FO389" s="20"/>
      <c r="FP389" s="20"/>
      <c r="FQ389" s="20"/>
      <c r="FR389" s="20"/>
      <c r="FS389" s="20"/>
      <c r="FT389" s="20"/>
      <c r="FU389" s="20"/>
      <c r="FV389" s="20"/>
      <c r="FW389" s="20"/>
      <c r="FX389" s="20"/>
    </row>
    <row r="390" spans="1:180" s="13" customFormat="1" ht="13.2" x14ac:dyDescent="0.25">
      <c r="A390" s="2"/>
      <c r="B390" s="2"/>
      <c r="C390" s="9">
        <v>22</v>
      </c>
      <c r="D390" s="9">
        <v>25</v>
      </c>
      <c r="E390" s="9">
        <v>37</v>
      </c>
      <c r="F390" s="9">
        <v>40</v>
      </c>
      <c r="G390" s="9">
        <v>80</v>
      </c>
      <c r="H390" s="9">
        <v>88</v>
      </c>
      <c r="I390" s="45"/>
      <c r="J390" s="9">
        <v>88</v>
      </c>
      <c r="K390" s="45"/>
      <c r="L390" s="39">
        <v>45794</v>
      </c>
      <c r="M390" s="45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55"/>
      <c r="Y390" s="146"/>
      <c r="Z390" s="146"/>
      <c r="AA390" s="146"/>
      <c r="AB390" s="146"/>
      <c r="AC390" s="146"/>
      <c r="AD390" s="146"/>
      <c r="AE390" s="146"/>
      <c r="AF390" s="146"/>
      <c r="AG390" s="146"/>
      <c r="AH390" s="146"/>
      <c r="AI390" s="150"/>
      <c r="AL390" s="56"/>
      <c r="AN390" s="44"/>
      <c r="AR390" s="56"/>
      <c r="AS390" s="44"/>
      <c r="AW390" s="56"/>
      <c r="AX390" s="94"/>
      <c r="AY390" s="56"/>
      <c r="AZ390" s="56"/>
      <c r="BA390" s="56"/>
      <c r="BB390" s="56"/>
      <c r="BC390" s="94"/>
      <c r="BG390" s="56"/>
      <c r="BH390" s="44"/>
      <c r="DY390" s="43"/>
      <c r="DZ390" s="20"/>
      <c r="EA390" s="21"/>
      <c r="EB390" s="21"/>
      <c r="EC390" s="21"/>
      <c r="ED390" s="21"/>
      <c r="EE390" s="21"/>
      <c r="EF390" s="21"/>
      <c r="EG390" s="21"/>
      <c r="EH390" s="20"/>
      <c r="EI390" s="20"/>
      <c r="EJ390" s="20"/>
      <c r="EK390" s="20"/>
      <c r="EL390" s="20"/>
      <c r="EM390" s="20"/>
      <c r="EN390" s="20"/>
      <c r="EO390" s="20"/>
      <c r="EP390" s="20"/>
      <c r="EQ390" s="20"/>
      <c r="ER390" s="20"/>
      <c r="ES390" s="20"/>
      <c r="ET390" s="20"/>
      <c r="EU390" s="20"/>
      <c r="EV390" s="20"/>
      <c r="EW390" s="20"/>
      <c r="EX390" s="20"/>
      <c r="EY390" s="20"/>
      <c r="EZ390" s="20"/>
      <c r="FA390" s="20"/>
      <c r="FB390" s="20"/>
      <c r="FC390" s="20"/>
      <c r="FD390" s="20"/>
      <c r="FE390" s="20"/>
      <c r="FF390" s="20"/>
      <c r="FG390" s="20"/>
      <c r="FH390" s="20"/>
      <c r="FI390" s="20"/>
      <c r="FJ390" s="20"/>
      <c r="FK390" s="20"/>
      <c r="FL390" s="20"/>
      <c r="FM390" s="20"/>
      <c r="FN390" s="20"/>
      <c r="FO390" s="20"/>
      <c r="FP390" s="20"/>
      <c r="FQ390" s="20"/>
      <c r="FR390" s="20"/>
      <c r="FS390" s="20"/>
      <c r="FT390" s="20"/>
      <c r="FU390" s="20"/>
      <c r="FV390" s="20"/>
      <c r="FW390" s="20"/>
      <c r="FX390" s="20"/>
    </row>
    <row r="391" spans="1:180" s="13" customFormat="1" ht="13.2" x14ac:dyDescent="0.25">
      <c r="A391" s="2"/>
      <c r="B391" s="2"/>
      <c r="C391" s="9">
        <v>5</v>
      </c>
      <c r="D391" s="9">
        <v>11</v>
      </c>
      <c r="E391" s="9">
        <v>21</v>
      </c>
      <c r="F391" s="9">
        <v>29</v>
      </c>
      <c r="G391" s="9">
        <v>45</v>
      </c>
      <c r="H391" s="9">
        <v>72</v>
      </c>
      <c r="I391" s="45"/>
      <c r="J391" s="9">
        <v>72</v>
      </c>
      <c r="K391" s="45"/>
      <c r="L391" s="39">
        <v>45791</v>
      </c>
      <c r="M391" s="45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55"/>
      <c r="Y391" s="146"/>
      <c r="Z391" s="146"/>
      <c r="AA391" s="146"/>
      <c r="AB391" s="146"/>
      <c r="AC391" s="146"/>
      <c r="AD391" s="146"/>
      <c r="AE391" s="146"/>
      <c r="AF391" s="146"/>
      <c r="AG391" s="146"/>
      <c r="AH391" s="146"/>
      <c r="AI391" s="150"/>
      <c r="AL391" s="56"/>
      <c r="AN391" s="44"/>
      <c r="AR391" s="56"/>
      <c r="AS391" s="44"/>
      <c r="AW391" s="56"/>
      <c r="AX391" s="94"/>
      <c r="AY391" s="56"/>
      <c r="AZ391" s="56"/>
      <c r="BA391" s="56"/>
      <c r="BB391" s="56"/>
      <c r="BC391" s="94"/>
      <c r="BG391" s="56"/>
      <c r="BH391" s="44"/>
      <c r="DY391" s="43"/>
      <c r="DZ391" s="20"/>
      <c r="EA391" s="21"/>
      <c r="EB391" s="21"/>
      <c r="EC391" s="21"/>
      <c r="ED391" s="21"/>
      <c r="EE391" s="21"/>
      <c r="EF391" s="21"/>
      <c r="EG391" s="21"/>
      <c r="EH391" s="20"/>
      <c r="EI391" s="20"/>
      <c r="EJ391" s="20"/>
      <c r="EK391" s="20"/>
      <c r="EL391" s="20"/>
      <c r="EM391" s="20"/>
      <c r="EN391" s="20"/>
      <c r="EO391" s="20"/>
      <c r="EP391" s="20"/>
      <c r="EQ391" s="20"/>
      <c r="ER391" s="20"/>
      <c r="ES391" s="20"/>
      <c r="ET391" s="20"/>
      <c r="EU391" s="20"/>
      <c r="EV391" s="20"/>
      <c r="EW391" s="20"/>
      <c r="EX391" s="20"/>
      <c r="EY391" s="20"/>
      <c r="EZ391" s="20"/>
      <c r="FA391" s="20"/>
      <c r="FB391" s="20"/>
      <c r="FC391" s="20"/>
      <c r="FD391" s="20"/>
      <c r="FE391" s="20"/>
      <c r="FF391" s="20"/>
      <c r="FG391" s="20"/>
      <c r="FH391" s="20"/>
      <c r="FI391" s="20"/>
      <c r="FJ391" s="20"/>
      <c r="FK391" s="20"/>
      <c r="FL391" s="20"/>
      <c r="FM391" s="20"/>
      <c r="FN391" s="20"/>
      <c r="FO391" s="20"/>
      <c r="FP391" s="20"/>
      <c r="FQ391" s="20"/>
      <c r="FR391" s="20"/>
      <c r="FS391" s="20"/>
      <c r="FT391" s="20"/>
      <c r="FU391" s="20"/>
      <c r="FV391" s="20"/>
      <c r="FW391" s="20"/>
      <c r="FX391" s="20"/>
    </row>
    <row r="392" spans="1:180" s="13" customFormat="1" ht="13.2" x14ac:dyDescent="0.25">
      <c r="A392" s="2"/>
      <c r="B392" s="2"/>
      <c r="C392" s="9">
        <v>24</v>
      </c>
      <c r="D392" s="9">
        <v>30</v>
      </c>
      <c r="E392" s="9">
        <v>58</v>
      </c>
      <c r="F392" s="9">
        <v>79</v>
      </c>
      <c r="G392" s="9">
        <v>87</v>
      </c>
      <c r="H392" s="9">
        <v>90</v>
      </c>
      <c r="I392" s="45"/>
      <c r="J392" s="9">
        <v>90</v>
      </c>
      <c r="K392" s="45"/>
      <c r="L392" s="39">
        <v>45789</v>
      </c>
      <c r="M392" s="45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55"/>
      <c r="Y392" s="146"/>
      <c r="Z392" s="146"/>
      <c r="AA392" s="146"/>
      <c r="AB392" s="146"/>
      <c r="AC392" s="146"/>
      <c r="AD392" s="146"/>
      <c r="AE392" s="146"/>
      <c r="AF392" s="146"/>
      <c r="AG392" s="146"/>
      <c r="AH392" s="146"/>
      <c r="AI392" s="150"/>
      <c r="AL392" s="56"/>
      <c r="AN392" s="44"/>
      <c r="AR392" s="56"/>
      <c r="AS392" s="44"/>
      <c r="AW392" s="56"/>
      <c r="AX392" s="94"/>
      <c r="AY392" s="56"/>
      <c r="AZ392" s="56"/>
      <c r="BA392" s="56"/>
      <c r="BB392" s="56"/>
      <c r="BC392" s="94"/>
      <c r="BG392" s="56"/>
      <c r="BH392" s="44"/>
      <c r="DY392" s="43"/>
      <c r="DZ392" s="20"/>
      <c r="EA392" s="21"/>
      <c r="EB392" s="21"/>
      <c r="EC392" s="21"/>
      <c r="ED392" s="21"/>
      <c r="EE392" s="21"/>
      <c r="EF392" s="21"/>
      <c r="EG392" s="21"/>
      <c r="EH392" s="20"/>
      <c r="EI392" s="11"/>
      <c r="EJ392" s="20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20"/>
      <c r="EV392" s="20"/>
      <c r="EW392" s="20"/>
      <c r="EX392" s="20"/>
      <c r="EY392" s="20"/>
      <c r="EZ392" s="20"/>
      <c r="FA392" s="20"/>
      <c r="FB392" s="20"/>
      <c r="FC392" s="20"/>
      <c r="FD392" s="20"/>
      <c r="FE392" s="20"/>
      <c r="FF392" s="20"/>
      <c r="FG392" s="20"/>
      <c r="FH392" s="20"/>
      <c r="FI392" s="20"/>
      <c r="FJ392" s="20"/>
      <c r="FK392" s="20"/>
      <c r="FL392" s="20"/>
      <c r="FM392" s="20"/>
      <c r="FN392" s="20"/>
      <c r="FO392" s="20"/>
      <c r="FP392" s="20"/>
      <c r="FQ392" s="20"/>
      <c r="FR392" s="20"/>
      <c r="FS392" s="20"/>
      <c r="FT392" s="20"/>
      <c r="FU392" s="20"/>
      <c r="FV392" s="20"/>
      <c r="FW392" s="20"/>
      <c r="FX392" s="20"/>
    </row>
    <row r="393" spans="1:180" s="13" customFormat="1" ht="13.2" x14ac:dyDescent="0.25">
      <c r="A393" s="2"/>
      <c r="B393" s="2"/>
      <c r="C393" s="9">
        <v>6</v>
      </c>
      <c r="D393" s="9">
        <v>29</v>
      </c>
      <c r="E393" s="9">
        <v>32</v>
      </c>
      <c r="F393" s="9">
        <v>60</v>
      </c>
      <c r="G393" s="9">
        <v>62</v>
      </c>
      <c r="H393" s="9">
        <v>72</v>
      </c>
      <c r="I393" s="45"/>
      <c r="J393" s="9">
        <v>72</v>
      </c>
      <c r="K393" s="45"/>
      <c r="L393" s="39">
        <v>45787</v>
      </c>
      <c r="M393" s="45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55"/>
      <c r="Y393" s="146"/>
      <c r="Z393" s="146"/>
      <c r="AA393" s="146"/>
      <c r="AB393" s="146"/>
      <c r="AC393" s="146"/>
      <c r="AD393" s="146"/>
      <c r="AE393" s="146"/>
      <c r="AF393" s="146"/>
      <c r="AG393" s="146"/>
      <c r="AH393" s="146"/>
      <c r="AI393" s="150"/>
      <c r="AL393" s="56"/>
      <c r="AN393" s="44"/>
      <c r="AR393" s="56"/>
      <c r="AS393" s="44"/>
      <c r="AW393" s="56"/>
      <c r="AX393" s="94"/>
      <c r="AY393" s="56"/>
      <c r="AZ393" s="56"/>
      <c r="BA393" s="56"/>
      <c r="BB393" s="56"/>
      <c r="BC393" s="94"/>
      <c r="BG393" s="56"/>
      <c r="BH393" s="44"/>
      <c r="DY393" s="43"/>
      <c r="DZ393" s="20"/>
      <c r="EA393" s="21"/>
      <c r="EB393" s="21"/>
      <c r="EC393" s="21"/>
      <c r="ED393" s="21"/>
      <c r="EE393" s="21"/>
      <c r="EF393" s="21"/>
      <c r="EG393" s="21"/>
      <c r="EH393" s="20"/>
      <c r="EI393" s="20"/>
      <c r="EJ393" s="20"/>
      <c r="EK393" s="20"/>
      <c r="EL393" s="20"/>
      <c r="EM393" s="20"/>
      <c r="EN393" s="20"/>
      <c r="EO393" s="20"/>
      <c r="EP393" s="20"/>
      <c r="EQ393" s="20"/>
      <c r="ER393" s="20"/>
      <c r="ES393" s="20"/>
      <c r="ET393" s="20"/>
      <c r="EU393" s="20"/>
      <c r="EV393" s="20"/>
      <c r="EW393" s="20"/>
      <c r="EX393" s="20"/>
      <c r="EY393" s="20"/>
      <c r="EZ393" s="20"/>
      <c r="FA393" s="20"/>
      <c r="FB393" s="20"/>
      <c r="FC393" s="20"/>
      <c r="FD393" s="20"/>
      <c r="FE393" s="20"/>
      <c r="FF393" s="20"/>
      <c r="FG393" s="20"/>
      <c r="FH393" s="20"/>
      <c r="FI393" s="20"/>
      <c r="FJ393" s="20"/>
      <c r="FK393" s="20"/>
      <c r="FL393" s="20"/>
      <c r="FM393" s="20"/>
      <c r="FN393" s="20"/>
      <c r="FO393" s="20"/>
      <c r="FP393" s="20"/>
      <c r="FQ393" s="20"/>
      <c r="FR393" s="20"/>
      <c r="FS393" s="20"/>
      <c r="FT393" s="20"/>
      <c r="FU393" s="20"/>
      <c r="FV393" s="20"/>
      <c r="FW393" s="20"/>
      <c r="FX393" s="20"/>
    </row>
    <row r="394" spans="1:180" s="13" customFormat="1" ht="13.2" x14ac:dyDescent="0.25">
      <c r="A394" s="2"/>
      <c r="B394" s="2"/>
      <c r="C394" s="9">
        <v>10</v>
      </c>
      <c r="D394" s="9">
        <v>27</v>
      </c>
      <c r="E394" s="9">
        <v>33</v>
      </c>
      <c r="F394" s="9">
        <v>49</v>
      </c>
      <c r="G394" s="9">
        <v>50</v>
      </c>
      <c r="H394" s="9">
        <v>61</v>
      </c>
      <c r="I394" s="45"/>
      <c r="J394" s="9">
        <v>61</v>
      </c>
      <c r="K394" s="45"/>
      <c r="L394" s="39">
        <v>45784</v>
      </c>
      <c r="M394" s="45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55"/>
      <c r="Y394" s="146"/>
      <c r="Z394" s="146"/>
      <c r="AA394" s="146"/>
      <c r="AB394" s="146"/>
      <c r="AC394" s="146"/>
      <c r="AD394" s="146"/>
      <c r="AE394" s="146"/>
      <c r="AF394" s="146"/>
      <c r="AG394" s="146"/>
      <c r="AH394" s="146"/>
      <c r="AI394" s="150"/>
      <c r="AL394" s="56"/>
      <c r="AN394" s="44"/>
      <c r="AR394" s="56"/>
      <c r="AS394" s="44"/>
      <c r="AW394" s="56"/>
      <c r="AX394" s="94"/>
      <c r="AY394" s="56"/>
      <c r="AZ394" s="56"/>
      <c r="BA394" s="56"/>
      <c r="BB394" s="56"/>
      <c r="BC394" s="94"/>
      <c r="BG394" s="56"/>
      <c r="BH394" s="44"/>
      <c r="DY394" s="43"/>
      <c r="DZ394" s="20"/>
      <c r="EA394" s="21"/>
      <c r="EB394" s="21"/>
      <c r="EC394" s="21"/>
      <c r="ED394" s="21"/>
      <c r="EE394" s="21"/>
      <c r="EF394" s="21"/>
      <c r="EG394" s="21"/>
      <c r="EH394" s="20"/>
      <c r="EI394" s="20"/>
      <c r="EJ394" s="20"/>
      <c r="EK394" s="20"/>
      <c r="EL394" s="20"/>
      <c r="EM394" s="20"/>
      <c r="EN394" s="20"/>
      <c r="EO394" s="20"/>
      <c r="EP394" s="20"/>
      <c r="EQ394" s="20"/>
      <c r="ER394" s="20"/>
      <c r="ES394" s="20"/>
      <c r="ET394" s="20"/>
      <c r="EU394" s="20"/>
      <c r="EV394" s="20"/>
      <c r="EW394" s="20"/>
      <c r="EX394" s="20"/>
      <c r="EY394" s="20"/>
      <c r="EZ394" s="20"/>
      <c r="FA394" s="20"/>
      <c r="FB394" s="20"/>
      <c r="FC394" s="20"/>
      <c r="FD394" s="20"/>
      <c r="FE394" s="20"/>
      <c r="FF394" s="20"/>
      <c r="FG394" s="20"/>
      <c r="FH394" s="20"/>
      <c r="FI394" s="20"/>
      <c r="FJ394" s="20"/>
      <c r="FK394" s="20"/>
      <c r="FL394" s="20"/>
      <c r="FM394" s="20"/>
      <c r="FN394" s="20"/>
      <c r="FO394" s="20"/>
      <c r="FP394" s="20"/>
      <c r="FQ394" s="20"/>
      <c r="FR394" s="20"/>
      <c r="FS394" s="20"/>
      <c r="FT394" s="20"/>
      <c r="FU394" s="20"/>
      <c r="FV394" s="20"/>
      <c r="FW394" s="20"/>
      <c r="FX394" s="20"/>
    </row>
    <row r="395" spans="1:180" s="13" customFormat="1" ht="13.2" x14ac:dyDescent="0.25">
      <c r="A395" s="2"/>
      <c r="B395" s="2"/>
      <c r="C395" s="9">
        <v>8</v>
      </c>
      <c r="D395" s="9">
        <v>25</v>
      </c>
      <c r="E395" s="9">
        <v>33</v>
      </c>
      <c r="F395" s="9">
        <v>42</v>
      </c>
      <c r="G395" s="9">
        <v>50</v>
      </c>
      <c r="H395" s="9">
        <v>51</v>
      </c>
      <c r="I395" s="43"/>
      <c r="J395" s="9">
        <v>51</v>
      </c>
      <c r="K395" s="43"/>
      <c r="L395" s="39">
        <v>45782</v>
      </c>
      <c r="M395" s="43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55"/>
      <c r="Y395" s="146"/>
      <c r="Z395" s="146"/>
      <c r="AA395" s="146"/>
      <c r="AB395" s="146"/>
      <c r="AC395" s="146"/>
      <c r="AD395" s="146"/>
      <c r="AE395" s="146"/>
      <c r="AF395" s="146"/>
      <c r="AG395" s="146"/>
      <c r="AH395" s="146"/>
      <c r="AI395" s="148"/>
      <c r="AL395" s="56"/>
      <c r="AN395" s="44"/>
      <c r="AR395" s="56"/>
      <c r="AS395" s="44"/>
      <c r="AW395" s="56"/>
      <c r="AX395" s="94"/>
      <c r="AY395" s="56"/>
      <c r="AZ395" s="56"/>
      <c r="BA395" s="56"/>
      <c r="BB395" s="56"/>
      <c r="BC395" s="94"/>
      <c r="BG395" s="56"/>
      <c r="BH395" s="44"/>
      <c r="DY395" s="43"/>
      <c r="DZ395"/>
      <c r="EA395" s="19"/>
      <c r="EB395" s="19"/>
      <c r="EC395" s="9"/>
      <c r="ED395" s="9"/>
      <c r="EE395" s="9"/>
      <c r="EF395" s="9"/>
      <c r="EG395" s="9"/>
    </row>
    <row r="396" spans="1:180" s="13" customFormat="1" ht="13.2" x14ac:dyDescent="0.25">
      <c r="A396" s="2"/>
      <c r="B396" s="2"/>
      <c r="C396" s="9">
        <v>5</v>
      </c>
      <c r="D396" s="9">
        <v>11</v>
      </c>
      <c r="E396" s="9">
        <v>15</v>
      </c>
      <c r="F396" s="9">
        <v>30</v>
      </c>
      <c r="G396" s="9">
        <v>66</v>
      </c>
      <c r="H396" s="9">
        <v>86</v>
      </c>
      <c r="I396" s="43"/>
      <c r="J396" s="9">
        <v>86</v>
      </c>
      <c r="K396" s="43"/>
      <c r="L396" s="39">
        <v>45780</v>
      </c>
      <c r="M396" s="43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55"/>
      <c r="Y396" s="146"/>
      <c r="Z396" s="146"/>
      <c r="AA396" s="146"/>
      <c r="AB396" s="146"/>
      <c r="AC396" s="146"/>
      <c r="AD396" s="146"/>
      <c r="AE396" s="146"/>
      <c r="AF396" s="146"/>
      <c r="AG396" s="146"/>
      <c r="AH396" s="146"/>
      <c r="AI396" s="148"/>
      <c r="AL396" s="56"/>
      <c r="AN396" s="44"/>
      <c r="AR396" s="56"/>
      <c r="AS396" s="44"/>
      <c r="AW396" s="56"/>
      <c r="AX396" s="94"/>
      <c r="AY396" s="56"/>
      <c r="AZ396" s="56"/>
      <c r="BA396" s="56"/>
      <c r="BB396" s="56"/>
      <c r="BC396" s="94"/>
      <c r="BG396" s="56"/>
      <c r="BH396" s="44"/>
      <c r="DY396" s="43"/>
      <c r="DZ396"/>
      <c r="EA396" s="19"/>
      <c r="EB396" s="19"/>
      <c r="EC396" s="9"/>
      <c r="ED396" s="9"/>
      <c r="EE396" s="9"/>
      <c r="EF396" s="9"/>
      <c r="EG396" s="9"/>
    </row>
    <row r="397" spans="1:180" s="13" customFormat="1" ht="13.2" x14ac:dyDescent="0.25">
      <c r="A397" s="2"/>
      <c r="B397" s="2"/>
      <c r="C397" s="9">
        <v>1</v>
      </c>
      <c r="D397" s="9">
        <v>10</v>
      </c>
      <c r="E397" s="9">
        <v>56</v>
      </c>
      <c r="F397" s="9">
        <v>66</v>
      </c>
      <c r="G397" s="9">
        <v>67</v>
      </c>
      <c r="H397" s="9">
        <v>78</v>
      </c>
      <c r="I397" s="43"/>
      <c r="J397" s="9">
        <v>78</v>
      </c>
      <c r="K397" s="43"/>
      <c r="L397" s="39">
        <v>45777</v>
      </c>
      <c r="M397" s="43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55"/>
      <c r="Y397" s="146"/>
      <c r="Z397" s="146"/>
      <c r="AA397" s="146"/>
      <c r="AB397" s="146"/>
      <c r="AC397" s="146"/>
      <c r="AD397" s="146"/>
      <c r="AE397" s="146"/>
      <c r="AF397" s="146"/>
      <c r="AG397" s="146"/>
      <c r="AH397" s="146"/>
      <c r="AI397" s="148"/>
      <c r="AL397" s="56"/>
      <c r="AN397" s="44"/>
      <c r="AR397" s="56"/>
      <c r="AS397" s="44"/>
      <c r="AW397" s="56"/>
      <c r="AX397" s="94"/>
      <c r="AY397" s="56"/>
      <c r="AZ397" s="56"/>
      <c r="BA397" s="56"/>
      <c r="BB397" s="56"/>
      <c r="BC397" s="94"/>
      <c r="BG397" s="56"/>
      <c r="BH397" s="44"/>
      <c r="DY397" s="43"/>
      <c r="DZ397"/>
      <c r="EA397" s="19"/>
      <c r="EB397" s="19"/>
      <c r="EC397" s="9"/>
      <c r="ED397" s="9"/>
      <c r="EE397" s="9"/>
      <c r="EF397" s="9"/>
      <c r="EG397" s="9"/>
    </row>
    <row r="398" spans="1:180" s="13" customFormat="1" ht="13.2" x14ac:dyDescent="0.25">
      <c r="A398" s="2"/>
      <c r="B398" s="2"/>
      <c r="C398" s="9">
        <v>15</v>
      </c>
      <c r="D398" s="9">
        <v>34</v>
      </c>
      <c r="E398" s="9">
        <v>53</v>
      </c>
      <c r="F398" s="9">
        <v>63</v>
      </c>
      <c r="G398" s="9">
        <v>64</v>
      </c>
      <c r="H398" s="9">
        <v>88</v>
      </c>
      <c r="I398" s="43"/>
      <c r="J398" s="9">
        <v>88</v>
      </c>
      <c r="K398" s="43"/>
      <c r="L398" s="39">
        <v>45775</v>
      </c>
      <c r="M398" s="43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55"/>
      <c r="Y398" s="146"/>
      <c r="Z398" s="146"/>
      <c r="AA398" s="146"/>
      <c r="AB398" s="146"/>
      <c r="AC398" s="146"/>
      <c r="AD398" s="146"/>
      <c r="AE398" s="146"/>
      <c r="AF398" s="146"/>
      <c r="AG398" s="146"/>
      <c r="AH398" s="146"/>
      <c r="AI398" s="148"/>
      <c r="AL398" s="56"/>
      <c r="AN398" s="44"/>
      <c r="AR398" s="56"/>
      <c r="AS398" s="44"/>
      <c r="AW398" s="56"/>
      <c r="AX398" s="94"/>
      <c r="AY398" s="56"/>
      <c r="AZ398" s="56"/>
      <c r="BA398" s="56"/>
      <c r="BB398" s="56"/>
      <c r="BC398" s="94"/>
      <c r="BG398" s="56"/>
      <c r="BH398" s="44"/>
      <c r="DY398" s="43"/>
      <c r="DZ398"/>
      <c r="EA398" s="19"/>
      <c r="EB398" s="19"/>
      <c r="EC398" s="9"/>
      <c r="ED398" s="9"/>
      <c r="EE398" s="9"/>
      <c r="EF398" s="9"/>
      <c r="EG398" s="9"/>
    </row>
    <row r="399" spans="1:180" s="13" customFormat="1" ht="13.2" x14ac:dyDescent="0.25">
      <c r="A399" s="2"/>
      <c r="B399" s="2"/>
      <c r="C399" s="9">
        <v>1</v>
      </c>
      <c r="D399" s="9">
        <v>5</v>
      </c>
      <c r="E399" s="9">
        <v>18</v>
      </c>
      <c r="F399" s="9">
        <v>33</v>
      </c>
      <c r="G399" s="9">
        <v>47</v>
      </c>
      <c r="H399" s="9">
        <v>56</v>
      </c>
      <c r="I399" s="43"/>
      <c r="J399" s="9">
        <v>56</v>
      </c>
      <c r="K399" s="43"/>
      <c r="L399" s="39">
        <v>45773</v>
      </c>
      <c r="M399" s="43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55"/>
      <c r="Y399" s="146"/>
      <c r="Z399" s="146"/>
      <c r="AA399" s="146"/>
      <c r="AB399" s="146"/>
      <c r="AC399" s="146"/>
      <c r="AD399" s="146"/>
      <c r="AE399" s="146"/>
      <c r="AF399" s="146"/>
      <c r="AG399" s="146"/>
      <c r="AH399" s="146"/>
      <c r="AI399" s="148"/>
      <c r="AL399" s="56"/>
      <c r="AN399" s="44"/>
      <c r="AR399" s="56"/>
      <c r="AS399" s="44"/>
      <c r="AW399" s="56"/>
      <c r="AX399" s="94"/>
      <c r="AY399" s="56"/>
      <c r="AZ399" s="56"/>
      <c r="BA399" s="56"/>
      <c r="BB399" s="56"/>
      <c r="BC399" s="94"/>
      <c r="BG399" s="56"/>
      <c r="BH399" s="44"/>
      <c r="DY399" s="43"/>
      <c r="DZ399"/>
      <c r="EA399" s="19"/>
      <c r="EB399" s="19"/>
      <c r="EC399" s="9"/>
      <c r="ED399" s="9"/>
      <c r="EE399" s="9"/>
      <c r="EF399" s="9"/>
      <c r="EG399" s="9"/>
    </row>
    <row r="400" spans="1:180" s="13" customFormat="1" ht="13.2" x14ac:dyDescent="0.25">
      <c r="A400" s="2"/>
      <c r="B400" s="2"/>
      <c r="C400" s="9">
        <v>33</v>
      </c>
      <c r="D400" s="9">
        <v>41</v>
      </c>
      <c r="E400" s="9">
        <v>66</v>
      </c>
      <c r="F400" s="9">
        <v>74</v>
      </c>
      <c r="G400" s="9">
        <v>80</v>
      </c>
      <c r="H400" s="9">
        <v>81</v>
      </c>
      <c r="I400" s="43"/>
      <c r="J400" s="9">
        <v>81</v>
      </c>
      <c r="K400" s="43"/>
      <c r="L400" s="39">
        <v>45770</v>
      </c>
      <c r="M400" s="43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55"/>
      <c r="Y400" s="146"/>
      <c r="Z400" s="146"/>
      <c r="AA400" s="146"/>
      <c r="AB400" s="146"/>
      <c r="AC400" s="146"/>
      <c r="AD400" s="146"/>
      <c r="AE400" s="146"/>
      <c r="AF400" s="146"/>
      <c r="AG400" s="146"/>
      <c r="AH400" s="146"/>
      <c r="AI400" s="148"/>
      <c r="AL400" s="56"/>
      <c r="AN400" s="44"/>
      <c r="AR400" s="56"/>
      <c r="AS400" s="44"/>
      <c r="AW400" s="56"/>
      <c r="AX400" s="94"/>
      <c r="AY400" s="56"/>
      <c r="AZ400" s="56"/>
      <c r="BA400" s="56"/>
      <c r="BB400" s="56"/>
      <c r="BC400" s="94"/>
      <c r="BG400" s="56"/>
      <c r="BH400" s="44"/>
      <c r="DY400" s="43"/>
      <c r="DZ400"/>
      <c r="EA400" s="19"/>
      <c r="EB400" s="19"/>
      <c r="EC400" s="9"/>
      <c r="ED400" s="9"/>
      <c r="EE400" s="9"/>
      <c r="EF400" s="9"/>
      <c r="EG400" s="9"/>
    </row>
    <row r="401" spans="1:183" s="13" customFormat="1" ht="13.2" x14ac:dyDescent="0.25">
      <c r="A401" s="2"/>
      <c r="B401" s="2"/>
      <c r="C401" s="9">
        <v>13</v>
      </c>
      <c r="D401" s="9">
        <v>31</v>
      </c>
      <c r="E401" s="9">
        <v>37</v>
      </c>
      <c r="F401" s="9">
        <v>42</v>
      </c>
      <c r="G401" s="9">
        <v>77</v>
      </c>
      <c r="H401" s="9">
        <v>80</v>
      </c>
      <c r="I401" s="43"/>
      <c r="J401" s="9">
        <v>80</v>
      </c>
      <c r="K401" s="43"/>
      <c r="L401" s="39">
        <v>45768</v>
      </c>
      <c r="M401" s="43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55"/>
      <c r="Y401" s="146"/>
      <c r="Z401" s="146"/>
      <c r="AA401" s="146"/>
      <c r="AB401" s="146"/>
      <c r="AC401" s="146"/>
      <c r="AD401" s="146"/>
      <c r="AE401" s="146"/>
      <c r="AF401" s="146"/>
      <c r="AG401" s="146"/>
      <c r="AH401" s="146"/>
      <c r="AI401" s="148"/>
      <c r="AL401" s="56"/>
      <c r="AN401" s="44"/>
      <c r="AR401" s="56"/>
      <c r="AS401" s="44"/>
      <c r="AW401" s="56"/>
      <c r="AX401" s="94"/>
      <c r="AY401" s="56"/>
      <c r="AZ401" s="56"/>
      <c r="BA401" s="56"/>
      <c r="BB401" s="56"/>
      <c r="BC401" s="94"/>
      <c r="BG401" s="56"/>
      <c r="BH401" s="44"/>
      <c r="DY401" s="43"/>
      <c r="DZ401"/>
      <c r="EA401" s="19"/>
      <c r="EB401" s="19"/>
      <c r="EC401" s="9"/>
      <c r="ED401" s="9"/>
      <c r="EE401" s="9"/>
      <c r="EF401" s="9"/>
      <c r="EG401" s="9"/>
    </row>
    <row r="402" spans="1:183" s="13" customFormat="1" ht="13.2" x14ac:dyDescent="0.25">
      <c r="A402" s="2"/>
      <c r="B402" s="2"/>
      <c r="C402" s="9">
        <v>31</v>
      </c>
      <c r="D402" s="9">
        <v>43</v>
      </c>
      <c r="E402" s="9">
        <v>52</v>
      </c>
      <c r="F402" s="9">
        <v>53</v>
      </c>
      <c r="G402" s="9">
        <v>63</v>
      </c>
      <c r="H402" s="9">
        <v>66</v>
      </c>
      <c r="I402" s="43"/>
      <c r="J402" s="9">
        <v>66</v>
      </c>
      <c r="K402" s="43"/>
      <c r="L402" s="39">
        <v>45766</v>
      </c>
      <c r="M402" s="43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55"/>
      <c r="Y402" s="146"/>
      <c r="Z402" s="146"/>
      <c r="AA402" s="146"/>
      <c r="AB402" s="146"/>
      <c r="AC402" s="146"/>
      <c r="AD402" s="146"/>
      <c r="AE402" s="146"/>
      <c r="AF402" s="146"/>
      <c r="AG402" s="146"/>
      <c r="AH402" s="146"/>
      <c r="AI402" s="148"/>
      <c r="AL402" s="56"/>
      <c r="AN402" s="44"/>
      <c r="AR402" s="56"/>
      <c r="AS402" s="44"/>
      <c r="AW402" s="56"/>
      <c r="AX402" s="94"/>
      <c r="AY402" s="56"/>
      <c r="AZ402" s="56"/>
      <c r="BA402" s="56"/>
      <c r="BB402" s="56"/>
      <c r="BC402" s="94"/>
      <c r="BG402" s="56"/>
      <c r="BH402" s="44"/>
      <c r="DY402" s="43"/>
      <c r="DZ402"/>
      <c r="EA402" s="19"/>
      <c r="EB402" s="19"/>
      <c r="EC402" s="9"/>
      <c r="ED402" s="9"/>
      <c r="EE402" s="9"/>
      <c r="EF402" s="9"/>
      <c r="EG402" s="9"/>
    </row>
    <row r="403" spans="1:183" s="13" customFormat="1" ht="13.2" x14ac:dyDescent="0.25">
      <c r="A403" s="2"/>
      <c r="B403" s="2"/>
      <c r="C403" s="9">
        <v>11</v>
      </c>
      <c r="D403" s="9">
        <v>18</v>
      </c>
      <c r="E403" s="9">
        <v>40</v>
      </c>
      <c r="F403" s="9">
        <v>43</v>
      </c>
      <c r="G403" s="9">
        <v>59</v>
      </c>
      <c r="H403" s="9">
        <v>88</v>
      </c>
      <c r="I403" s="43"/>
      <c r="J403" s="9">
        <v>88</v>
      </c>
      <c r="K403" s="43"/>
      <c r="L403" s="39">
        <v>45763</v>
      </c>
      <c r="M403" s="43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55"/>
      <c r="Y403" s="146"/>
      <c r="Z403" s="146"/>
      <c r="AA403" s="146"/>
      <c r="AB403" s="146"/>
      <c r="AC403" s="146"/>
      <c r="AD403" s="146"/>
      <c r="AE403" s="146"/>
      <c r="AF403" s="146"/>
      <c r="AG403" s="146"/>
      <c r="AH403" s="146"/>
      <c r="AI403" s="148"/>
      <c r="AL403" s="56"/>
      <c r="AN403" s="44"/>
      <c r="AR403" s="56"/>
      <c r="AS403" s="44"/>
      <c r="AW403" s="56"/>
      <c r="AX403" s="94"/>
      <c r="AY403" s="56"/>
      <c r="AZ403" s="56"/>
      <c r="BA403" s="56"/>
      <c r="BB403" s="56"/>
      <c r="BC403" s="94"/>
      <c r="BG403" s="56"/>
      <c r="BH403" s="44"/>
      <c r="DY403" s="43"/>
      <c r="DZ403"/>
      <c r="EA403" s="19"/>
      <c r="EB403" s="19"/>
      <c r="EC403" s="9"/>
      <c r="ED403" s="9"/>
      <c r="EE403" s="9"/>
      <c r="EF403" s="9"/>
      <c r="EG403" s="9"/>
    </row>
    <row r="404" spans="1:183" s="13" customFormat="1" ht="13.2" x14ac:dyDescent="0.25">
      <c r="A404" s="2"/>
      <c r="B404" s="2"/>
      <c r="C404" s="9">
        <v>38</v>
      </c>
      <c r="D404" s="9">
        <v>40</v>
      </c>
      <c r="E404" s="9">
        <v>41</v>
      </c>
      <c r="F404" s="9">
        <v>45</v>
      </c>
      <c r="G404" s="9">
        <v>49</v>
      </c>
      <c r="H404" s="9">
        <v>69</v>
      </c>
      <c r="I404" s="43"/>
      <c r="J404" s="9">
        <v>69</v>
      </c>
      <c r="K404" s="43"/>
      <c r="L404" s="39">
        <v>45761</v>
      </c>
      <c r="M404" s="43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55"/>
      <c r="Y404" s="146"/>
      <c r="Z404" s="146"/>
      <c r="AA404" s="146"/>
      <c r="AB404" s="146"/>
      <c r="AC404" s="146"/>
      <c r="AD404" s="146"/>
      <c r="AE404" s="146"/>
      <c r="AF404" s="146"/>
      <c r="AG404" s="146"/>
      <c r="AH404" s="146"/>
      <c r="AI404" s="148"/>
      <c r="AL404" s="56"/>
      <c r="AN404" s="44"/>
      <c r="AR404" s="56"/>
      <c r="AS404" s="44"/>
      <c r="AW404" s="56"/>
      <c r="AX404" s="94"/>
      <c r="AY404" s="56"/>
      <c r="AZ404" s="56"/>
      <c r="BA404" s="56"/>
      <c r="BB404" s="56"/>
      <c r="BC404" s="94"/>
      <c r="BG404" s="56"/>
      <c r="BH404" s="44"/>
      <c r="DY404" s="43"/>
      <c r="DZ404"/>
      <c r="EA404" s="19"/>
      <c r="EB404" s="19"/>
      <c r="EC404" s="9"/>
      <c r="ED404" s="9"/>
      <c r="EE404" s="9"/>
      <c r="EF404" s="9"/>
      <c r="EG404" s="9"/>
    </row>
    <row r="405" spans="1:183" s="13" customFormat="1" ht="13.2" x14ac:dyDescent="0.25">
      <c r="A405" s="2"/>
      <c r="B405" s="2"/>
      <c r="C405" s="9">
        <v>11</v>
      </c>
      <c r="D405" s="9">
        <v>26</v>
      </c>
      <c r="E405" s="9">
        <v>35</v>
      </c>
      <c r="F405" s="9">
        <v>48</v>
      </c>
      <c r="G405" s="9">
        <v>53</v>
      </c>
      <c r="H405" s="9">
        <v>57</v>
      </c>
      <c r="I405" s="43"/>
      <c r="J405" s="9">
        <v>57</v>
      </c>
      <c r="K405" s="43"/>
      <c r="L405" s="39">
        <v>45759</v>
      </c>
      <c r="M405" s="43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55"/>
      <c r="Y405" s="146"/>
      <c r="Z405" s="146"/>
      <c r="AA405" s="146"/>
      <c r="AB405" s="146"/>
      <c r="AC405" s="146"/>
      <c r="AD405" s="146"/>
      <c r="AE405" s="146"/>
      <c r="AF405" s="146"/>
      <c r="AG405" s="146"/>
      <c r="AH405" s="146"/>
      <c r="AI405" s="148"/>
      <c r="AJ405" s="1"/>
      <c r="AK405" s="1"/>
      <c r="AL405" s="54"/>
      <c r="AM405" s="1"/>
      <c r="AN405" s="43"/>
      <c r="AO405" s="1"/>
      <c r="AP405" s="1"/>
      <c r="AR405" s="54"/>
      <c r="AS405" s="43"/>
      <c r="AT405" s="1"/>
      <c r="AU405" s="1"/>
      <c r="AV405" s="1"/>
      <c r="AW405" s="54"/>
      <c r="AX405" s="57"/>
      <c r="AY405" s="54"/>
      <c r="AZ405" s="54"/>
      <c r="BA405" s="54"/>
      <c r="BB405" s="54"/>
      <c r="BC405" s="57"/>
      <c r="BD405" s="1"/>
      <c r="BE405" s="1"/>
      <c r="BF405" s="1"/>
      <c r="BG405" s="54"/>
      <c r="BH405" s="43"/>
      <c r="BI405"/>
      <c r="BK405" s="1"/>
      <c r="BL405"/>
      <c r="BM405"/>
      <c r="BN405"/>
      <c r="BO405" s="52"/>
      <c r="BP405" s="52"/>
      <c r="BQ405" s="52"/>
      <c r="BR405" s="52"/>
      <c r="BS405" s="52"/>
      <c r="BT405" s="52"/>
      <c r="BU405" s="52"/>
      <c r="BV405" s="52"/>
      <c r="BW405" s="52"/>
      <c r="BX405" s="52"/>
      <c r="BY405" s="52"/>
      <c r="BZ405" s="52"/>
      <c r="CA405" s="52"/>
      <c r="CB405" s="52"/>
      <c r="CC405" s="52"/>
      <c r="CD405" s="52"/>
      <c r="CE405" s="52"/>
      <c r="CF405" s="52"/>
      <c r="CG405" s="52"/>
      <c r="CH405" s="52"/>
      <c r="CI405" s="52"/>
      <c r="CJ405" s="52"/>
      <c r="CK405" s="52"/>
      <c r="CL405" s="52"/>
      <c r="CM405" s="52"/>
      <c r="CN405" s="52"/>
      <c r="CO405" s="52"/>
      <c r="CP405" s="52"/>
      <c r="CQ405" s="52"/>
      <c r="CR405" s="52"/>
      <c r="CS405" s="52"/>
      <c r="CT405" s="52"/>
      <c r="CU405" s="52"/>
      <c r="CV405" s="52"/>
      <c r="CW405" s="52"/>
      <c r="CX405" s="52"/>
      <c r="CY405" s="52"/>
      <c r="CZ405" s="52"/>
      <c r="DA405" s="52"/>
      <c r="DB405" s="52"/>
      <c r="DC405" s="52"/>
      <c r="DD405" s="52"/>
      <c r="DE405" s="52"/>
      <c r="DF405" s="52"/>
      <c r="DG405" s="52"/>
      <c r="DH405" s="52"/>
      <c r="DI405" s="52"/>
      <c r="DJ405" s="52"/>
      <c r="DK405" s="52"/>
      <c r="DL405" s="52"/>
      <c r="DM405" s="52"/>
      <c r="DN405" s="52"/>
      <c r="DO405" s="52"/>
      <c r="DP405" s="52"/>
      <c r="DQ405" s="52"/>
      <c r="DR405" s="52"/>
      <c r="DS405" s="52"/>
      <c r="DT405" s="52"/>
      <c r="DU405" s="52"/>
      <c r="DV405" s="52"/>
      <c r="DW405" s="52"/>
      <c r="DX405" s="52"/>
      <c r="DY405" s="43"/>
      <c r="DZ405"/>
      <c r="EA405" s="19"/>
      <c r="EB405" s="19"/>
      <c r="EC405" s="9"/>
      <c r="ED405" s="9"/>
      <c r="EE405" s="9"/>
      <c r="EF405" s="9"/>
      <c r="EG405" s="9"/>
    </row>
    <row r="406" spans="1:183" s="13" customFormat="1" ht="13.2" x14ac:dyDescent="0.25">
      <c r="A406" s="2"/>
      <c r="B406" s="2"/>
      <c r="C406" s="9">
        <v>12</v>
      </c>
      <c r="D406" s="9">
        <v>14</v>
      </c>
      <c r="E406" s="9">
        <v>15</v>
      </c>
      <c r="F406" s="9">
        <v>66</v>
      </c>
      <c r="G406" s="9">
        <v>76</v>
      </c>
      <c r="H406" s="9">
        <v>77</v>
      </c>
      <c r="I406" s="43"/>
      <c r="J406" s="9">
        <v>77</v>
      </c>
      <c r="K406" s="43"/>
      <c r="L406" s="39">
        <v>45756</v>
      </c>
      <c r="M406" s="43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55"/>
      <c r="Y406" s="146"/>
      <c r="Z406" s="146"/>
      <c r="AA406" s="146"/>
      <c r="AB406" s="146"/>
      <c r="AC406" s="146"/>
      <c r="AD406" s="146"/>
      <c r="AE406" s="146"/>
      <c r="AF406" s="146"/>
      <c r="AG406" s="146"/>
      <c r="AH406" s="146"/>
      <c r="AI406" s="148"/>
      <c r="AJ406" s="1"/>
      <c r="AK406" s="1"/>
      <c r="AL406" s="54"/>
      <c r="AM406" s="1"/>
      <c r="AN406" s="43"/>
      <c r="AO406" s="1"/>
      <c r="AP406" s="1"/>
      <c r="AR406" s="54"/>
      <c r="AS406" s="43"/>
      <c r="AT406" s="1"/>
      <c r="AU406" s="1"/>
      <c r="AV406" s="1"/>
      <c r="AW406" s="54"/>
      <c r="AX406" s="57"/>
      <c r="AY406" s="54"/>
      <c r="AZ406" s="54"/>
      <c r="BA406" s="54"/>
      <c r="BB406" s="54"/>
      <c r="BC406" s="57"/>
      <c r="BD406" s="1"/>
      <c r="BE406" s="1"/>
      <c r="BF406" s="1"/>
      <c r="BG406" s="54"/>
      <c r="BH406" s="43"/>
      <c r="BI406"/>
      <c r="BK406" s="1"/>
      <c r="BL406"/>
      <c r="BM406"/>
      <c r="BN406"/>
      <c r="BO406" s="52"/>
      <c r="BP406" s="52"/>
      <c r="BQ406" s="52"/>
      <c r="BR406" s="52"/>
      <c r="BS406" s="52"/>
      <c r="BT406" s="52"/>
      <c r="BU406" s="52"/>
      <c r="BV406" s="52"/>
      <c r="BW406" s="52"/>
      <c r="BX406" s="52"/>
      <c r="BY406" s="52"/>
      <c r="BZ406" s="52"/>
      <c r="CA406" s="52"/>
      <c r="CB406" s="52"/>
      <c r="CC406" s="52"/>
      <c r="CD406" s="52"/>
      <c r="CE406" s="52"/>
      <c r="CF406" s="52"/>
      <c r="CG406" s="52"/>
      <c r="CH406" s="52"/>
      <c r="CI406" s="52"/>
      <c r="CJ406" s="52"/>
      <c r="CK406" s="52"/>
      <c r="CL406" s="52"/>
      <c r="CM406" s="52"/>
      <c r="CN406" s="52"/>
      <c r="CO406" s="52"/>
      <c r="CP406" s="52"/>
      <c r="CQ406" s="52"/>
      <c r="CR406" s="52"/>
      <c r="CS406" s="52"/>
      <c r="CT406" s="52"/>
      <c r="CU406" s="52"/>
      <c r="CV406" s="52"/>
      <c r="CW406" s="52"/>
      <c r="CX406" s="52"/>
      <c r="CY406" s="52"/>
      <c r="CZ406" s="52"/>
      <c r="DA406" s="52"/>
      <c r="DB406" s="52"/>
      <c r="DC406" s="52"/>
      <c r="DD406" s="52"/>
      <c r="DE406" s="52"/>
      <c r="DF406" s="52"/>
      <c r="DG406" s="52"/>
      <c r="DH406" s="52"/>
      <c r="DI406" s="52"/>
      <c r="DJ406" s="52"/>
      <c r="DK406" s="52"/>
      <c r="DL406" s="52"/>
      <c r="DM406" s="52"/>
      <c r="DN406" s="52"/>
      <c r="DO406" s="52"/>
      <c r="DP406" s="52"/>
      <c r="DQ406" s="52"/>
      <c r="DR406" s="52"/>
      <c r="DS406" s="52"/>
      <c r="DT406" s="52"/>
      <c r="DU406" s="52"/>
      <c r="DV406" s="52"/>
      <c r="DW406" s="52"/>
      <c r="DX406" s="52"/>
      <c r="DY406" s="43"/>
      <c r="DZ406"/>
      <c r="EA406" s="19"/>
      <c r="EB406" s="19"/>
      <c r="EC406" s="9"/>
      <c r="ED406" s="9"/>
      <c r="EE406" s="9"/>
      <c r="EF406" s="9"/>
      <c r="EG406" s="9"/>
    </row>
    <row r="407" spans="1:183" s="13" customFormat="1" ht="13.2" x14ac:dyDescent="0.25">
      <c r="A407" s="2"/>
      <c r="B407" s="2"/>
      <c r="C407" s="9">
        <v>1</v>
      </c>
      <c r="D407" s="9">
        <v>9</v>
      </c>
      <c r="E407" s="9">
        <v>13</v>
      </c>
      <c r="F407" s="9">
        <v>20</v>
      </c>
      <c r="G407" s="9">
        <v>66</v>
      </c>
      <c r="H407" s="9">
        <v>79</v>
      </c>
      <c r="I407" s="43"/>
      <c r="J407" s="9">
        <v>79</v>
      </c>
      <c r="K407" s="43"/>
      <c r="L407" s="39">
        <v>45754</v>
      </c>
      <c r="M407" s="43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55"/>
      <c r="Y407" s="146"/>
      <c r="Z407" s="146"/>
      <c r="AA407" s="146"/>
      <c r="AB407" s="146"/>
      <c r="AC407" s="146"/>
      <c r="AD407" s="146"/>
      <c r="AE407" s="146"/>
      <c r="AF407" s="146"/>
      <c r="AG407" s="146"/>
      <c r="AH407" s="146"/>
      <c r="AI407" s="148"/>
      <c r="AJ407" s="1"/>
      <c r="AK407" s="1"/>
      <c r="AL407" s="54"/>
      <c r="AM407" s="1"/>
      <c r="AN407" s="43"/>
      <c r="AO407" s="1"/>
      <c r="AP407" s="1"/>
      <c r="AR407" s="54"/>
      <c r="AS407" s="43"/>
      <c r="AT407" s="1"/>
      <c r="AU407" s="1"/>
      <c r="AV407" s="1"/>
      <c r="AW407" s="54"/>
      <c r="AX407" s="57"/>
      <c r="AY407" s="54"/>
      <c r="AZ407" s="54"/>
      <c r="BA407" s="54"/>
      <c r="BB407" s="54"/>
      <c r="BC407" s="57"/>
      <c r="BD407" s="1"/>
      <c r="BE407" s="1"/>
      <c r="BF407" s="1"/>
      <c r="BG407" s="54"/>
      <c r="BH407" s="43"/>
      <c r="BI407"/>
      <c r="BK407" s="1"/>
      <c r="BL407"/>
      <c r="BM407"/>
      <c r="BN407"/>
      <c r="BO407" s="52"/>
      <c r="BP407" s="52"/>
      <c r="BQ407" s="52"/>
      <c r="BR407" s="52"/>
      <c r="BS407" s="52"/>
      <c r="BT407" s="52"/>
      <c r="BU407" s="52"/>
      <c r="BV407" s="52"/>
      <c r="BW407" s="52"/>
      <c r="BX407" s="52"/>
      <c r="BY407" s="52"/>
      <c r="BZ407" s="52"/>
      <c r="CA407" s="52"/>
      <c r="CB407" s="52"/>
      <c r="CC407" s="52"/>
      <c r="CD407" s="52"/>
      <c r="CE407" s="52"/>
      <c r="CF407" s="52"/>
      <c r="CG407" s="52"/>
      <c r="CH407" s="52"/>
      <c r="CI407" s="52"/>
      <c r="CJ407" s="52"/>
      <c r="CK407" s="52"/>
      <c r="CL407" s="52"/>
      <c r="CM407" s="52"/>
      <c r="CN407" s="52"/>
      <c r="CO407" s="52"/>
      <c r="CP407" s="52"/>
      <c r="CQ407" s="52"/>
      <c r="CR407" s="52"/>
      <c r="CS407" s="52"/>
      <c r="CT407" s="52"/>
      <c r="CU407" s="52"/>
      <c r="CV407" s="52"/>
      <c r="CW407" s="52"/>
      <c r="CX407" s="52"/>
      <c r="CY407" s="52"/>
      <c r="CZ407" s="52"/>
      <c r="DA407" s="52"/>
      <c r="DB407" s="52"/>
      <c r="DC407" s="52"/>
      <c r="DD407" s="52"/>
      <c r="DE407" s="52"/>
      <c r="DF407" s="52"/>
      <c r="DG407" s="52"/>
      <c r="DH407" s="52"/>
      <c r="DI407" s="52"/>
      <c r="DJ407" s="52"/>
      <c r="DK407" s="52"/>
      <c r="DL407" s="52"/>
      <c r="DM407" s="52"/>
      <c r="DN407" s="52"/>
      <c r="DO407" s="52"/>
      <c r="DP407" s="52"/>
      <c r="DQ407" s="52"/>
      <c r="DR407" s="52"/>
      <c r="DS407" s="52"/>
      <c r="DT407" s="52"/>
      <c r="DU407" s="52"/>
      <c r="DV407" s="52"/>
      <c r="DW407" s="52"/>
      <c r="DX407" s="52"/>
      <c r="DY407" s="43"/>
      <c r="DZ407"/>
      <c r="EA407" s="19"/>
      <c r="EB407" s="19"/>
      <c r="EC407" s="9"/>
      <c r="ED407" s="9"/>
      <c r="EE407" s="9"/>
      <c r="EF407" s="9"/>
      <c r="EG407" s="9"/>
    </row>
    <row r="408" spans="1:183" s="13" customFormat="1" ht="13.2" x14ac:dyDescent="0.25">
      <c r="A408" s="2"/>
      <c r="B408" s="2"/>
      <c r="C408" s="9">
        <v>8</v>
      </c>
      <c r="D408" s="9">
        <v>38</v>
      </c>
      <c r="E408" s="9">
        <v>53</v>
      </c>
      <c r="F408" s="9">
        <v>75</v>
      </c>
      <c r="G408" s="9">
        <v>84</v>
      </c>
      <c r="H408" s="9">
        <v>90</v>
      </c>
      <c r="I408" s="43"/>
      <c r="J408" s="9">
        <v>90</v>
      </c>
      <c r="K408" s="43"/>
      <c r="L408" s="39">
        <v>45752</v>
      </c>
      <c r="M408" s="43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55"/>
      <c r="Y408" s="146"/>
      <c r="Z408" s="146"/>
      <c r="AA408" s="146"/>
      <c r="AB408" s="146"/>
      <c r="AC408" s="146"/>
      <c r="AD408" s="146"/>
      <c r="AE408" s="146"/>
      <c r="AF408" s="146"/>
      <c r="AG408" s="146"/>
      <c r="AH408" s="146"/>
      <c r="AI408" s="148"/>
      <c r="AJ408" s="1"/>
      <c r="AK408" s="1"/>
      <c r="AL408" s="54"/>
      <c r="AM408" s="1"/>
      <c r="AN408" s="43"/>
      <c r="AO408" s="1"/>
      <c r="AP408" s="1"/>
      <c r="AR408" s="54"/>
      <c r="AS408" s="43"/>
      <c r="AT408" s="1"/>
      <c r="AU408" s="1"/>
      <c r="AV408" s="1"/>
      <c r="AW408" s="54"/>
      <c r="AX408" s="57"/>
      <c r="AY408" s="54"/>
      <c r="AZ408" s="54"/>
      <c r="BA408" s="54"/>
      <c r="BB408" s="54"/>
      <c r="BC408" s="57"/>
      <c r="BD408" s="1"/>
      <c r="BE408" s="1"/>
      <c r="BF408" s="1"/>
      <c r="BG408" s="54"/>
      <c r="BH408" s="43"/>
      <c r="BI408"/>
      <c r="BK408" s="1"/>
      <c r="BL408"/>
      <c r="BM408"/>
      <c r="BN408"/>
      <c r="BO408" s="52"/>
      <c r="BP408" s="52"/>
      <c r="BQ408" s="52"/>
      <c r="BR408" s="52"/>
      <c r="BS408" s="52"/>
      <c r="BT408" s="52"/>
      <c r="BU408" s="52"/>
      <c r="BV408" s="52"/>
      <c r="BW408" s="52"/>
      <c r="BX408" s="52"/>
      <c r="BY408" s="52"/>
      <c r="BZ408" s="52"/>
      <c r="CA408" s="52"/>
      <c r="CB408" s="52"/>
      <c r="CC408" s="52"/>
      <c r="CD408" s="52"/>
      <c r="CE408" s="52"/>
      <c r="CF408" s="52"/>
      <c r="CG408" s="52"/>
      <c r="CH408" s="52"/>
      <c r="CI408" s="52"/>
      <c r="CJ408" s="52"/>
      <c r="CK408" s="52"/>
      <c r="CL408" s="52"/>
      <c r="CM408" s="52"/>
      <c r="CN408" s="52"/>
      <c r="CO408" s="52"/>
      <c r="CP408" s="52"/>
      <c r="CQ408" s="52"/>
      <c r="CR408" s="52"/>
      <c r="CS408" s="52"/>
      <c r="CT408" s="52"/>
      <c r="CU408" s="52"/>
      <c r="CV408" s="52"/>
      <c r="CW408" s="52"/>
      <c r="CX408" s="52"/>
      <c r="CY408" s="52"/>
      <c r="CZ408" s="52"/>
      <c r="DA408" s="52"/>
      <c r="DB408" s="52"/>
      <c r="DC408" s="52"/>
      <c r="DD408" s="52"/>
      <c r="DE408" s="52"/>
      <c r="DF408" s="52"/>
      <c r="DG408" s="52"/>
      <c r="DH408" s="52"/>
      <c r="DI408" s="52"/>
      <c r="DJ408" s="52"/>
      <c r="DK408" s="52"/>
      <c r="DL408" s="52"/>
      <c r="DM408" s="52"/>
      <c r="DN408" s="52"/>
      <c r="DO408" s="52"/>
      <c r="DP408" s="52"/>
      <c r="DQ408" s="52"/>
      <c r="DR408" s="52"/>
      <c r="DS408" s="52"/>
      <c r="DT408" s="52"/>
      <c r="DU408" s="52"/>
      <c r="DV408" s="52"/>
      <c r="DW408" s="52"/>
      <c r="DX408" s="52"/>
      <c r="DY408" s="43"/>
      <c r="DZ408"/>
      <c r="EA408" s="19"/>
      <c r="EB408" s="19"/>
      <c r="EC408" s="9"/>
      <c r="ED408" s="9"/>
      <c r="EE408" s="9"/>
      <c r="EF408" s="9"/>
      <c r="EG408" s="9"/>
    </row>
    <row r="409" spans="1:183" s="13" customFormat="1" ht="13.2" x14ac:dyDescent="0.25">
      <c r="A409" s="2"/>
      <c r="B409" s="2"/>
      <c r="C409" s="9">
        <v>19</v>
      </c>
      <c r="D409" s="9">
        <v>20</v>
      </c>
      <c r="E409" s="9">
        <v>36</v>
      </c>
      <c r="F409" s="9">
        <v>48</v>
      </c>
      <c r="G409" s="9">
        <v>53</v>
      </c>
      <c r="H409" s="9">
        <v>66</v>
      </c>
      <c r="I409" s="43"/>
      <c r="J409" s="9">
        <v>66</v>
      </c>
      <c r="K409" s="43"/>
      <c r="L409" s="39">
        <v>45749</v>
      </c>
      <c r="M409" s="43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55"/>
      <c r="Y409" s="146"/>
      <c r="Z409" s="146"/>
      <c r="AA409" s="146"/>
      <c r="AB409" s="146"/>
      <c r="AC409" s="146"/>
      <c r="AD409" s="146"/>
      <c r="AE409" s="146"/>
      <c r="AF409" s="146"/>
      <c r="AG409" s="146"/>
      <c r="AH409" s="146"/>
      <c r="AI409" s="148"/>
      <c r="AJ409" s="1"/>
      <c r="AK409" s="1"/>
      <c r="AL409" s="54"/>
      <c r="AM409" s="1"/>
      <c r="AN409" s="43"/>
      <c r="AO409" s="1"/>
      <c r="AP409" s="1"/>
      <c r="AR409" s="54"/>
      <c r="AS409" s="43"/>
      <c r="AT409" s="1"/>
      <c r="AU409" s="1"/>
      <c r="AV409" s="1"/>
      <c r="AW409" s="54"/>
      <c r="AX409" s="57"/>
      <c r="AY409" s="54"/>
      <c r="AZ409" s="54"/>
      <c r="BA409" s="54"/>
      <c r="BB409" s="54"/>
      <c r="BC409" s="57"/>
      <c r="BD409" s="1"/>
      <c r="BE409" s="1"/>
      <c r="BF409" s="1"/>
      <c r="BG409" s="54"/>
      <c r="BH409" s="43"/>
      <c r="BI409"/>
      <c r="BK409" s="1"/>
      <c r="BL409"/>
      <c r="BM409"/>
      <c r="BN409"/>
      <c r="BO409" s="52"/>
      <c r="BP409" s="52"/>
      <c r="BQ409" s="52"/>
      <c r="BR409" s="52"/>
      <c r="BS409" s="52"/>
      <c r="BT409" s="52"/>
      <c r="BU409" s="52"/>
      <c r="BV409" s="52"/>
      <c r="BW409" s="52"/>
      <c r="BX409" s="52"/>
      <c r="BY409" s="52"/>
      <c r="BZ409" s="52"/>
      <c r="CA409" s="52"/>
      <c r="CB409" s="52"/>
      <c r="CC409" s="52"/>
      <c r="CD409" s="52"/>
      <c r="CE409" s="52"/>
      <c r="CF409" s="52"/>
      <c r="CG409" s="52"/>
      <c r="CH409" s="52"/>
      <c r="CI409" s="52"/>
      <c r="CJ409" s="52"/>
      <c r="CK409" s="52"/>
      <c r="CL409" s="52"/>
      <c r="CM409" s="52"/>
      <c r="CN409" s="52"/>
      <c r="CO409" s="52"/>
      <c r="CP409" s="52"/>
      <c r="CQ409" s="52"/>
      <c r="CR409" s="52"/>
      <c r="CS409" s="52"/>
      <c r="CT409" s="52"/>
      <c r="CU409" s="52"/>
      <c r="CV409" s="52"/>
      <c r="CW409" s="52"/>
      <c r="CX409" s="52"/>
      <c r="CY409" s="52"/>
      <c r="CZ409" s="52"/>
      <c r="DA409" s="52"/>
      <c r="DB409" s="52"/>
      <c r="DC409" s="52"/>
      <c r="DD409" s="52"/>
      <c r="DE409" s="52"/>
      <c r="DF409" s="52"/>
      <c r="DG409" s="52"/>
      <c r="DH409" s="52"/>
      <c r="DI409" s="52"/>
      <c r="DJ409" s="52"/>
      <c r="DK409" s="52"/>
      <c r="DL409" s="52"/>
      <c r="DM409" s="52"/>
      <c r="DN409" s="52"/>
      <c r="DO409" s="52"/>
      <c r="DP409" s="52"/>
      <c r="DQ409" s="52"/>
      <c r="DR409" s="52"/>
      <c r="DS409" s="52"/>
      <c r="DT409" s="52"/>
      <c r="DU409" s="52"/>
      <c r="DV409" s="52"/>
      <c r="DW409" s="52"/>
      <c r="DX409" s="52"/>
      <c r="DY409" s="43"/>
      <c r="DZ409"/>
      <c r="EA409" s="19"/>
      <c r="EB409" s="19"/>
      <c r="EC409" s="9"/>
      <c r="ED409" s="9"/>
      <c r="EE409" s="9"/>
      <c r="EF409" s="9"/>
      <c r="EG409" s="9"/>
    </row>
    <row r="410" spans="1:183" s="52" customFormat="1" ht="13.2" x14ac:dyDescent="0.25">
      <c r="A410" s="2"/>
      <c r="B410" s="2"/>
      <c r="C410" s="9">
        <v>3</v>
      </c>
      <c r="D410" s="9">
        <v>18</v>
      </c>
      <c r="E410" s="9">
        <v>19</v>
      </c>
      <c r="F410" s="9">
        <v>23</v>
      </c>
      <c r="G410" s="9">
        <v>27</v>
      </c>
      <c r="H410" s="9">
        <v>87</v>
      </c>
      <c r="I410" s="43"/>
      <c r="J410" s="9">
        <v>87</v>
      </c>
      <c r="K410" s="43"/>
      <c r="L410" s="39">
        <v>45747</v>
      </c>
      <c r="M410" s="43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55"/>
      <c r="Y410" s="146"/>
      <c r="Z410" s="146"/>
      <c r="AA410" s="146"/>
      <c r="AB410" s="146"/>
      <c r="AC410" s="146"/>
      <c r="AD410" s="146"/>
      <c r="AE410" s="146"/>
      <c r="AF410" s="146"/>
      <c r="AG410" s="146"/>
      <c r="AH410" s="146"/>
      <c r="AI410" s="148"/>
      <c r="AJ410" s="1"/>
      <c r="AK410" s="1"/>
      <c r="AL410" s="54"/>
      <c r="AM410" s="1"/>
      <c r="AN410" s="43"/>
      <c r="AO410" s="1"/>
      <c r="AP410" s="1"/>
      <c r="AQ410" s="19"/>
      <c r="AR410" s="54"/>
      <c r="AS410" s="43"/>
      <c r="AT410" s="1"/>
      <c r="AU410" s="1"/>
      <c r="AV410" s="1"/>
      <c r="AW410" s="54"/>
      <c r="AX410" s="57"/>
      <c r="AY410" s="54"/>
      <c r="AZ410" s="54"/>
      <c r="BA410" s="54"/>
      <c r="BB410" s="54"/>
      <c r="BC410" s="57"/>
      <c r="BD410" s="1"/>
      <c r="BE410" s="1"/>
      <c r="BF410" s="1"/>
      <c r="BG410" s="54"/>
      <c r="BH410" s="43"/>
      <c r="BI410"/>
      <c r="BJ410" s="13"/>
      <c r="BK410" s="1"/>
      <c r="BL410"/>
      <c r="BM410"/>
      <c r="BN410"/>
      <c r="DY410" s="43"/>
      <c r="DZ410"/>
      <c r="EA410" s="19"/>
      <c r="EB410" s="19"/>
      <c r="EC410" s="9"/>
      <c r="ED410" s="9"/>
      <c r="EE410" s="9"/>
      <c r="EF410" s="9"/>
      <c r="EG410" s="9"/>
      <c r="EH410" s="13"/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/>
      <c r="FE410" s="13"/>
      <c r="FF410" s="13"/>
      <c r="FG410" s="13"/>
      <c r="FH410" s="13"/>
      <c r="FI410" s="13"/>
      <c r="FJ410" s="13"/>
      <c r="FK410" s="13"/>
      <c r="FL410" s="13"/>
      <c r="FM410" s="13"/>
      <c r="FN410" s="13"/>
      <c r="FO410" s="13"/>
      <c r="FP410" s="13"/>
      <c r="FQ410" s="13"/>
      <c r="FR410" s="13"/>
      <c r="FS410" s="13"/>
      <c r="FT410" s="13"/>
      <c r="FU410" s="13"/>
      <c r="FV410" s="13"/>
      <c r="FW410" s="13"/>
      <c r="FX410" s="13"/>
      <c r="FY410" s="13"/>
      <c r="FZ410" s="13"/>
      <c r="GA410" s="13"/>
    </row>
    <row r="411" spans="1:183" s="52" customFormat="1" ht="13.2" x14ac:dyDescent="0.25">
      <c r="A411" s="2"/>
      <c r="B411" s="2"/>
      <c r="C411" s="9">
        <v>27</v>
      </c>
      <c r="D411" s="9">
        <v>45</v>
      </c>
      <c r="E411" s="9">
        <v>59</v>
      </c>
      <c r="F411" s="9">
        <v>67</v>
      </c>
      <c r="G411" s="9">
        <v>79</v>
      </c>
      <c r="H411" s="9">
        <v>84</v>
      </c>
      <c r="I411" s="43"/>
      <c r="J411" s="9">
        <v>84</v>
      </c>
      <c r="K411" s="43"/>
      <c r="L411" s="39">
        <v>45745</v>
      </c>
      <c r="M411" s="43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55"/>
      <c r="Y411" s="146"/>
      <c r="Z411" s="146"/>
      <c r="AA411" s="146"/>
      <c r="AB411" s="146"/>
      <c r="AC411" s="146"/>
      <c r="AD411" s="146"/>
      <c r="AE411" s="146"/>
      <c r="AF411" s="146"/>
      <c r="AG411" s="146"/>
      <c r="AH411" s="146"/>
      <c r="AI411" s="148"/>
      <c r="AJ411" s="1"/>
      <c r="AK411" s="1"/>
      <c r="AL411" s="54"/>
      <c r="AM411" s="1"/>
      <c r="AN411" s="43"/>
      <c r="AO411" s="1"/>
      <c r="AP411" s="1"/>
      <c r="AQ411" s="19"/>
      <c r="AR411" s="54"/>
      <c r="AS411" s="43"/>
      <c r="AT411" s="1"/>
      <c r="AU411" s="1"/>
      <c r="AV411" s="1"/>
      <c r="AW411" s="54"/>
      <c r="AX411" s="57"/>
      <c r="AY411" s="54"/>
      <c r="AZ411" s="54"/>
      <c r="BA411" s="54"/>
      <c r="BB411" s="54"/>
      <c r="BC411" s="57"/>
      <c r="BD411" s="1"/>
      <c r="BE411" s="1"/>
      <c r="BF411" s="1"/>
      <c r="BG411" s="54"/>
      <c r="BH411" s="43"/>
      <c r="BI411"/>
      <c r="BJ411" s="13"/>
      <c r="BK411" s="1"/>
      <c r="BL411"/>
      <c r="BM411"/>
      <c r="BN411"/>
      <c r="DY411" s="43"/>
      <c r="DZ411"/>
      <c r="EA411" s="19"/>
      <c r="EB411" s="19"/>
      <c r="EC411" s="9"/>
      <c r="ED411" s="9"/>
      <c r="EE411" s="9"/>
      <c r="EF411" s="9"/>
      <c r="EG411" s="9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/>
      <c r="FE411" s="13"/>
      <c r="FF411" s="13"/>
      <c r="FG411" s="13"/>
      <c r="FH411" s="13"/>
      <c r="FI411" s="13"/>
      <c r="FJ411" s="13"/>
      <c r="FK411" s="13"/>
      <c r="FL411" s="13"/>
      <c r="FM411" s="13"/>
      <c r="FN411" s="13"/>
      <c r="FO411" s="13"/>
      <c r="FP411" s="13"/>
      <c r="FQ411" s="13"/>
      <c r="FR411" s="13"/>
      <c r="FS411" s="13"/>
      <c r="FT411" s="13"/>
      <c r="FU411" s="13"/>
      <c r="FV411" s="13"/>
      <c r="FW411" s="13"/>
      <c r="FX411" s="13"/>
      <c r="FY411" s="13"/>
      <c r="FZ411" s="13"/>
      <c r="GA411" s="13"/>
    </row>
    <row r="412" spans="1:183" s="52" customFormat="1" ht="13.2" x14ac:dyDescent="0.25">
      <c r="A412" s="2"/>
      <c r="B412" s="2"/>
      <c r="C412" s="9">
        <v>5</v>
      </c>
      <c r="D412" s="9">
        <v>9</v>
      </c>
      <c r="E412" s="9">
        <v>29</v>
      </c>
      <c r="F412" s="9">
        <v>30</v>
      </c>
      <c r="G412" s="9">
        <v>31</v>
      </c>
      <c r="H412" s="9">
        <v>63</v>
      </c>
      <c r="I412" s="43"/>
      <c r="J412" s="9">
        <v>63</v>
      </c>
      <c r="K412" s="43"/>
      <c r="L412" s="39">
        <v>45742</v>
      </c>
      <c r="M412" s="43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55"/>
      <c r="Y412" s="146"/>
      <c r="Z412" s="146"/>
      <c r="AA412" s="146"/>
      <c r="AB412" s="146"/>
      <c r="AC412" s="146"/>
      <c r="AD412" s="146"/>
      <c r="AE412" s="146"/>
      <c r="AF412" s="146"/>
      <c r="AG412" s="146"/>
      <c r="AH412" s="146"/>
      <c r="AI412" s="148"/>
      <c r="AJ412" s="1"/>
      <c r="AK412" s="1"/>
      <c r="AL412" s="54"/>
      <c r="AM412" s="1"/>
      <c r="AN412" s="43"/>
      <c r="AO412" s="1"/>
      <c r="AP412" s="1"/>
      <c r="AQ412" s="19"/>
      <c r="AR412" s="54"/>
      <c r="AS412" s="43"/>
      <c r="AT412" s="1"/>
      <c r="AU412" s="1"/>
      <c r="AV412" s="1"/>
      <c r="AW412" s="54"/>
      <c r="AX412" s="57"/>
      <c r="AY412" s="54"/>
      <c r="AZ412" s="54"/>
      <c r="BA412" s="54"/>
      <c r="BB412" s="54"/>
      <c r="BC412" s="57"/>
      <c r="BD412" s="1"/>
      <c r="BE412" s="1"/>
      <c r="BF412" s="1"/>
      <c r="BG412" s="54"/>
      <c r="BH412" s="43"/>
      <c r="BI412"/>
      <c r="BJ412" s="13"/>
      <c r="BK412" s="1"/>
      <c r="BL412"/>
      <c r="BM412"/>
      <c r="BN412"/>
      <c r="DY412" s="43"/>
      <c r="DZ412"/>
      <c r="EA412" s="19"/>
      <c r="EB412" s="19"/>
      <c r="EC412" s="9"/>
      <c r="ED412" s="9"/>
      <c r="EE412" s="9"/>
      <c r="EF412" s="9"/>
      <c r="EG412" s="9"/>
      <c r="EH412" s="13"/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/>
      <c r="FB412" s="13"/>
      <c r="FC412" s="13"/>
      <c r="FD412" s="13"/>
      <c r="FE412" s="13"/>
      <c r="FF412" s="13"/>
      <c r="FG412" s="13"/>
      <c r="FH412" s="13"/>
      <c r="FI412" s="13"/>
      <c r="FJ412" s="13"/>
      <c r="FK412" s="13"/>
      <c r="FL412" s="13"/>
      <c r="FM412" s="13"/>
      <c r="FN412" s="13"/>
      <c r="FO412" s="13"/>
      <c r="FP412" s="13"/>
      <c r="FQ412" s="13"/>
      <c r="FR412" s="13"/>
      <c r="FS412" s="13"/>
      <c r="FT412" s="13"/>
      <c r="FU412" s="13"/>
      <c r="FV412" s="13"/>
      <c r="FW412" s="13"/>
      <c r="FX412" s="13"/>
      <c r="FY412" s="13"/>
      <c r="FZ412" s="13"/>
      <c r="GA412" s="13"/>
    </row>
    <row r="413" spans="1:183" s="52" customFormat="1" ht="13.2" x14ac:dyDescent="0.25">
      <c r="A413" s="2"/>
      <c r="B413" s="2"/>
      <c r="C413" s="9">
        <v>8</v>
      </c>
      <c r="D413" s="9">
        <v>18</v>
      </c>
      <c r="E413" s="9">
        <v>21</v>
      </c>
      <c r="F413" s="9">
        <v>41</v>
      </c>
      <c r="G413" s="9">
        <v>43</v>
      </c>
      <c r="H413" s="9">
        <v>73</v>
      </c>
      <c r="I413" s="43"/>
      <c r="J413" s="9">
        <v>73</v>
      </c>
      <c r="K413" s="43"/>
      <c r="L413" s="39">
        <v>45740</v>
      </c>
      <c r="M413" s="43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55"/>
      <c r="Y413" s="146"/>
      <c r="Z413" s="146"/>
      <c r="AA413" s="146"/>
      <c r="AB413" s="146"/>
      <c r="AC413" s="146"/>
      <c r="AD413" s="146"/>
      <c r="AE413" s="146"/>
      <c r="AF413" s="146"/>
      <c r="AG413" s="146"/>
      <c r="AH413" s="146"/>
      <c r="AI413" s="148"/>
      <c r="AJ413" s="1"/>
      <c r="AK413" s="1"/>
      <c r="AL413" s="54"/>
      <c r="AM413" s="1"/>
      <c r="AN413" s="43"/>
      <c r="AO413" s="1"/>
      <c r="AP413" s="1"/>
      <c r="AQ413" s="19"/>
      <c r="AR413" s="54"/>
      <c r="AS413" s="43"/>
      <c r="AT413" s="1"/>
      <c r="AU413" s="1"/>
      <c r="AV413" s="1"/>
      <c r="AW413" s="54"/>
      <c r="AX413" s="57"/>
      <c r="AY413" s="54"/>
      <c r="AZ413" s="54"/>
      <c r="BA413" s="54"/>
      <c r="BB413" s="54"/>
      <c r="BC413" s="57"/>
      <c r="BD413" s="1"/>
      <c r="BE413" s="1"/>
      <c r="BF413" s="1"/>
      <c r="BG413" s="54"/>
      <c r="BH413" s="43"/>
      <c r="BI413"/>
      <c r="BJ413" s="13"/>
      <c r="BK413" s="1"/>
      <c r="BL413"/>
      <c r="BM413"/>
      <c r="BN413"/>
      <c r="DY413" s="43"/>
      <c r="DZ413"/>
      <c r="EA413" s="19"/>
      <c r="EB413" s="19"/>
      <c r="EC413" s="9"/>
      <c r="ED413" s="9"/>
      <c r="EE413" s="9"/>
      <c r="EF413" s="9"/>
      <c r="EG413" s="9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3"/>
      <c r="FD413" s="13"/>
      <c r="FE413" s="13"/>
      <c r="FF413" s="13"/>
      <c r="FG413" s="13"/>
      <c r="FH413" s="13"/>
      <c r="FI413" s="13"/>
      <c r="FJ413" s="13"/>
      <c r="FK413" s="13"/>
      <c r="FL413" s="13"/>
      <c r="FM413" s="13"/>
      <c r="FN413" s="13"/>
      <c r="FO413" s="13"/>
      <c r="FP413" s="13"/>
      <c r="FQ413" s="13"/>
      <c r="FR413" s="13"/>
      <c r="FS413" s="13"/>
      <c r="FT413" s="13"/>
      <c r="FU413" s="13"/>
      <c r="FV413" s="13"/>
      <c r="FW413" s="13"/>
      <c r="FX413" s="13"/>
      <c r="FY413" s="13"/>
      <c r="FZ413" s="13"/>
      <c r="GA413" s="13"/>
    </row>
    <row r="414" spans="1:183" s="52" customFormat="1" ht="13.2" x14ac:dyDescent="0.25">
      <c r="A414" s="2"/>
      <c r="B414" s="2"/>
      <c r="C414" s="9">
        <v>11</v>
      </c>
      <c r="D414" s="9">
        <v>12</v>
      </c>
      <c r="E414" s="9">
        <v>33</v>
      </c>
      <c r="F414" s="9">
        <v>47</v>
      </c>
      <c r="G414" s="9">
        <v>49</v>
      </c>
      <c r="H414" s="9">
        <v>70</v>
      </c>
      <c r="I414" s="43"/>
      <c r="J414" s="9">
        <v>70</v>
      </c>
      <c r="K414" s="43"/>
      <c r="L414" s="39">
        <v>45738</v>
      </c>
      <c r="M414" s="43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55"/>
      <c r="Y414" s="146"/>
      <c r="Z414" s="146"/>
      <c r="AA414" s="146"/>
      <c r="AB414" s="146"/>
      <c r="AC414" s="146"/>
      <c r="AD414" s="146"/>
      <c r="AE414" s="146"/>
      <c r="AF414" s="146"/>
      <c r="AG414" s="146"/>
      <c r="AH414" s="146"/>
      <c r="AI414" s="148"/>
      <c r="AJ414" s="1"/>
      <c r="AK414" s="1"/>
      <c r="AL414" s="54"/>
      <c r="AM414" s="1"/>
      <c r="AN414" s="43"/>
      <c r="AO414" s="1"/>
      <c r="AP414" s="1"/>
      <c r="AQ414" s="19"/>
      <c r="AR414" s="54"/>
      <c r="AS414" s="43"/>
      <c r="AT414" s="1"/>
      <c r="AU414" s="1"/>
      <c r="AV414" s="1"/>
      <c r="AW414" s="54"/>
      <c r="AX414" s="57"/>
      <c r="AY414" s="54"/>
      <c r="AZ414" s="54"/>
      <c r="BA414" s="54"/>
      <c r="BB414" s="54"/>
      <c r="BC414" s="57"/>
      <c r="BD414" s="1"/>
      <c r="BE414" s="1"/>
      <c r="BF414" s="1"/>
      <c r="BG414" s="54"/>
      <c r="BH414" s="43"/>
      <c r="BI414"/>
      <c r="BJ414" s="13"/>
      <c r="BK414" s="1"/>
      <c r="BL414"/>
      <c r="BM414"/>
      <c r="BN414"/>
      <c r="DY414" s="43"/>
      <c r="DZ414"/>
      <c r="EA414" s="19"/>
      <c r="EB414" s="19"/>
      <c r="EC414" s="9"/>
      <c r="ED414" s="9"/>
      <c r="EE414" s="9"/>
      <c r="EF414" s="9"/>
      <c r="EG414" s="9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3"/>
      <c r="FD414" s="13"/>
      <c r="FE414" s="13"/>
      <c r="FF414" s="13"/>
      <c r="FG414" s="13"/>
      <c r="FH414" s="13"/>
      <c r="FI414" s="13"/>
      <c r="FJ414" s="13"/>
      <c r="FK414" s="13"/>
      <c r="FL414" s="13"/>
      <c r="FM414" s="13"/>
      <c r="FN414" s="13"/>
      <c r="FO414" s="13"/>
      <c r="FP414" s="13"/>
      <c r="FQ414" s="13"/>
      <c r="FR414" s="13"/>
      <c r="FS414" s="13"/>
      <c r="FT414" s="13"/>
      <c r="FU414" s="13"/>
      <c r="FV414" s="13"/>
      <c r="FW414" s="13"/>
      <c r="FX414" s="13"/>
      <c r="FY414" s="13"/>
      <c r="FZ414" s="13"/>
      <c r="GA414" s="13"/>
    </row>
    <row r="415" spans="1:183" s="52" customFormat="1" ht="13.2" x14ac:dyDescent="0.25">
      <c r="A415" s="2"/>
      <c r="B415" s="2"/>
      <c r="C415" s="9">
        <v>13</v>
      </c>
      <c r="D415" s="9">
        <v>39</v>
      </c>
      <c r="E415" s="9">
        <v>59</v>
      </c>
      <c r="F415" s="9">
        <v>70</v>
      </c>
      <c r="G415" s="9">
        <v>73</v>
      </c>
      <c r="H415" s="9">
        <v>80</v>
      </c>
      <c r="I415" s="43"/>
      <c r="J415" s="9">
        <v>80</v>
      </c>
      <c r="K415" s="43"/>
      <c r="L415" s="39">
        <v>45735</v>
      </c>
      <c r="M415" s="43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55"/>
      <c r="Y415" s="146"/>
      <c r="Z415" s="146"/>
      <c r="AA415" s="146"/>
      <c r="AB415" s="146"/>
      <c r="AC415" s="146"/>
      <c r="AD415" s="146"/>
      <c r="AE415" s="146"/>
      <c r="AF415" s="146"/>
      <c r="AG415" s="146"/>
      <c r="AH415" s="146"/>
      <c r="AI415" s="148"/>
      <c r="AJ415" s="1"/>
      <c r="AK415" s="1"/>
      <c r="AL415" s="54"/>
      <c r="AM415" s="1"/>
      <c r="AN415" s="43"/>
      <c r="AO415" s="1"/>
      <c r="AP415" s="1"/>
      <c r="AQ415" s="19"/>
      <c r="AR415" s="54"/>
      <c r="AS415" s="43"/>
      <c r="AT415" s="1"/>
      <c r="AU415" s="1"/>
      <c r="AV415" s="1"/>
      <c r="AW415" s="54"/>
      <c r="AX415" s="57"/>
      <c r="AY415" s="54"/>
      <c r="AZ415" s="54"/>
      <c r="BA415" s="54"/>
      <c r="BB415" s="54"/>
      <c r="BC415" s="57"/>
      <c r="BD415" s="1"/>
      <c r="BE415" s="1"/>
      <c r="BF415" s="1"/>
      <c r="BG415" s="54"/>
      <c r="BH415" s="43"/>
      <c r="BI415"/>
      <c r="BJ415" s="13"/>
      <c r="BK415" s="1"/>
      <c r="BL415"/>
      <c r="BM415"/>
      <c r="BN415"/>
      <c r="DY415" s="43"/>
      <c r="DZ415"/>
      <c r="EA415" s="19"/>
      <c r="EB415" s="19"/>
      <c r="EC415" s="9"/>
      <c r="ED415" s="9"/>
      <c r="EE415" s="9"/>
      <c r="EF415" s="9"/>
      <c r="EG415" s="9"/>
      <c r="EH415" s="13"/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13"/>
      <c r="EX415" s="13"/>
      <c r="EY415" s="13"/>
      <c r="EZ415" s="13"/>
      <c r="FA415" s="13"/>
      <c r="FB415" s="13"/>
      <c r="FC415" s="13"/>
      <c r="FD415" s="13"/>
      <c r="FE415" s="13"/>
      <c r="FF415" s="13"/>
      <c r="FG415" s="13"/>
      <c r="FH415" s="13"/>
      <c r="FI415" s="13"/>
      <c r="FJ415" s="13"/>
      <c r="FK415" s="13"/>
      <c r="FL415" s="13"/>
      <c r="FM415" s="13"/>
      <c r="FN415" s="13"/>
      <c r="FO415" s="13"/>
      <c r="FP415" s="13"/>
      <c r="FQ415" s="13"/>
      <c r="FR415" s="13"/>
      <c r="FS415" s="13"/>
      <c r="FT415" s="13"/>
      <c r="FU415" s="13"/>
      <c r="FV415" s="13"/>
      <c r="FW415" s="13"/>
      <c r="FX415" s="13"/>
      <c r="FY415" s="13"/>
      <c r="FZ415" s="13"/>
      <c r="GA415" s="13"/>
    </row>
    <row r="416" spans="1:183" s="52" customFormat="1" ht="13.2" x14ac:dyDescent="0.25">
      <c r="A416" s="2"/>
      <c r="B416" s="2"/>
      <c r="C416" s="9">
        <v>7</v>
      </c>
      <c r="D416" s="9">
        <v>28</v>
      </c>
      <c r="E416" s="9">
        <v>30</v>
      </c>
      <c r="F416" s="9">
        <v>59</v>
      </c>
      <c r="G416" s="9">
        <v>62</v>
      </c>
      <c r="H416" s="9">
        <v>77</v>
      </c>
      <c r="I416" s="43"/>
      <c r="J416" s="9">
        <v>77</v>
      </c>
      <c r="K416" s="43"/>
      <c r="L416" s="39">
        <v>45733</v>
      </c>
      <c r="M416" s="43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55"/>
      <c r="Y416" s="146"/>
      <c r="Z416" s="146"/>
      <c r="AA416" s="146"/>
      <c r="AB416" s="146"/>
      <c r="AC416" s="146"/>
      <c r="AD416" s="146"/>
      <c r="AE416" s="146"/>
      <c r="AF416" s="146"/>
      <c r="AG416" s="146"/>
      <c r="AH416" s="146"/>
      <c r="AI416" s="148"/>
      <c r="AJ416" s="1"/>
      <c r="AK416" s="1"/>
      <c r="AL416" s="54"/>
      <c r="AM416" s="1"/>
      <c r="AN416" s="43"/>
      <c r="AO416" s="1"/>
      <c r="AP416" s="1"/>
      <c r="AQ416" s="19"/>
      <c r="AR416" s="54"/>
      <c r="AS416" s="43"/>
      <c r="AT416" s="1"/>
      <c r="AU416" s="1"/>
      <c r="AV416" s="1"/>
      <c r="AW416" s="54"/>
      <c r="AX416" s="57"/>
      <c r="AY416" s="54"/>
      <c r="AZ416" s="54"/>
      <c r="BA416" s="54"/>
      <c r="BB416" s="54"/>
      <c r="BC416" s="57"/>
      <c r="BD416" s="1"/>
      <c r="BE416" s="1"/>
      <c r="BF416" s="1"/>
      <c r="BG416" s="54"/>
      <c r="BH416" s="43"/>
      <c r="BI416"/>
      <c r="BJ416" s="13"/>
      <c r="BK416" s="1"/>
      <c r="BL416"/>
      <c r="BM416"/>
      <c r="BN416"/>
      <c r="DY416" s="43"/>
      <c r="DZ416"/>
      <c r="EA416" s="19"/>
      <c r="EB416" s="19"/>
      <c r="EC416" s="9"/>
      <c r="ED416" s="9"/>
      <c r="EE416" s="9"/>
      <c r="EF416" s="9"/>
      <c r="EG416" s="9"/>
      <c r="EH416" s="13"/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3"/>
      <c r="FD416" s="13"/>
      <c r="FE416" s="13"/>
      <c r="FF416" s="13"/>
      <c r="FG416" s="13"/>
      <c r="FH416" s="13"/>
      <c r="FI416" s="13"/>
      <c r="FJ416" s="13"/>
      <c r="FK416" s="13"/>
      <c r="FL416" s="13"/>
      <c r="FM416" s="13"/>
      <c r="FN416" s="13"/>
      <c r="FO416" s="13"/>
      <c r="FP416" s="13"/>
      <c r="FQ416" s="13"/>
      <c r="FR416" s="13"/>
      <c r="FS416" s="13"/>
      <c r="FT416" s="13"/>
      <c r="FU416" s="13"/>
      <c r="FV416" s="13"/>
      <c r="FW416" s="13"/>
      <c r="FX416" s="13"/>
      <c r="FY416" s="13"/>
      <c r="FZ416" s="13"/>
      <c r="GA416" s="13"/>
    </row>
    <row r="417" spans="1:183" s="52" customFormat="1" ht="13.2" x14ac:dyDescent="0.25">
      <c r="A417" s="2"/>
      <c r="B417" s="2"/>
      <c r="C417" s="9">
        <v>15</v>
      </c>
      <c r="D417" s="9">
        <v>18</v>
      </c>
      <c r="E417" s="9">
        <v>24</v>
      </c>
      <c r="F417" s="9">
        <v>29</v>
      </c>
      <c r="G417" s="9">
        <v>61</v>
      </c>
      <c r="H417" s="9">
        <v>75</v>
      </c>
      <c r="I417" s="43"/>
      <c r="J417" s="9">
        <v>75</v>
      </c>
      <c r="K417" s="43"/>
      <c r="L417" s="39">
        <v>45731</v>
      </c>
      <c r="M417" s="43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55"/>
      <c r="Y417" s="146"/>
      <c r="Z417" s="146"/>
      <c r="AA417" s="146"/>
      <c r="AB417" s="146"/>
      <c r="AC417" s="146"/>
      <c r="AD417" s="146"/>
      <c r="AE417" s="146"/>
      <c r="AF417" s="146"/>
      <c r="AG417" s="146"/>
      <c r="AH417" s="146"/>
      <c r="AI417" s="148"/>
      <c r="AJ417" s="1"/>
      <c r="AK417" s="1"/>
      <c r="AL417" s="54"/>
      <c r="AM417" s="1"/>
      <c r="AN417" s="43"/>
      <c r="AO417" s="1"/>
      <c r="AP417" s="1"/>
      <c r="AQ417" s="19"/>
      <c r="AR417" s="54"/>
      <c r="AS417" s="43"/>
      <c r="AT417" s="1"/>
      <c r="AU417" s="1"/>
      <c r="AV417" s="1"/>
      <c r="AW417" s="54"/>
      <c r="AX417" s="57"/>
      <c r="AY417" s="54"/>
      <c r="AZ417" s="54"/>
      <c r="BA417" s="54"/>
      <c r="BB417" s="54"/>
      <c r="BC417" s="57"/>
      <c r="BD417" s="1"/>
      <c r="BE417" s="1"/>
      <c r="BF417" s="1"/>
      <c r="BG417" s="54"/>
      <c r="BH417" s="43"/>
      <c r="BI417"/>
      <c r="BJ417" s="13"/>
      <c r="BK417" s="1"/>
      <c r="BL417"/>
      <c r="BM417"/>
      <c r="BN417"/>
      <c r="DY417" s="43"/>
      <c r="DZ417"/>
      <c r="EA417" s="19"/>
      <c r="EB417" s="19"/>
      <c r="EC417" s="9"/>
      <c r="ED417" s="9"/>
      <c r="EE417" s="9"/>
      <c r="EF417" s="9"/>
      <c r="EG417" s="9"/>
      <c r="EH417" s="13"/>
      <c r="EI417" s="13"/>
      <c r="EJ417" s="13"/>
      <c r="EK417" s="13"/>
      <c r="EL417" s="13"/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3"/>
      <c r="FD417" s="13"/>
      <c r="FE417" s="13"/>
      <c r="FF417" s="13"/>
      <c r="FG417" s="13"/>
      <c r="FH417" s="13"/>
      <c r="FI417" s="13"/>
      <c r="FJ417" s="13"/>
      <c r="FK417" s="13"/>
      <c r="FL417" s="13"/>
      <c r="FM417" s="13"/>
      <c r="FN417" s="13"/>
      <c r="FO417" s="13"/>
      <c r="FP417" s="13"/>
      <c r="FQ417" s="13"/>
      <c r="FR417" s="13"/>
      <c r="FS417" s="13"/>
      <c r="FT417" s="13"/>
      <c r="FU417" s="13"/>
      <c r="FV417" s="13"/>
      <c r="FW417" s="13"/>
      <c r="FX417" s="13"/>
      <c r="FY417" s="13"/>
      <c r="FZ417" s="13"/>
      <c r="GA417" s="13"/>
    </row>
    <row r="418" spans="1:183" s="52" customFormat="1" ht="13.2" x14ac:dyDescent="0.25">
      <c r="A418" s="2"/>
      <c r="B418" s="2"/>
      <c r="C418" s="9">
        <v>37</v>
      </c>
      <c r="D418" s="9">
        <v>47</v>
      </c>
      <c r="E418" s="9">
        <v>57</v>
      </c>
      <c r="F418" s="9">
        <v>62</v>
      </c>
      <c r="G418" s="9">
        <v>75</v>
      </c>
      <c r="H418" s="9">
        <v>90</v>
      </c>
      <c r="I418" s="43"/>
      <c r="J418" s="9">
        <v>90</v>
      </c>
      <c r="K418" s="43"/>
      <c r="L418" s="39">
        <v>45728</v>
      </c>
      <c r="M418" s="43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55"/>
      <c r="Y418" s="146"/>
      <c r="Z418" s="146"/>
      <c r="AA418" s="146"/>
      <c r="AB418" s="146"/>
      <c r="AC418" s="146"/>
      <c r="AD418" s="146"/>
      <c r="AE418" s="146"/>
      <c r="AF418" s="146"/>
      <c r="AG418" s="146"/>
      <c r="AH418" s="146"/>
      <c r="AI418" s="148"/>
      <c r="AJ418" s="1"/>
      <c r="AK418" s="1"/>
      <c r="AL418" s="54"/>
      <c r="AM418" s="1"/>
      <c r="AN418" s="43"/>
      <c r="AO418" s="1"/>
      <c r="AP418" s="1"/>
      <c r="AQ418" s="19"/>
      <c r="AR418" s="54"/>
      <c r="AS418" s="43"/>
      <c r="AT418" s="1"/>
      <c r="AU418" s="1"/>
      <c r="AV418" s="1"/>
      <c r="AW418" s="54"/>
      <c r="AX418" s="57"/>
      <c r="AY418" s="54"/>
      <c r="AZ418" s="54"/>
      <c r="BA418" s="54"/>
      <c r="BB418" s="54"/>
      <c r="BC418" s="57"/>
      <c r="BD418" s="1"/>
      <c r="BE418" s="1"/>
      <c r="BF418" s="1"/>
      <c r="BG418" s="54"/>
      <c r="BH418" s="43"/>
      <c r="BI418"/>
      <c r="BJ418" s="13"/>
      <c r="BK418" s="1"/>
      <c r="BL418"/>
      <c r="BM418"/>
      <c r="BN418"/>
      <c r="DY418" s="43"/>
      <c r="DZ418"/>
      <c r="EA418" s="19"/>
      <c r="EB418" s="19"/>
      <c r="EC418" s="9"/>
      <c r="ED418" s="9"/>
      <c r="EE418" s="9"/>
      <c r="EF418" s="9"/>
      <c r="EG418" s="9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/>
      <c r="FM418" s="13"/>
      <c r="FN418" s="13"/>
      <c r="FO418" s="13"/>
      <c r="FP418" s="13"/>
      <c r="FQ418" s="13"/>
      <c r="FR418" s="13"/>
      <c r="FS418" s="13"/>
      <c r="FT418" s="13"/>
      <c r="FU418" s="13"/>
      <c r="FV418" s="13"/>
      <c r="FW418" s="13"/>
      <c r="FX418" s="13"/>
      <c r="FY418" s="13"/>
      <c r="FZ418" s="13"/>
      <c r="GA418" s="13"/>
    </row>
    <row r="419" spans="1:183" s="52" customFormat="1" ht="13.2" x14ac:dyDescent="0.25">
      <c r="A419" s="2"/>
      <c r="B419" s="2"/>
      <c r="C419" s="9">
        <v>2</v>
      </c>
      <c r="D419" s="9">
        <v>9</v>
      </c>
      <c r="E419" s="9">
        <v>28</v>
      </c>
      <c r="F419" s="9">
        <v>43</v>
      </c>
      <c r="G419" s="9">
        <v>59</v>
      </c>
      <c r="H419" s="9">
        <v>61</v>
      </c>
      <c r="I419" s="43"/>
      <c r="J419" s="9">
        <v>61</v>
      </c>
      <c r="K419" s="43"/>
      <c r="L419" s="39">
        <v>45726</v>
      </c>
      <c r="M419" s="43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55"/>
      <c r="Y419" s="146"/>
      <c r="Z419" s="146"/>
      <c r="AA419" s="146"/>
      <c r="AB419" s="146"/>
      <c r="AC419" s="146"/>
      <c r="AD419" s="146"/>
      <c r="AE419" s="146"/>
      <c r="AF419" s="146"/>
      <c r="AG419" s="146"/>
      <c r="AH419" s="146"/>
      <c r="AI419" s="148"/>
      <c r="AJ419" s="1"/>
      <c r="AK419" s="1"/>
      <c r="AL419" s="54"/>
      <c r="AM419" s="1"/>
      <c r="AN419" s="43"/>
      <c r="AO419" s="1"/>
      <c r="AP419" s="1"/>
      <c r="AQ419" s="19"/>
      <c r="AR419" s="54"/>
      <c r="AS419" s="43"/>
      <c r="AT419" s="1"/>
      <c r="AU419" s="1"/>
      <c r="AV419" s="1"/>
      <c r="AW419" s="54"/>
      <c r="AX419" s="57"/>
      <c r="AY419" s="54"/>
      <c r="AZ419" s="54"/>
      <c r="BA419" s="54"/>
      <c r="BB419" s="54"/>
      <c r="BC419" s="57"/>
      <c r="BD419" s="1"/>
      <c r="BE419" s="1"/>
      <c r="BF419" s="1"/>
      <c r="BG419" s="54"/>
      <c r="BH419" s="43"/>
      <c r="BI419"/>
      <c r="BJ419" s="13"/>
      <c r="BK419" s="1"/>
      <c r="BL419"/>
      <c r="BM419"/>
      <c r="BN419"/>
      <c r="DY419" s="43"/>
      <c r="DZ419"/>
      <c r="EA419" s="19"/>
      <c r="EB419" s="19"/>
      <c r="EC419" s="9"/>
      <c r="ED419" s="9"/>
      <c r="EE419" s="9"/>
      <c r="EF419" s="9"/>
      <c r="EG419" s="9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3"/>
      <c r="FJ419" s="13"/>
      <c r="FK419" s="13"/>
      <c r="FL419" s="13"/>
      <c r="FM419" s="13"/>
      <c r="FN419" s="13"/>
      <c r="FO419" s="13"/>
      <c r="FP419" s="13"/>
      <c r="FQ419" s="13"/>
      <c r="FR419" s="13"/>
      <c r="FS419" s="13"/>
      <c r="FT419" s="13"/>
      <c r="FU419" s="13"/>
      <c r="FV419" s="13"/>
      <c r="FW419" s="13"/>
      <c r="FX419" s="13"/>
      <c r="FY419" s="13"/>
      <c r="FZ419" s="13"/>
      <c r="GA419" s="13"/>
    </row>
    <row r="420" spans="1:183" s="52" customFormat="1" ht="13.2" x14ac:dyDescent="0.25">
      <c r="A420" s="2"/>
      <c r="B420" s="2"/>
      <c r="C420" s="9">
        <v>7</v>
      </c>
      <c r="D420" s="9">
        <v>31</v>
      </c>
      <c r="E420" s="9">
        <v>37</v>
      </c>
      <c r="F420" s="9">
        <v>65</v>
      </c>
      <c r="G420" s="9">
        <v>79</v>
      </c>
      <c r="H420" s="9">
        <v>87</v>
      </c>
      <c r="I420" s="43"/>
      <c r="J420" s="9">
        <v>87</v>
      </c>
      <c r="K420" s="43"/>
      <c r="L420" s="39">
        <v>45724</v>
      </c>
      <c r="M420" s="43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55"/>
      <c r="Y420" s="146"/>
      <c r="Z420" s="146"/>
      <c r="AA420" s="146"/>
      <c r="AB420" s="146"/>
      <c r="AC420" s="146"/>
      <c r="AD420" s="146"/>
      <c r="AE420" s="146"/>
      <c r="AF420" s="146"/>
      <c r="AG420" s="146"/>
      <c r="AH420" s="146"/>
      <c r="AI420" s="148"/>
      <c r="AJ420" s="1"/>
      <c r="AK420" s="1"/>
      <c r="AL420" s="54"/>
      <c r="AM420" s="1"/>
      <c r="AN420" s="43"/>
      <c r="AO420" s="1"/>
      <c r="AP420" s="1"/>
      <c r="AQ420" s="19"/>
      <c r="AR420" s="54"/>
      <c r="AS420" s="43"/>
      <c r="AT420" s="1"/>
      <c r="AU420" s="1"/>
      <c r="AV420" s="1"/>
      <c r="AW420" s="54"/>
      <c r="AX420" s="57"/>
      <c r="AY420" s="54"/>
      <c r="AZ420" s="54"/>
      <c r="BA420" s="54"/>
      <c r="BB420" s="54"/>
      <c r="BC420" s="57"/>
      <c r="BD420" s="1"/>
      <c r="BE420" s="1"/>
      <c r="BF420" s="1"/>
      <c r="BG420" s="54"/>
      <c r="BH420" s="43"/>
      <c r="BI420"/>
      <c r="BJ420" s="13"/>
      <c r="BK420" s="1"/>
      <c r="BL420"/>
      <c r="BM420"/>
      <c r="BN420"/>
      <c r="DY420" s="43"/>
      <c r="DZ420"/>
      <c r="EA420" s="19"/>
      <c r="EB420" s="19"/>
      <c r="EC420" s="9"/>
      <c r="ED420" s="9"/>
      <c r="EE420" s="9"/>
      <c r="EF420" s="9"/>
      <c r="EG420" s="9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  <c r="FI420" s="13"/>
      <c r="FJ420" s="13"/>
      <c r="FK420" s="13"/>
      <c r="FL420" s="13"/>
      <c r="FM420" s="13"/>
      <c r="FN420" s="13"/>
      <c r="FO420" s="13"/>
      <c r="FP420" s="13"/>
      <c r="FQ420" s="13"/>
      <c r="FR420" s="13"/>
      <c r="FS420" s="13"/>
      <c r="FT420" s="13"/>
      <c r="FU420" s="13"/>
      <c r="FV420" s="13"/>
      <c r="FW420" s="13"/>
      <c r="FX420" s="13"/>
      <c r="FY420" s="13"/>
      <c r="FZ420" s="13"/>
      <c r="GA420" s="13"/>
    </row>
    <row r="421" spans="1:183" s="52" customFormat="1" ht="13.2" x14ac:dyDescent="0.25">
      <c r="A421" s="2"/>
      <c r="B421" s="2"/>
      <c r="C421" s="9">
        <v>30</v>
      </c>
      <c r="D421" s="9">
        <v>32</v>
      </c>
      <c r="E421" s="9">
        <v>48</v>
      </c>
      <c r="F421" s="9">
        <v>65</v>
      </c>
      <c r="G421" s="9">
        <v>82</v>
      </c>
      <c r="H421" s="9">
        <v>85</v>
      </c>
      <c r="I421" s="43"/>
      <c r="J421" s="9">
        <v>85</v>
      </c>
      <c r="K421" s="43"/>
      <c r="L421" s="39">
        <v>45721</v>
      </c>
      <c r="M421" s="43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55"/>
      <c r="Y421" s="146"/>
      <c r="Z421" s="146"/>
      <c r="AA421" s="146"/>
      <c r="AB421" s="146"/>
      <c r="AC421" s="146"/>
      <c r="AD421" s="146"/>
      <c r="AE421" s="146"/>
      <c r="AF421" s="146"/>
      <c r="AG421" s="146"/>
      <c r="AH421" s="146"/>
      <c r="AI421" s="148"/>
      <c r="AJ421" s="1"/>
      <c r="AK421" s="1"/>
      <c r="AL421" s="54"/>
      <c r="AM421" s="1"/>
      <c r="AN421" s="43"/>
      <c r="AO421" s="1"/>
      <c r="AP421" s="1"/>
      <c r="AQ421" s="19"/>
      <c r="AR421" s="54"/>
      <c r="AS421" s="43"/>
      <c r="AT421" s="1"/>
      <c r="AU421" s="1"/>
      <c r="AV421" s="1"/>
      <c r="AW421" s="54"/>
      <c r="AX421" s="57"/>
      <c r="AY421" s="54"/>
      <c r="AZ421" s="54"/>
      <c r="BA421" s="54"/>
      <c r="BB421" s="54"/>
      <c r="BC421" s="57"/>
      <c r="BD421" s="1"/>
      <c r="BE421" s="1"/>
      <c r="BF421" s="1"/>
      <c r="BG421" s="54"/>
      <c r="BH421" s="43"/>
      <c r="BI421"/>
      <c r="BJ421" s="13"/>
      <c r="BK421" s="1"/>
      <c r="BL421"/>
      <c r="BM421"/>
      <c r="BN421"/>
      <c r="DY421" s="43"/>
      <c r="DZ421"/>
      <c r="EA421" s="19"/>
      <c r="EB421" s="19"/>
      <c r="EC421" s="9"/>
      <c r="ED421" s="9"/>
      <c r="EE421" s="9"/>
      <c r="EF421" s="9"/>
      <c r="EG421" s="9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  <c r="FI421" s="13"/>
      <c r="FJ421" s="13"/>
      <c r="FK421" s="13"/>
      <c r="FL421" s="13"/>
      <c r="FM421" s="13"/>
      <c r="FN421" s="13"/>
      <c r="FO421" s="13"/>
      <c r="FP421" s="13"/>
      <c r="FQ421" s="13"/>
      <c r="FR421" s="13"/>
      <c r="FS421" s="13"/>
      <c r="FT421" s="13"/>
      <c r="FU421" s="13"/>
      <c r="FV421" s="13"/>
      <c r="FW421" s="13"/>
      <c r="FX421" s="13"/>
      <c r="FY421" s="13"/>
      <c r="FZ421" s="13"/>
      <c r="GA421" s="13"/>
    </row>
    <row r="422" spans="1:183" s="52" customFormat="1" ht="13.2" x14ac:dyDescent="0.25">
      <c r="A422" s="2"/>
      <c r="B422" s="2"/>
      <c r="C422" s="9">
        <v>2</v>
      </c>
      <c r="D422" s="9">
        <v>8</v>
      </c>
      <c r="E422" s="9">
        <v>18</v>
      </c>
      <c r="F422" s="9">
        <v>27</v>
      </c>
      <c r="G422" s="9">
        <v>67</v>
      </c>
      <c r="H422" s="9">
        <v>87</v>
      </c>
      <c r="I422" s="43"/>
      <c r="J422" s="9">
        <v>87</v>
      </c>
      <c r="K422" s="43"/>
      <c r="L422" s="39">
        <v>45719</v>
      </c>
      <c r="M422" s="43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55"/>
      <c r="Y422" s="146"/>
      <c r="Z422" s="146"/>
      <c r="AA422" s="146"/>
      <c r="AB422" s="146"/>
      <c r="AC422" s="146"/>
      <c r="AD422" s="146"/>
      <c r="AE422" s="146"/>
      <c r="AF422" s="146"/>
      <c r="AG422" s="146"/>
      <c r="AH422" s="146"/>
      <c r="AI422" s="148"/>
      <c r="AJ422" s="1"/>
      <c r="AK422" s="1"/>
      <c r="AL422" s="54"/>
      <c r="AM422" s="1"/>
      <c r="AN422" s="43"/>
      <c r="AO422" s="1"/>
      <c r="AP422" s="1"/>
      <c r="AQ422" s="19"/>
      <c r="AR422" s="54"/>
      <c r="AS422" s="43"/>
      <c r="AT422" s="1"/>
      <c r="AU422" s="1"/>
      <c r="AV422" s="1"/>
      <c r="AW422" s="54"/>
      <c r="AX422" s="57"/>
      <c r="AY422" s="54"/>
      <c r="AZ422" s="54"/>
      <c r="BA422" s="54"/>
      <c r="BB422" s="54"/>
      <c r="BC422" s="57"/>
      <c r="BD422" s="1"/>
      <c r="BE422" s="1"/>
      <c r="BF422" s="1"/>
      <c r="BG422" s="54"/>
      <c r="BH422" s="43"/>
      <c r="BI422"/>
      <c r="BJ422" s="13"/>
      <c r="BK422" s="1"/>
      <c r="BL422"/>
      <c r="BM422"/>
      <c r="BN422"/>
      <c r="DY422" s="43"/>
      <c r="DZ422"/>
      <c r="EA422" s="19"/>
      <c r="EB422" s="19"/>
      <c r="EC422" s="9"/>
      <c r="ED422" s="9"/>
      <c r="EE422" s="9"/>
      <c r="EF422" s="9"/>
      <c r="EG422" s="9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/>
      <c r="FB422" s="13"/>
      <c r="FC422" s="13"/>
      <c r="FD422" s="13"/>
      <c r="FE422" s="13"/>
      <c r="FF422" s="13"/>
      <c r="FG422" s="13"/>
      <c r="FH422" s="13"/>
      <c r="FI422" s="13"/>
      <c r="FJ422" s="13"/>
      <c r="FK422" s="13"/>
      <c r="FL422" s="13"/>
      <c r="FM422" s="13"/>
      <c r="FN422" s="13"/>
      <c r="FO422" s="13"/>
      <c r="FP422" s="13"/>
      <c r="FQ422" s="13"/>
      <c r="FR422" s="13"/>
      <c r="FS422" s="13"/>
      <c r="FT422" s="13"/>
      <c r="FU422" s="13"/>
      <c r="FV422" s="13"/>
      <c r="FW422" s="13"/>
      <c r="FX422" s="13"/>
      <c r="FY422" s="13"/>
      <c r="FZ422" s="13"/>
      <c r="GA422" s="13"/>
    </row>
    <row r="423" spans="1:183" s="52" customFormat="1" ht="13.2" x14ac:dyDescent="0.25">
      <c r="A423" s="2"/>
      <c r="B423" s="2"/>
      <c r="C423" s="9">
        <v>38</v>
      </c>
      <c r="D423" s="9">
        <v>42</v>
      </c>
      <c r="E423" s="9">
        <v>62</v>
      </c>
      <c r="F423" s="9">
        <v>66</v>
      </c>
      <c r="G423" s="9">
        <v>75</v>
      </c>
      <c r="H423" s="9">
        <v>77</v>
      </c>
      <c r="I423" s="43"/>
      <c r="J423" s="9">
        <v>77</v>
      </c>
      <c r="K423" s="43"/>
      <c r="L423" s="39">
        <v>45717</v>
      </c>
      <c r="M423" s="43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55"/>
      <c r="Y423" s="146"/>
      <c r="Z423" s="146"/>
      <c r="AA423" s="146"/>
      <c r="AB423" s="146"/>
      <c r="AC423" s="146"/>
      <c r="AD423" s="146"/>
      <c r="AE423" s="146"/>
      <c r="AF423" s="146"/>
      <c r="AG423" s="146"/>
      <c r="AH423" s="146"/>
      <c r="AI423" s="148"/>
      <c r="AJ423" s="1"/>
      <c r="AK423" s="1"/>
      <c r="AL423" s="54"/>
      <c r="AM423" s="1"/>
      <c r="AN423" s="43"/>
      <c r="AO423" s="1"/>
      <c r="AP423" s="1"/>
      <c r="AQ423" s="19"/>
      <c r="AR423" s="54"/>
      <c r="AS423" s="43"/>
      <c r="AT423" s="1"/>
      <c r="AU423" s="1"/>
      <c r="AV423" s="1"/>
      <c r="AW423" s="54"/>
      <c r="AX423" s="57"/>
      <c r="AY423" s="54"/>
      <c r="AZ423" s="54"/>
      <c r="BA423" s="54"/>
      <c r="BB423" s="54"/>
      <c r="BC423" s="57"/>
      <c r="BD423" s="1"/>
      <c r="BE423" s="1"/>
      <c r="BF423" s="1"/>
      <c r="BG423" s="54"/>
      <c r="BH423" s="43"/>
      <c r="BI423"/>
      <c r="BJ423" s="13"/>
      <c r="BK423" s="1"/>
      <c r="BL423"/>
      <c r="BM423"/>
      <c r="BN423"/>
      <c r="DY423" s="43"/>
      <c r="DZ423"/>
      <c r="EA423" s="19"/>
      <c r="EB423" s="19"/>
      <c r="EC423" s="9"/>
      <c r="ED423" s="9"/>
      <c r="EE423" s="9"/>
      <c r="EF423" s="9"/>
      <c r="EG423" s="9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3"/>
      <c r="FD423" s="13"/>
      <c r="FE423" s="13"/>
      <c r="FF423" s="13"/>
      <c r="FG423" s="13"/>
      <c r="FH423" s="13"/>
      <c r="FI423" s="13"/>
      <c r="FJ423" s="13"/>
      <c r="FK423" s="13"/>
      <c r="FL423" s="13"/>
      <c r="FM423" s="13"/>
      <c r="FN423" s="13"/>
      <c r="FO423" s="13"/>
      <c r="FP423" s="13"/>
      <c r="FQ423" s="13"/>
      <c r="FR423" s="13"/>
      <c r="FS423" s="13"/>
      <c r="FT423" s="13"/>
      <c r="FU423" s="13"/>
      <c r="FV423" s="13"/>
      <c r="FW423" s="13"/>
      <c r="FX423" s="13"/>
      <c r="FY423" s="13"/>
      <c r="FZ423" s="13"/>
      <c r="GA423" s="13"/>
    </row>
    <row r="424" spans="1:183" s="52" customFormat="1" ht="13.2" x14ac:dyDescent="0.25">
      <c r="A424" s="2"/>
      <c r="B424" s="2"/>
      <c r="C424" s="9">
        <v>10</v>
      </c>
      <c r="D424" s="9">
        <v>52</v>
      </c>
      <c r="E424" s="9">
        <v>65</v>
      </c>
      <c r="F424" s="9">
        <v>73</v>
      </c>
      <c r="G424" s="9">
        <v>87</v>
      </c>
      <c r="H424" s="9">
        <v>88</v>
      </c>
      <c r="I424" s="43"/>
      <c r="J424" s="9">
        <v>88</v>
      </c>
      <c r="K424" s="43"/>
      <c r="L424" s="39">
        <v>45714</v>
      </c>
      <c r="M424" s="43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55"/>
      <c r="Y424" s="146"/>
      <c r="Z424" s="146"/>
      <c r="AA424" s="146"/>
      <c r="AB424" s="146"/>
      <c r="AC424" s="146"/>
      <c r="AD424" s="146"/>
      <c r="AE424" s="146"/>
      <c r="AF424" s="146"/>
      <c r="AG424" s="146"/>
      <c r="AH424" s="146"/>
      <c r="AI424" s="148"/>
      <c r="AJ424" s="1"/>
      <c r="AK424" s="1"/>
      <c r="AL424" s="54"/>
      <c r="AM424" s="1"/>
      <c r="AN424" s="43"/>
      <c r="AO424" s="1"/>
      <c r="AP424" s="1"/>
      <c r="AQ424" s="19"/>
      <c r="AR424" s="54"/>
      <c r="AS424" s="43"/>
      <c r="AT424" s="1"/>
      <c r="AU424" s="1"/>
      <c r="AV424" s="1"/>
      <c r="AW424" s="54"/>
      <c r="AX424" s="57"/>
      <c r="AY424" s="54"/>
      <c r="AZ424" s="54"/>
      <c r="BA424" s="54"/>
      <c r="BB424" s="54"/>
      <c r="BC424" s="57"/>
      <c r="BD424" s="1"/>
      <c r="BE424" s="1"/>
      <c r="BF424" s="1"/>
      <c r="BG424" s="54"/>
      <c r="BH424" s="43"/>
      <c r="BI424"/>
      <c r="BJ424" s="13"/>
      <c r="BK424" s="1"/>
      <c r="BL424"/>
      <c r="BM424"/>
      <c r="BN424"/>
      <c r="DY424" s="43"/>
      <c r="DZ424"/>
      <c r="EA424" s="19"/>
      <c r="EB424" s="19"/>
      <c r="EC424" s="9"/>
      <c r="ED424" s="9"/>
      <c r="EE424" s="9"/>
      <c r="EF424" s="9"/>
      <c r="EG424" s="9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3"/>
      <c r="FD424" s="13"/>
      <c r="FE424" s="13"/>
      <c r="FF424" s="13"/>
      <c r="FG424" s="13"/>
      <c r="FH424" s="13"/>
      <c r="FI424" s="13"/>
      <c r="FJ424" s="13"/>
      <c r="FK424" s="13"/>
      <c r="FL424" s="13"/>
      <c r="FM424" s="13"/>
      <c r="FN424" s="13"/>
      <c r="FO424" s="13"/>
      <c r="FP424" s="13"/>
      <c r="FQ424" s="13"/>
      <c r="FR424" s="13"/>
      <c r="FS424" s="13"/>
      <c r="FT424" s="13"/>
      <c r="FU424" s="13"/>
      <c r="FV424" s="13"/>
      <c r="FW424" s="13"/>
      <c r="FX424" s="13"/>
      <c r="FY424" s="13"/>
      <c r="FZ424" s="13"/>
      <c r="GA424" s="13"/>
    </row>
    <row r="425" spans="1:183" s="52" customFormat="1" ht="13.2" x14ac:dyDescent="0.25">
      <c r="A425" s="2"/>
      <c r="B425" s="2"/>
      <c r="C425" s="9">
        <v>1</v>
      </c>
      <c r="D425" s="9">
        <v>23</v>
      </c>
      <c r="E425" s="9">
        <v>40</v>
      </c>
      <c r="F425" s="9">
        <v>43</v>
      </c>
      <c r="G425" s="9">
        <v>53</v>
      </c>
      <c r="H425" s="9">
        <v>59</v>
      </c>
      <c r="I425" s="43"/>
      <c r="J425" s="9">
        <v>59</v>
      </c>
      <c r="K425" s="43"/>
      <c r="L425" s="39">
        <v>45712</v>
      </c>
      <c r="M425" s="43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55"/>
      <c r="Y425" s="146"/>
      <c r="Z425" s="146"/>
      <c r="AA425" s="146"/>
      <c r="AB425" s="146"/>
      <c r="AC425" s="146"/>
      <c r="AD425" s="146"/>
      <c r="AE425" s="146"/>
      <c r="AF425" s="146"/>
      <c r="AG425" s="146"/>
      <c r="AH425" s="146"/>
      <c r="AI425" s="148"/>
      <c r="AJ425" s="1"/>
      <c r="AK425" s="1"/>
      <c r="AL425" s="54"/>
      <c r="AM425" s="1"/>
      <c r="AN425" s="43"/>
      <c r="AO425" s="1"/>
      <c r="AP425" s="1"/>
      <c r="AQ425" s="19"/>
      <c r="AR425" s="54"/>
      <c r="AS425" s="43"/>
      <c r="AT425" s="1"/>
      <c r="AU425" s="1"/>
      <c r="AV425" s="1"/>
      <c r="AW425" s="54"/>
      <c r="AX425" s="57"/>
      <c r="AY425" s="54"/>
      <c r="AZ425" s="54"/>
      <c r="BA425" s="54"/>
      <c r="BB425" s="54"/>
      <c r="BC425" s="57"/>
      <c r="BD425" s="1"/>
      <c r="BE425" s="1"/>
      <c r="BF425" s="1"/>
      <c r="BG425" s="54"/>
      <c r="BH425" s="43"/>
      <c r="BI425"/>
      <c r="BJ425" s="13"/>
      <c r="BK425" s="1"/>
      <c r="BL425"/>
      <c r="BM425"/>
      <c r="BN425"/>
      <c r="DY425" s="43"/>
      <c r="DZ425"/>
      <c r="EA425" s="19"/>
      <c r="EB425" s="19"/>
      <c r="EC425" s="9"/>
      <c r="ED425" s="9"/>
      <c r="EE425" s="9"/>
      <c r="EF425" s="9"/>
      <c r="EG425" s="9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3"/>
      <c r="FD425" s="13"/>
      <c r="FE425" s="13"/>
      <c r="FF425" s="13"/>
      <c r="FG425" s="13"/>
      <c r="FH425" s="13"/>
      <c r="FI425" s="13"/>
      <c r="FJ425" s="13"/>
      <c r="FK425" s="13"/>
      <c r="FL425" s="13"/>
      <c r="FM425" s="13"/>
      <c r="FN425" s="13"/>
      <c r="FO425" s="13"/>
      <c r="FP425" s="13"/>
      <c r="FQ425" s="13"/>
      <c r="FR425" s="13"/>
      <c r="FS425" s="13"/>
      <c r="FT425" s="13"/>
      <c r="FU425" s="13"/>
      <c r="FV425" s="13"/>
      <c r="FW425" s="13"/>
      <c r="FX425" s="13"/>
      <c r="FY425" s="13"/>
      <c r="FZ425" s="13"/>
      <c r="GA425" s="13"/>
    </row>
    <row r="426" spans="1:183" s="52" customFormat="1" ht="13.2" x14ac:dyDescent="0.25">
      <c r="A426" s="2"/>
      <c r="B426" s="2"/>
      <c r="C426" s="9">
        <v>1</v>
      </c>
      <c r="D426" s="9">
        <v>5</v>
      </c>
      <c r="E426" s="9">
        <v>29</v>
      </c>
      <c r="F426" s="9">
        <v>36</v>
      </c>
      <c r="G426" s="9">
        <v>54</v>
      </c>
      <c r="H426" s="9">
        <v>57</v>
      </c>
      <c r="I426" s="43"/>
      <c r="J426" s="9">
        <v>57</v>
      </c>
      <c r="K426" s="43"/>
      <c r="L426" s="39">
        <v>45710</v>
      </c>
      <c r="M426" s="43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55"/>
      <c r="Y426" s="146"/>
      <c r="Z426" s="146"/>
      <c r="AA426" s="146"/>
      <c r="AB426" s="146"/>
      <c r="AC426" s="146"/>
      <c r="AD426" s="146"/>
      <c r="AE426" s="146"/>
      <c r="AF426" s="146"/>
      <c r="AG426" s="146"/>
      <c r="AH426" s="146"/>
      <c r="AI426" s="148"/>
      <c r="AJ426" s="1"/>
      <c r="AK426" s="1"/>
      <c r="AL426" s="54"/>
      <c r="AM426" s="1"/>
      <c r="AN426" s="43"/>
      <c r="AO426" s="1"/>
      <c r="AP426" s="1"/>
      <c r="AQ426" s="19"/>
      <c r="AR426" s="54"/>
      <c r="AS426" s="43"/>
      <c r="AT426" s="1"/>
      <c r="AU426" s="1"/>
      <c r="AV426" s="1"/>
      <c r="AW426" s="54"/>
      <c r="AX426" s="57"/>
      <c r="AY426" s="54"/>
      <c r="AZ426" s="54"/>
      <c r="BA426" s="54"/>
      <c r="BB426" s="54"/>
      <c r="BC426" s="57"/>
      <c r="BD426" s="1"/>
      <c r="BE426" s="1"/>
      <c r="BF426" s="1"/>
      <c r="BG426" s="54"/>
      <c r="BH426" s="43"/>
      <c r="BI426"/>
      <c r="BJ426" s="13"/>
      <c r="BK426" s="1"/>
      <c r="BL426"/>
      <c r="BM426"/>
      <c r="BN426"/>
      <c r="DY426" s="43"/>
      <c r="DZ426"/>
      <c r="EA426" s="19"/>
      <c r="EB426" s="19"/>
      <c r="EC426" s="9"/>
      <c r="ED426" s="9"/>
      <c r="EE426" s="9"/>
      <c r="EF426" s="9"/>
      <c r="EG426" s="9"/>
      <c r="EH426" s="13"/>
      <c r="EI426" s="13"/>
      <c r="EJ426" s="13"/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  <c r="EV426" s="13"/>
      <c r="EW426" s="13"/>
      <c r="EX426" s="13"/>
      <c r="EY426" s="13"/>
      <c r="EZ426" s="13"/>
      <c r="FA426" s="13"/>
      <c r="FB426" s="13"/>
      <c r="FC426" s="13"/>
      <c r="FD426" s="13"/>
      <c r="FE426" s="13"/>
      <c r="FF426" s="13"/>
      <c r="FG426" s="13"/>
      <c r="FH426" s="13"/>
      <c r="FI426" s="13"/>
      <c r="FJ426" s="13"/>
      <c r="FK426" s="13"/>
      <c r="FL426" s="13"/>
      <c r="FM426" s="13"/>
      <c r="FN426" s="13"/>
      <c r="FO426" s="13"/>
      <c r="FP426" s="13"/>
      <c r="FQ426" s="13"/>
      <c r="FR426" s="13"/>
      <c r="FS426" s="13"/>
      <c r="FT426" s="13"/>
      <c r="FU426" s="13"/>
      <c r="FV426" s="13"/>
      <c r="FW426" s="13"/>
      <c r="FX426" s="13"/>
      <c r="FY426" s="13"/>
      <c r="FZ426" s="13"/>
      <c r="GA426" s="13"/>
    </row>
    <row r="427" spans="1:183" s="52" customFormat="1" ht="13.2" x14ac:dyDescent="0.25">
      <c r="A427" s="2"/>
      <c r="B427" s="2"/>
      <c r="C427" s="9">
        <v>26</v>
      </c>
      <c r="D427" s="9">
        <v>42</v>
      </c>
      <c r="E427" s="9">
        <v>69</v>
      </c>
      <c r="F427" s="9">
        <v>70</v>
      </c>
      <c r="G427" s="9">
        <v>74</v>
      </c>
      <c r="H427" s="9">
        <v>88</v>
      </c>
      <c r="I427" s="43"/>
      <c r="J427" s="9">
        <v>88</v>
      </c>
      <c r="K427" s="43"/>
      <c r="L427" s="39">
        <v>45707</v>
      </c>
      <c r="M427" s="43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55"/>
      <c r="Y427" s="146"/>
      <c r="Z427" s="146"/>
      <c r="AA427" s="146"/>
      <c r="AB427" s="146"/>
      <c r="AC427" s="146"/>
      <c r="AD427" s="146"/>
      <c r="AE427" s="146"/>
      <c r="AF427" s="146"/>
      <c r="AG427" s="146"/>
      <c r="AH427" s="146"/>
      <c r="AI427" s="148"/>
      <c r="AJ427" s="1"/>
      <c r="AK427" s="1"/>
      <c r="AL427" s="54"/>
      <c r="AM427" s="1"/>
      <c r="AN427" s="43"/>
      <c r="AO427" s="1"/>
      <c r="AP427" s="1"/>
      <c r="AQ427" s="19"/>
      <c r="AR427" s="54"/>
      <c r="AS427" s="43"/>
      <c r="AT427" s="1"/>
      <c r="AU427" s="1"/>
      <c r="AV427" s="1"/>
      <c r="AW427" s="54"/>
      <c r="AX427" s="57"/>
      <c r="AY427" s="54"/>
      <c r="AZ427" s="54"/>
      <c r="BA427" s="54"/>
      <c r="BB427" s="54"/>
      <c r="BC427" s="57"/>
      <c r="BD427" s="1"/>
      <c r="BE427" s="1"/>
      <c r="BF427" s="1"/>
      <c r="BG427" s="54"/>
      <c r="BH427" s="43"/>
      <c r="BI427"/>
      <c r="BJ427" s="13"/>
      <c r="BK427" s="1"/>
      <c r="BL427"/>
      <c r="BM427"/>
      <c r="BN427"/>
      <c r="DY427" s="43"/>
      <c r="DZ427"/>
      <c r="EA427" s="19"/>
      <c r="EB427" s="19"/>
      <c r="EC427" s="9"/>
      <c r="ED427" s="9"/>
      <c r="EE427" s="9"/>
      <c r="EF427" s="9"/>
      <c r="EG427" s="9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3"/>
      <c r="FD427" s="13"/>
      <c r="FE427" s="13"/>
      <c r="FF427" s="13"/>
      <c r="FG427" s="13"/>
      <c r="FH427" s="13"/>
      <c r="FI427" s="13"/>
      <c r="FJ427" s="13"/>
      <c r="FK427" s="13"/>
      <c r="FL427" s="13"/>
      <c r="FM427" s="13"/>
      <c r="FN427" s="13"/>
      <c r="FO427" s="13"/>
      <c r="FP427" s="13"/>
      <c r="FQ427" s="13"/>
      <c r="FR427" s="13"/>
      <c r="FS427" s="13"/>
      <c r="FT427" s="13"/>
      <c r="FU427" s="13"/>
      <c r="FV427" s="13"/>
      <c r="FW427" s="13"/>
      <c r="FX427" s="13"/>
      <c r="FY427" s="13"/>
      <c r="FZ427" s="13"/>
      <c r="GA427" s="13"/>
    </row>
    <row r="428" spans="1:183" s="52" customFormat="1" ht="13.2" x14ac:dyDescent="0.25">
      <c r="A428" s="2"/>
      <c r="B428" s="2"/>
      <c r="C428" s="9">
        <v>10</v>
      </c>
      <c r="D428" s="9">
        <v>40</v>
      </c>
      <c r="E428" s="9">
        <v>46</v>
      </c>
      <c r="F428" s="9">
        <v>47</v>
      </c>
      <c r="G428" s="9">
        <v>57</v>
      </c>
      <c r="H428" s="9">
        <v>72</v>
      </c>
      <c r="I428" s="43"/>
      <c r="J428" s="9">
        <v>72</v>
      </c>
      <c r="K428" s="43"/>
      <c r="L428" s="39">
        <v>45705</v>
      </c>
      <c r="M428" s="43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55"/>
      <c r="Y428" s="146"/>
      <c r="Z428" s="146"/>
      <c r="AA428" s="146"/>
      <c r="AB428" s="146"/>
      <c r="AC428" s="146"/>
      <c r="AD428" s="146"/>
      <c r="AE428" s="146"/>
      <c r="AF428" s="146"/>
      <c r="AG428" s="146"/>
      <c r="AH428" s="146"/>
      <c r="AI428" s="148"/>
      <c r="AJ428" s="1"/>
      <c r="AK428" s="1"/>
      <c r="AL428" s="54"/>
      <c r="AM428" s="1"/>
      <c r="AN428" s="43"/>
      <c r="AO428" s="1"/>
      <c r="AP428" s="1"/>
      <c r="AQ428" s="19"/>
      <c r="AR428" s="54"/>
      <c r="AS428" s="43"/>
      <c r="AT428" s="1"/>
      <c r="AU428" s="1"/>
      <c r="AV428" s="1"/>
      <c r="AW428" s="54"/>
      <c r="AX428" s="57"/>
      <c r="AY428" s="54"/>
      <c r="AZ428" s="54"/>
      <c r="BA428" s="54"/>
      <c r="BB428" s="54"/>
      <c r="BC428" s="57"/>
      <c r="BD428" s="1"/>
      <c r="BE428" s="1"/>
      <c r="BF428" s="1"/>
      <c r="BG428" s="54"/>
      <c r="BH428" s="43"/>
      <c r="BI428"/>
      <c r="BJ428" s="13"/>
      <c r="BK428" s="1"/>
      <c r="BL428"/>
      <c r="BM428"/>
      <c r="BN428"/>
      <c r="DY428" s="43"/>
      <c r="DZ428"/>
      <c r="EA428" s="19"/>
      <c r="EB428" s="19"/>
      <c r="EC428" s="9"/>
      <c r="ED428" s="9"/>
      <c r="EE428" s="9"/>
      <c r="EF428" s="9"/>
      <c r="EG428" s="9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3"/>
      <c r="FD428" s="13"/>
      <c r="FE428" s="13"/>
      <c r="FF428" s="13"/>
      <c r="FG428" s="13"/>
      <c r="FH428" s="13"/>
      <c r="FI428" s="13"/>
      <c r="FJ428" s="13"/>
      <c r="FK428" s="13"/>
      <c r="FL428" s="13"/>
      <c r="FM428" s="13"/>
      <c r="FN428" s="13"/>
      <c r="FO428" s="13"/>
      <c r="FP428" s="13"/>
      <c r="FQ428" s="13"/>
      <c r="FR428" s="13"/>
      <c r="FS428" s="13"/>
      <c r="FT428" s="13"/>
      <c r="FU428" s="13"/>
      <c r="FV428" s="13"/>
      <c r="FW428" s="13"/>
      <c r="FX428" s="13"/>
      <c r="FY428" s="13"/>
      <c r="FZ428" s="13"/>
      <c r="GA428" s="13"/>
    </row>
    <row r="429" spans="1:183" s="52" customFormat="1" ht="13.2" x14ac:dyDescent="0.25">
      <c r="A429" s="2"/>
      <c r="B429" s="2"/>
      <c r="C429" s="9">
        <v>1</v>
      </c>
      <c r="D429" s="9">
        <v>9</v>
      </c>
      <c r="E429" s="9">
        <v>32</v>
      </c>
      <c r="F429" s="9">
        <v>48</v>
      </c>
      <c r="G429" s="9">
        <v>56</v>
      </c>
      <c r="H429" s="9">
        <v>58</v>
      </c>
      <c r="I429" s="43"/>
      <c r="J429" s="9">
        <v>58</v>
      </c>
      <c r="K429" s="43"/>
      <c r="L429" s="39">
        <v>45703</v>
      </c>
      <c r="M429" s="43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55"/>
      <c r="Y429" s="146"/>
      <c r="Z429" s="146"/>
      <c r="AA429" s="146"/>
      <c r="AB429" s="146"/>
      <c r="AC429" s="146"/>
      <c r="AD429" s="146"/>
      <c r="AE429" s="146"/>
      <c r="AF429" s="146"/>
      <c r="AG429" s="146"/>
      <c r="AH429" s="146"/>
      <c r="AI429" s="148"/>
      <c r="AJ429" s="1"/>
      <c r="AK429" s="1"/>
      <c r="AL429" s="54"/>
      <c r="AM429" s="1"/>
      <c r="AN429" s="43"/>
      <c r="AO429" s="1"/>
      <c r="AP429" s="1"/>
      <c r="AQ429" s="19"/>
      <c r="AR429" s="54"/>
      <c r="AS429" s="43"/>
      <c r="AT429" s="1"/>
      <c r="AU429" s="1"/>
      <c r="AV429" s="1"/>
      <c r="AW429" s="54"/>
      <c r="AX429" s="57"/>
      <c r="AY429" s="54"/>
      <c r="AZ429" s="54"/>
      <c r="BA429" s="54"/>
      <c r="BB429" s="54"/>
      <c r="BC429" s="57"/>
      <c r="BD429" s="1"/>
      <c r="BE429" s="1"/>
      <c r="BF429" s="1"/>
      <c r="BG429" s="54"/>
      <c r="BH429" s="43"/>
      <c r="BI429"/>
      <c r="BJ429" s="13"/>
      <c r="BK429" s="1"/>
      <c r="BL429"/>
      <c r="BM429"/>
      <c r="BN429"/>
      <c r="DY429" s="43"/>
      <c r="DZ429"/>
      <c r="EA429" s="19"/>
      <c r="EB429" s="19"/>
      <c r="EC429" s="9"/>
      <c r="ED429" s="9"/>
      <c r="EE429" s="9"/>
      <c r="EF429" s="9"/>
      <c r="EG429" s="9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3"/>
      <c r="FD429" s="13"/>
      <c r="FE429" s="13"/>
      <c r="FF429" s="13"/>
      <c r="FG429" s="13"/>
      <c r="FH429" s="13"/>
      <c r="FI429" s="13"/>
      <c r="FJ429" s="13"/>
      <c r="FK429" s="13"/>
      <c r="FL429" s="13"/>
      <c r="FM429" s="13"/>
      <c r="FN429" s="13"/>
      <c r="FO429" s="13"/>
      <c r="FP429" s="13"/>
      <c r="FQ429" s="13"/>
      <c r="FR429" s="13"/>
      <c r="FS429" s="13"/>
      <c r="FT429" s="13"/>
      <c r="FU429" s="13"/>
      <c r="FV429" s="13"/>
      <c r="FW429" s="13"/>
      <c r="FX429" s="13"/>
      <c r="FY429" s="13"/>
      <c r="FZ429" s="13"/>
      <c r="GA429" s="13"/>
    </row>
    <row r="430" spans="1:183" s="52" customFormat="1" ht="13.2" x14ac:dyDescent="0.25">
      <c r="A430" s="2"/>
      <c r="B430" s="2"/>
      <c r="C430" s="9">
        <v>2</v>
      </c>
      <c r="D430" s="9">
        <v>20</v>
      </c>
      <c r="E430" s="9">
        <v>34</v>
      </c>
      <c r="F430" s="9">
        <v>46</v>
      </c>
      <c r="G430" s="9">
        <v>55</v>
      </c>
      <c r="H430" s="9">
        <v>60</v>
      </c>
      <c r="I430" s="43"/>
      <c r="J430" s="9">
        <v>60</v>
      </c>
      <c r="K430" s="43"/>
      <c r="L430" s="39">
        <v>45700</v>
      </c>
      <c r="M430" s="43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55"/>
      <c r="Y430" s="146"/>
      <c r="Z430" s="146"/>
      <c r="AA430" s="146"/>
      <c r="AB430" s="146"/>
      <c r="AC430" s="146"/>
      <c r="AD430" s="146"/>
      <c r="AE430" s="146"/>
      <c r="AF430" s="146"/>
      <c r="AG430" s="146"/>
      <c r="AH430" s="146"/>
      <c r="AI430" s="148"/>
      <c r="AJ430" s="1"/>
      <c r="AK430" s="1"/>
      <c r="AL430" s="54"/>
      <c r="AM430" s="1"/>
      <c r="AN430" s="43"/>
      <c r="AO430" s="1"/>
      <c r="AP430" s="1"/>
      <c r="AQ430" s="19"/>
      <c r="AR430" s="54"/>
      <c r="AS430" s="43"/>
      <c r="AT430" s="1"/>
      <c r="AU430" s="1"/>
      <c r="AV430" s="1"/>
      <c r="AW430" s="54"/>
      <c r="AX430" s="57"/>
      <c r="AY430" s="54"/>
      <c r="AZ430" s="54"/>
      <c r="BA430" s="54"/>
      <c r="BB430" s="54"/>
      <c r="BC430" s="57"/>
      <c r="BD430" s="1"/>
      <c r="BE430" s="1"/>
      <c r="BF430" s="1"/>
      <c r="BG430" s="54"/>
      <c r="BH430" s="43"/>
      <c r="BI430"/>
      <c r="BJ430" s="13"/>
      <c r="BK430" s="1"/>
      <c r="BL430"/>
      <c r="BM430"/>
      <c r="BN430"/>
      <c r="DY430" s="43"/>
      <c r="DZ430"/>
      <c r="EA430" s="19"/>
      <c r="EB430" s="19"/>
      <c r="EC430" s="9"/>
      <c r="ED430" s="9"/>
      <c r="EE430" s="9"/>
      <c r="EF430" s="9"/>
      <c r="EG430" s="9"/>
      <c r="EH430" s="13"/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3"/>
      <c r="FD430" s="13"/>
      <c r="FE430" s="13"/>
      <c r="FF430" s="13"/>
      <c r="FG430" s="13"/>
      <c r="FH430" s="13"/>
      <c r="FI430" s="13"/>
      <c r="FJ430" s="13"/>
      <c r="FK430" s="13"/>
      <c r="FL430" s="13"/>
      <c r="FM430" s="13"/>
      <c r="FN430" s="13"/>
      <c r="FO430" s="13"/>
      <c r="FP430" s="13"/>
      <c r="FQ430" s="13"/>
      <c r="FR430" s="13"/>
      <c r="FS430" s="13"/>
      <c r="FT430" s="13"/>
      <c r="FU430" s="13"/>
      <c r="FV430" s="13"/>
      <c r="FW430" s="13"/>
      <c r="FX430" s="13"/>
      <c r="FY430" s="13"/>
      <c r="FZ430" s="13"/>
      <c r="GA430" s="13"/>
    </row>
    <row r="431" spans="1:183" s="52" customFormat="1" ht="13.2" x14ac:dyDescent="0.25">
      <c r="A431" s="2"/>
      <c r="B431" s="2"/>
      <c r="C431" s="9">
        <v>13</v>
      </c>
      <c r="D431" s="9">
        <v>31</v>
      </c>
      <c r="E431" s="9">
        <v>34</v>
      </c>
      <c r="F431" s="9">
        <v>64</v>
      </c>
      <c r="G431" s="9">
        <v>69</v>
      </c>
      <c r="H431" s="9">
        <v>88</v>
      </c>
      <c r="I431" s="43"/>
      <c r="J431" s="9">
        <v>88</v>
      </c>
      <c r="K431" s="43"/>
      <c r="L431" s="39">
        <v>45698</v>
      </c>
      <c r="M431" s="43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55"/>
      <c r="Y431" s="146"/>
      <c r="Z431" s="146"/>
      <c r="AA431" s="146"/>
      <c r="AB431" s="146"/>
      <c r="AC431" s="146"/>
      <c r="AD431" s="146"/>
      <c r="AE431" s="146"/>
      <c r="AF431" s="146"/>
      <c r="AG431" s="146"/>
      <c r="AH431" s="146"/>
      <c r="AI431" s="148"/>
      <c r="AJ431" s="1"/>
      <c r="AK431" s="1"/>
      <c r="AL431" s="54"/>
      <c r="AM431" s="1"/>
      <c r="AN431" s="43"/>
      <c r="AO431" s="1"/>
      <c r="AP431" s="1"/>
      <c r="AQ431" s="19"/>
      <c r="AR431" s="54"/>
      <c r="AS431" s="43"/>
      <c r="AT431" s="1"/>
      <c r="AU431" s="1"/>
      <c r="AV431" s="1"/>
      <c r="AW431" s="54"/>
      <c r="AX431" s="57"/>
      <c r="AY431" s="54"/>
      <c r="AZ431" s="54"/>
      <c r="BA431" s="54"/>
      <c r="BB431" s="54"/>
      <c r="BC431" s="57"/>
      <c r="BD431" s="1"/>
      <c r="BE431" s="1"/>
      <c r="BF431" s="1"/>
      <c r="BG431" s="54"/>
      <c r="BH431" s="43"/>
      <c r="BI431"/>
      <c r="BJ431" s="13"/>
      <c r="BK431" s="1"/>
      <c r="BL431"/>
      <c r="BM431"/>
      <c r="BN431"/>
      <c r="DY431" s="43"/>
      <c r="DZ431"/>
      <c r="EA431" s="19"/>
      <c r="EB431" s="19"/>
      <c r="EC431" s="9"/>
      <c r="ED431" s="9"/>
      <c r="EE431" s="9"/>
      <c r="EF431" s="9"/>
      <c r="EG431" s="9"/>
      <c r="EH431" s="13"/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/>
      <c r="FB431" s="13"/>
      <c r="FC431" s="13"/>
      <c r="FD431" s="13"/>
      <c r="FE431" s="13"/>
      <c r="FF431" s="13"/>
      <c r="FG431" s="13"/>
      <c r="FH431" s="13"/>
      <c r="FI431" s="13"/>
      <c r="FJ431" s="13"/>
      <c r="FK431" s="13"/>
      <c r="FL431" s="13"/>
      <c r="FM431" s="13"/>
      <c r="FN431" s="13"/>
      <c r="FO431" s="13"/>
      <c r="FP431" s="13"/>
      <c r="FQ431" s="13"/>
      <c r="FR431" s="13"/>
      <c r="FS431" s="13"/>
      <c r="FT431" s="13"/>
      <c r="FU431" s="13"/>
      <c r="FV431" s="13"/>
      <c r="FW431" s="13"/>
      <c r="FX431" s="13"/>
      <c r="FY431" s="13"/>
      <c r="FZ431" s="13"/>
      <c r="GA431" s="13"/>
    </row>
    <row r="432" spans="1:183" s="52" customFormat="1" ht="13.2" x14ac:dyDescent="0.25">
      <c r="A432" s="2"/>
      <c r="B432" s="2"/>
      <c r="C432" s="9">
        <v>6</v>
      </c>
      <c r="D432" s="9">
        <v>7</v>
      </c>
      <c r="E432" s="9">
        <v>25</v>
      </c>
      <c r="F432" s="9">
        <v>48</v>
      </c>
      <c r="G432" s="9">
        <v>78</v>
      </c>
      <c r="H432" s="9">
        <v>89</v>
      </c>
      <c r="I432" s="43"/>
      <c r="J432" s="9">
        <v>89</v>
      </c>
      <c r="K432" s="43"/>
      <c r="L432" s="39">
        <v>45696</v>
      </c>
      <c r="M432" s="43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55"/>
      <c r="Y432" s="146"/>
      <c r="Z432" s="146"/>
      <c r="AA432" s="146"/>
      <c r="AB432" s="146"/>
      <c r="AC432" s="146"/>
      <c r="AD432" s="146"/>
      <c r="AE432" s="146"/>
      <c r="AF432" s="146"/>
      <c r="AG432" s="146"/>
      <c r="AH432" s="146"/>
      <c r="AI432" s="148"/>
      <c r="AJ432" s="1"/>
      <c r="AK432" s="1"/>
      <c r="AL432" s="54"/>
      <c r="AM432" s="1"/>
      <c r="AN432" s="43"/>
      <c r="AO432" s="1"/>
      <c r="AP432" s="1"/>
      <c r="AQ432" s="19"/>
      <c r="AR432" s="54"/>
      <c r="AS432" s="43"/>
      <c r="AT432" s="1"/>
      <c r="AU432" s="1"/>
      <c r="AV432" s="1"/>
      <c r="AW432" s="54"/>
      <c r="AX432" s="57"/>
      <c r="AY432" s="54"/>
      <c r="AZ432" s="54"/>
      <c r="BA432" s="54"/>
      <c r="BB432" s="54"/>
      <c r="BC432" s="57"/>
      <c r="BD432" s="1"/>
      <c r="BE432" s="1"/>
      <c r="BF432" s="1"/>
      <c r="BG432" s="54"/>
      <c r="BH432" s="43"/>
      <c r="BI432"/>
      <c r="BJ432" s="13"/>
      <c r="BK432" s="1"/>
      <c r="BL432"/>
      <c r="BM432"/>
      <c r="BN432"/>
      <c r="DY432" s="43"/>
      <c r="DZ432"/>
      <c r="EA432" s="19"/>
      <c r="EB432" s="19"/>
      <c r="EC432" s="9"/>
      <c r="ED432" s="9"/>
      <c r="EE432" s="9"/>
      <c r="EF432" s="9"/>
      <c r="EG432" s="9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  <c r="FI432" s="13"/>
      <c r="FJ432" s="13"/>
      <c r="FK432" s="13"/>
      <c r="FL432" s="13"/>
      <c r="FM432" s="13"/>
      <c r="FN432" s="13"/>
      <c r="FO432" s="13"/>
      <c r="FP432" s="13"/>
      <c r="FQ432" s="13"/>
      <c r="FR432" s="13"/>
      <c r="FS432" s="13"/>
      <c r="FT432" s="13"/>
      <c r="FU432" s="13"/>
      <c r="FV432" s="13"/>
      <c r="FW432" s="13"/>
      <c r="FX432" s="13"/>
      <c r="FY432" s="13"/>
      <c r="FZ432" s="13"/>
      <c r="GA432" s="13"/>
    </row>
    <row r="433" spans="1:183" s="52" customFormat="1" ht="13.2" x14ac:dyDescent="0.25">
      <c r="A433" s="2"/>
      <c r="B433" s="2"/>
      <c r="C433" s="9">
        <v>37</v>
      </c>
      <c r="D433" s="9">
        <v>38</v>
      </c>
      <c r="E433" s="9">
        <v>41</v>
      </c>
      <c r="F433" s="9">
        <v>64</v>
      </c>
      <c r="G433" s="9">
        <v>76</v>
      </c>
      <c r="H433" s="9">
        <v>80</v>
      </c>
      <c r="I433" s="43"/>
      <c r="J433" s="9">
        <v>80</v>
      </c>
      <c r="K433" s="43"/>
      <c r="L433" s="39">
        <v>45693</v>
      </c>
      <c r="M433" s="43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55"/>
      <c r="Y433" s="146"/>
      <c r="Z433" s="146"/>
      <c r="AA433" s="146"/>
      <c r="AB433" s="146"/>
      <c r="AC433" s="146"/>
      <c r="AD433" s="146"/>
      <c r="AE433" s="146"/>
      <c r="AF433" s="146"/>
      <c r="AG433" s="146"/>
      <c r="AH433" s="146"/>
      <c r="AI433" s="148"/>
      <c r="AJ433" s="1"/>
      <c r="AK433" s="1"/>
      <c r="AL433" s="54"/>
      <c r="AM433" s="1"/>
      <c r="AN433" s="43"/>
      <c r="AO433" s="1"/>
      <c r="AP433" s="1"/>
      <c r="AQ433" s="19"/>
      <c r="AR433" s="54"/>
      <c r="AS433" s="43"/>
      <c r="AT433" s="1"/>
      <c r="AU433" s="1"/>
      <c r="AV433" s="1"/>
      <c r="AW433" s="54"/>
      <c r="AX433" s="57"/>
      <c r="AY433" s="54"/>
      <c r="AZ433" s="54"/>
      <c r="BA433" s="54"/>
      <c r="BB433" s="54"/>
      <c r="BC433" s="57"/>
      <c r="BD433" s="1"/>
      <c r="BE433" s="1"/>
      <c r="BF433" s="1"/>
      <c r="BG433" s="54"/>
      <c r="BH433" s="43"/>
      <c r="BI433"/>
      <c r="BJ433" s="13"/>
      <c r="BK433" s="1"/>
      <c r="BL433"/>
      <c r="BM433"/>
      <c r="BN433"/>
      <c r="DY433" s="43"/>
      <c r="DZ433"/>
      <c r="EA433" s="19"/>
      <c r="EB433" s="19"/>
      <c r="EC433" s="9"/>
      <c r="ED433" s="9"/>
      <c r="EE433" s="9"/>
      <c r="EF433" s="9"/>
      <c r="EG433" s="9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3"/>
      <c r="FD433" s="13"/>
      <c r="FE433" s="13"/>
      <c r="FF433" s="13"/>
      <c r="FG433" s="13"/>
      <c r="FH433" s="13"/>
      <c r="FI433" s="13"/>
      <c r="FJ433" s="13"/>
      <c r="FK433" s="13"/>
      <c r="FL433" s="13"/>
      <c r="FM433" s="13"/>
      <c r="FN433" s="13"/>
      <c r="FO433" s="13"/>
      <c r="FP433" s="13"/>
      <c r="FQ433" s="13"/>
      <c r="FR433" s="13"/>
      <c r="FS433" s="13"/>
      <c r="FT433" s="13"/>
      <c r="FU433" s="13"/>
      <c r="FV433" s="13"/>
      <c r="FW433" s="13"/>
      <c r="FX433" s="13"/>
      <c r="FY433" s="13"/>
      <c r="FZ433" s="13"/>
      <c r="GA433" s="13"/>
    </row>
    <row r="434" spans="1:183" s="52" customFormat="1" ht="13.2" x14ac:dyDescent="0.25">
      <c r="A434" s="2"/>
      <c r="B434" s="2"/>
      <c r="C434" s="9">
        <v>11</v>
      </c>
      <c r="D434" s="9">
        <v>29</v>
      </c>
      <c r="E434" s="9">
        <v>33</v>
      </c>
      <c r="F434" s="9">
        <v>51</v>
      </c>
      <c r="G434" s="9">
        <v>56</v>
      </c>
      <c r="H434" s="9">
        <v>86</v>
      </c>
      <c r="I434" s="43"/>
      <c r="J434" s="9">
        <v>86</v>
      </c>
      <c r="K434" s="43"/>
      <c r="L434" s="39">
        <v>45691</v>
      </c>
      <c r="M434" s="43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55"/>
      <c r="Y434" s="146"/>
      <c r="Z434" s="146"/>
      <c r="AA434" s="146"/>
      <c r="AB434" s="146"/>
      <c r="AC434" s="146"/>
      <c r="AD434" s="146"/>
      <c r="AE434" s="146"/>
      <c r="AF434" s="146"/>
      <c r="AG434" s="146"/>
      <c r="AH434" s="146"/>
      <c r="AI434" s="148"/>
      <c r="AJ434" s="1"/>
      <c r="AK434" s="1"/>
      <c r="AL434" s="54"/>
      <c r="AM434" s="1"/>
      <c r="AN434" s="43"/>
      <c r="AO434" s="1"/>
      <c r="AP434" s="1"/>
      <c r="AQ434" s="19"/>
      <c r="AR434" s="54"/>
      <c r="AS434" s="43"/>
      <c r="AT434" s="1"/>
      <c r="AU434" s="1"/>
      <c r="AV434" s="1"/>
      <c r="AW434" s="54"/>
      <c r="AX434" s="57"/>
      <c r="AY434" s="54"/>
      <c r="AZ434" s="54"/>
      <c r="BA434" s="54"/>
      <c r="BB434" s="54"/>
      <c r="BC434" s="57"/>
      <c r="BD434" s="1"/>
      <c r="BE434" s="1"/>
      <c r="BF434" s="1"/>
      <c r="BG434" s="54"/>
      <c r="BH434" s="43"/>
      <c r="BI434"/>
      <c r="BJ434" s="13"/>
      <c r="BK434" s="1"/>
      <c r="BL434"/>
      <c r="BM434"/>
      <c r="BN434"/>
      <c r="DY434" s="43"/>
      <c r="DZ434"/>
      <c r="EA434" s="19"/>
      <c r="EB434" s="19"/>
      <c r="EC434" s="9"/>
      <c r="ED434" s="9"/>
      <c r="EE434" s="9"/>
      <c r="EF434" s="9"/>
      <c r="EG434" s="9"/>
      <c r="EH434" s="13"/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/>
      <c r="FB434" s="13"/>
      <c r="FC434" s="13"/>
      <c r="FD434" s="13"/>
      <c r="FE434" s="13"/>
      <c r="FF434" s="13"/>
      <c r="FG434" s="13"/>
      <c r="FH434" s="13"/>
      <c r="FI434" s="13"/>
      <c r="FJ434" s="13"/>
      <c r="FK434" s="13"/>
      <c r="FL434" s="13"/>
      <c r="FM434" s="13"/>
      <c r="FN434" s="13"/>
      <c r="FO434" s="13"/>
      <c r="FP434" s="13"/>
      <c r="FQ434" s="13"/>
      <c r="FR434" s="13"/>
      <c r="FS434" s="13"/>
      <c r="FT434" s="13"/>
      <c r="FU434" s="13"/>
      <c r="FV434" s="13"/>
      <c r="FW434" s="13"/>
      <c r="FX434" s="13"/>
      <c r="FY434" s="13"/>
      <c r="FZ434" s="13"/>
      <c r="GA434" s="13"/>
    </row>
    <row r="435" spans="1:183" s="52" customFormat="1" ht="13.2" x14ac:dyDescent="0.25">
      <c r="A435" s="2"/>
      <c r="B435" s="2"/>
      <c r="C435" s="9">
        <v>4</v>
      </c>
      <c r="D435" s="9">
        <v>38</v>
      </c>
      <c r="E435" s="9">
        <v>56</v>
      </c>
      <c r="F435" s="9">
        <v>61</v>
      </c>
      <c r="G435" s="9">
        <v>68</v>
      </c>
      <c r="H435" s="9">
        <v>70</v>
      </c>
      <c r="I435" s="43"/>
      <c r="J435" s="9">
        <v>70</v>
      </c>
      <c r="K435" s="43"/>
      <c r="L435" s="39">
        <v>45689</v>
      </c>
      <c r="M435" s="43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55"/>
      <c r="Y435" s="146"/>
      <c r="Z435" s="146"/>
      <c r="AA435" s="146"/>
      <c r="AB435" s="146"/>
      <c r="AC435" s="146"/>
      <c r="AD435" s="146"/>
      <c r="AE435" s="146"/>
      <c r="AF435" s="146"/>
      <c r="AG435" s="146"/>
      <c r="AH435" s="146"/>
      <c r="AI435" s="148"/>
      <c r="AJ435" s="1"/>
      <c r="AK435" s="1"/>
      <c r="AL435" s="54"/>
      <c r="AM435" s="1"/>
      <c r="AN435" s="43"/>
      <c r="AO435" s="1"/>
      <c r="AP435" s="1"/>
      <c r="AQ435" s="19"/>
      <c r="AR435" s="54"/>
      <c r="AS435" s="43"/>
      <c r="AT435" s="1"/>
      <c r="AU435" s="1"/>
      <c r="AV435" s="1"/>
      <c r="AW435" s="54"/>
      <c r="AX435" s="57"/>
      <c r="AY435" s="54"/>
      <c r="AZ435" s="54"/>
      <c r="BA435" s="54"/>
      <c r="BB435" s="54"/>
      <c r="BC435" s="57"/>
      <c r="BD435" s="1"/>
      <c r="BE435" s="1"/>
      <c r="BF435" s="1"/>
      <c r="BG435" s="54"/>
      <c r="BH435" s="43"/>
      <c r="BI435"/>
      <c r="BJ435" s="13"/>
      <c r="BK435" s="1"/>
      <c r="BL435"/>
      <c r="BM435"/>
      <c r="BN435"/>
      <c r="DY435" s="43"/>
      <c r="DZ435"/>
      <c r="EA435" s="19"/>
      <c r="EB435" s="19"/>
      <c r="EC435" s="9"/>
      <c r="ED435" s="9"/>
      <c r="EE435" s="9"/>
      <c r="EF435" s="9"/>
      <c r="EG435" s="9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3"/>
      <c r="FD435" s="13"/>
      <c r="FE435" s="13"/>
      <c r="FF435" s="13"/>
      <c r="FG435" s="13"/>
      <c r="FH435" s="13"/>
      <c r="FI435" s="13"/>
      <c r="FJ435" s="13"/>
      <c r="FK435" s="13"/>
      <c r="FL435" s="13"/>
      <c r="FM435" s="13"/>
      <c r="FN435" s="13"/>
      <c r="FO435" s="13"/>
      <c r="FP435" s="13"/>
      <c r="FQ435" s="13"/>
      <c r="FR435" s="13"/>
      <c r="FS435" s="13"/>
      <c r="FT435" s="13"/>
      <c r="FU435" s="13"/>
      <c r="FV435" s="13"/>
      <c r="FW435" s="13"/>
      <c r="FX435" s="13"/>
      <c r="FY435" s="13"/>
      <c r="FZ435" s="13"/>
      <c r="GA435" s="13"/>
    </row>
    <row r="436" spans="1:183" s="52" customFormat="1" ht="13.2" x14ac:dyDescent="0.25">
      <c r="A436" s="2"/>
      <c r="B436" s="2"/>
      <c r="C436" s="9">
        <v>17</v>
      </c>
      <c r="D436" s="9">
        <v>29</v>
      </c>
      <c r="E436" s="9">
        <v>50</v>
      </c>
      <c r="F436" s="9">
        <v>71</v>
      </c>
      <c r="G436" s="9">
        <v>76</v>
      </c>
      <c r="H436" s="9">
        <v>89</v>
      </c>
      <c r="I436" s="43"/>
      <c r="J436" s="9">
        <v>89</v>
      </c>
      <c r="K436" s="43"/>
      <c r="L436" s="39">
        <v>45686</v>
      </c>
      <c r="M436" s="43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55"/>
      <c r="Y436" s="146"/>
      <c r="Z436" s="146"/>
      <c r="AA436" s="146"/>
      <c r="AB436" s="146"/>
      <c r="AC436" s="146"/>
      <c r="AD436" s="146"/>
      <c r="AE436" s="146"/>
      <c r="AF436" s="146"/>
      <c r="AG436" s="146"/>
      <c r="AH436" s="146"/>
      <c r="AI436" s="148"/>
      <c r="AJ436" s="1"/>
      <c r="AK436" s="1"/>
      <c r="AL436" s="54"/>
      <c r="AM436" s="1"/>
      <c r="AN436" s="43"/>
      <c r="AO436" s="1"/>
      <c r="AP436" s="1"/>
      <c r="AQ436" s="19"/>
      <c r="AR436" s="54"/>
      <c r="AS436" s="43"/>
      <c r="AT436" s="1"/>
      <c r="AU436" s="1"/>
      <c r="AV436" s="1"/>
      <c r="AW436" s="54"/>
      <c r="AX436" s="57"/>
      <c r="AY436" s="54"/>
      <c r="AZ436" s="54"/>
      <c r="BA436" s="54"/>
      <c r="BB436" s="54"/>
      <c r="BC436" s="57"/>
      <c r="BD436" s="1"/>
      <c r="BE436" s="1"/>
      <c r="BF436" s="1"/>
      <c r="BG436" s="54"/>
      <c r="BH436" s="43"/>
      <c r="BI436"/>
      <c r="BJ436" s="13"/>
      <c r="BK436" s="1"/>
      <c r="BL436"/>
      <c r="BM436"/>
      <c r="BN436"/>
      <c r="DY436" s="43"/>
      <c r="DZ436"/>
      <c r="EA436" s="19"/>
      <c r="EB436" s="19"/>
      <c r="EC436" s="9"/>
      <c r="ED436" s="9"/>
      <c r="EE436" s="9"/>
      <c r="EF436" s="9"/>
      <c r="EG436" s="9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3"/>
      <c r="FD436" s="13"/>
      <c r="FE436" s="13"/>
      <c r="FF436" s="13"/>
      <c r="FG436" s="13"/>
      <c r="FH436" s="13"/>
      <c r="FI436" s="13"/>
      <c r="FJ436" s="13"/>
      <c r="FK436" s="13"/>
      <c r="FL436" s="13"/>
      <c r="FM436" s="13"/>
      <c r="FN436" s="13"/>
      <c r="FO436" s="13"/>
      <c r="FP436" s="13"/>
      <c r="FQ436" s="13"/>
      <c r="FR436" s="13"/>
      <c r="FS436" s="13"/>
      <c r="FT436" s="13"/>
      <c r="FU436" s="13"/>
      <c r="FV436" s="13"/>
      <c r="FW436" s="13"/>
      <c r="FX436" s="13"/>
      <c r="FY436" s="13"/>
      <c r="FZ436" s="13"/>
      <c r="GA436" s="13"/>
    </row>
    <row r="437" spans="1:183" s="52" customFormat="1" ht="13.2" x14ac:dyDescent="0.25">
      <c r="A437" s="2"/>
      <c r="B437" s="2"/>
      <c r="C437" s="9">
        <v>1</v>
      </c>
      <c r="D437" s="9">
        <v>2</v>
      </c>
      <c r="E437" s="9">
        <v>14</v>
      </c>
      <c r="F437" s="9">
        <v>34</v>
      </c>
      <c r="G437" s="9">
        <v>54</v>
      </c>
      <c r="H437" s="9">
        <v>56</v>
      </c>
      <c r="I437" s="43"/>
      <c r="J437" s="9">
        <v>56</v>
      </c>
      <c r="K437" s="43"/>
      <c r="L437" s="39">
        <v>45684</v>
      </c>
      <c r="M437" s="43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55"/>
      <c r="Y437" s="146"/>
      <c r="Z437" s="146"/>
      <c r="AA437" s="146"/>
      <c r="AB437" s="146"/>
      <c r="AC437" s="146"/>
      <c r="AD437" s="146"/>
      <c r="AE437" s="146"/>
      <c r="AF437" s="146"/>
      <c r="AG437" s="146"/>
      <c r="AH437" s="146"/>
      <c r="AI437" s="148"/>
      <c r="AJ437" s="1"/>
      <c r="AK437" s="1"/>
      <c r="AL437" s="54"/>
      <c r="AM437" s="1"/>
      <c r="AN437" s="43"/>
      <c r="AO437" s="1"/>
      <c r="AP437" s="1"/>
      <c r="AQ437" s="19"/>
      <c r="AR437" s="54"/>
      <c r="AS437" s="43"/>
      <c r="AT437" s="1"/>
      <c r="AU437" s="1"/>
      <c r="AV437" s="1"/>
      <c r="AW437" s="54"/>
      <c r="AX437" s="57"/>
      <c r="AY437" s="54"/>
      <c r="AZ437" s="54"/>
      <c r="BA437" s="54"/>
      <c r="BB437" s="54"/>
      <c r="BC437" s="57"/>
      <c r="BD437" s="1"/>
      <c r="BE437" s="1"/>
      <c r="BF437" s="1"/>
      <c r="BG437" s="54"/>
      <c r="BH437" s="43"/>
      <c r="BI437"/>
      <c r="BJ437" s="13"/>
      <c r="BK437" s="1"/>
      <c r="BL437"/>
      <c r="BM437"/>
      <c r="BN437"/>
      <c r="DY437" s="43"/>
      <c r="DZ437"/>
      <c r="EA437" s="19"/>
      <c r="EB437" s="19"/>
      <c r="EC437" s="9"/>
      <c r="ED437" s="9"/>
      <c r="EE437" s="9"/>
      <c r="EF437" s="9"/>
      <c r="EG437" s="9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  <c r="FI437" s="13"/>
      <c r="FJ437" s="13"/>
      <c r="FK437" s="13"/>
      <c r="FL437" s="13"/>
      <c r="FM437" s="13"/>
      <c r="FN437" s="13"/>
      <c r="FO437" s="13"/>
      <c r="FP437" s="13"/>
      <c r="FQ437" s="13"/>
      <c r="FR437" s="13"/>
      <c r="FS437" s="13"/>
      <c r="FT437" s="13"/>
      <c r="FU437" s="13"/>
      <c r="FV437" s="13"/>
      <c r="FW437" s="13"/>
      <c r="FX437" s="13"/>
      <c r="FY437" s="13"/>
      <c r="FZ437" s="13"/>
      <c r="GA437" s="13"/>
    </row>
    <row r="438" spans="1:183" s="52" customFormat="1" ht="13.2" x14ac:dyDescent="0.25">
      <c r="A438" s="2"/>
      <c r="B438" s="2"/>
      <c r="C438" s="9">
        <v>1</v>
      </c>
      <c r="D438" s="9">
        <v>18</v>
      </c>
      <c r="E438" s="9">
        <v>46</v>
      </c>
      <c r="F438" s="9">
        <v>54</v>
      </c>
      <c r="G438" s="9">
        <v>70</v>
      </c>
      <c r="H438" s="9">
        <v>88</v>
      </c>
      <c r="I438" s="43"/>
      <c r="J438" s="9">
        <v>88</v>
      </c>
      <c r="K438" s="43"/>
      <c r="L438" s="39">
        <v>45682</v>
      </c>
      <c r="M438" s="43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55"/>
      <c r="Y438" s="146"/>
      <c r="Z438" s="146"/>
      <c r="AA438" s="146"/>
      <c r="AB438" s="146"/>
      <c r="AC438" s="146"/>
      <c r="AD438" s="146"/>
      <c r="AE438" s="146"/>
      <c r="AF438" s="146"/>
      <c r="AG438" s="146"/>
      <c r="AH438" s="146"/>
      <c r="AI438" s="148"/>
      <c r="AJ438" s="1"/>
      <c r="AK438" s="1"/>
      <c r="AL438" s="54"/>
      <c r="AM438" s="1"/>
      <c r="AN438" s="43"/>
      <c r="AO438" s="1"/>
      <c r="AP438" s="1"/>
      <c r="AQ438" s="19"/>
      <c r="AR438" s="54"/>
      <c r="AS438" s="43"/>
      <c r="AT438" s="1"/>
      <c r="AU438" s="1"/>
      <c r="AV438" s="1"/>
      <c r="AW438" s="54"/>
      <c r="AX438" s="57"/>
      <c r="AY438" s="54"/>
      <c r="AZ438" s="54"/>
      <c r="BA438" s="54"/>
      <c r="BB438" s="54"/>
      <c r="BC438" s="57"/>
      <c r="BD438" s="1"/>
      <c r="BE438" s="1"/>
      <c r="BF438" s="1"/>
      <c r="BG438" s="54"/>
      <c r="BH438" s="43"/>
      <c r="BI438"/>
      <c r="BJ438" s="13"/>
      <c r="BK438" s="1"/>
      <c r="BL438"/>
      <c r="BM438"/>
      <c r="BN438"/>
      <c r="DY438" s="43"/>
      <c r="DZ438"/>
      <c r="EA438" s="19"/>
      <c r="EB438" s="19"/>
      <c r="EC438" s="9"/>
      <c r="ED438" s="9"/>
      <c r="EE438" s="9"/>
      <c r="EF438" s="9"/>
      <c r="EG438" s="9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/>
      <c r="FB438" s="13"/>
      <c r="FC438" s="13"/>
      <c r="FD438" s="13"/>
      <c r="FE438" s="13"/>
      <c r="FF438" s="13"/>
      <c r="FG438" s="13"/>
      <c r="FH438" s="13"/>
      <c r="FI438" s="13"/>
      <c r="FJ438" s="13"/>
      <c r="FK438" s="13"/>
      <c r="FL438" s="13"/>
      <c r="FM438" s="13"/>
      <c r="FN438" s="13"/>
      <c r="FO438" s="13"/>
      <c r="FP438" s="13"/>
      <c r="FQ438" s="13"/>
      <c r="FR438" s="13"/>
      <c r="FS438" s="13"/>
      <c r="FT438" s="13"/>
      <c r="FU438" s="13"/>
      <c r="FV438" s="13"/>
      <c r="FW438" s="13"/>
      <c r="FX438" s="13"/>
      <c r="FY438" s="13"/>
      <c r="FZ438" s="13"/>
      <c r="GA438" s="13"/>
    </row>
    <row r="439" spans="1:183" s="52" customFormat="1" ht="13.2" x14ac:dyDescent="0.25">
      <c r="A439" s="2"/>
      <c r="B439" s="2"/>
      <c r="C439" s="9">
        <v>2</v>
      </c>
      <c r="D439" s="9">
        <v>20</v>
      </c>
      <c r="E439" s="9">
        <v>28</v>
      </c>
      <c r="F439" s="9">
        <v>44</v>
      </c>
      <c r="G439" s="9">
        <v>57</v>
      </c>
      <c r="H439" s="9">
        <v>88</v>
      </c>
      <c r="I439" s="43"/>
      <c r="J439" s="9">
        <v>88</v>
      </c>
      <c r="K439" s="43"/>
      <c r="L439" s="39">
        <v>45679</v>
      </c>
      <c r="M439" s="43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55"/>
      <c r="Y439" s="146"/>
      <c r="Z439" s="146"/>
      <c r="AA439" s="146"/>
      <c r="AB439" s="146"/>
      <c r="AC439" s="146"/>
      <c r="AD439" s="146"/>
      <c r="AE439" s="146"/>
      <c r="AF439" s="146"/>
      <c r="AG439" s="146"/>
      <c r="AH439" s="146"/>
      <c r="AI439" s="148"/>
      <c r="AJ439" s="1"/>
      <c r="AK439" s="1"/>
      <c r="AL439" s="54"/>
      <c r="AM439" s="1"/>
      <c r="AN439" s="43"/>
      <c r="AO439" s="1"/>
      <c r="AP439" s="1"/>
      <c r="AQ439" s="19"/>
      <c r="AR439" s="54"/>
      <c r="AS439" s="43"/>
      <c r="AT439" s="1"/>
      <c r="AU439" s="1"/>
      <c r="AV439" s="1"/>
      <c r="AW439" s="54"/>
      <c r="AX439" s="57"/>
      <c r="AY439" s="54"/>
      <c r="AZ439" s="54"/>
      <c r="BA439" s="54"/>
      <c r="BB439" s="54"/>
      <c r="BC439" s="57"/>
      <c r="BD439" s="1"/>
      <c r="BE439" s="1"/>
      <c r="BF439" s="1"/>
      <c r="BG439" s="54"/>
      <c r="BH439" s="43"/>
      <c r="BI439"/>
      <c r="BJ439" s="13"/>
      <c r="BK439" s="1"/>
      <c r="BL439"/>
      <c r="BM439"/>
      <c r="BN439"/>
      <c r="DY439" s="43"/>
      <c r="DZ439"/>
      <c r="EA439" s="19"/>
      <c r="EB439" s="19"/>
      <c r="EC439" s="9"/>
      <c r="ED439" s="9"/>
      <c r="EE439" s="9"/>
      <c r="EF439" s="9"/>
      <c r="EG439" s="9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3"/>
      <c r="FD439" s="13"/>
      <c r="FE439" s="13"/>
      <c r="FF439" s="13"/>
      <c r="FG439" s="13"/>
      <c r="FH439" s="13"/>
      <c r="FI439" s="13"/>
      <c r="FJ439" s="13"/>
      <c r="FK439" s="13"/>
      <c r="FL439" s="13"/>
      <c r="FM439" s="13"/>
      <c r="FN439" s="13"/>
      <c r="FO439" s="13"/>
      <c r="FP439" s="13"/>
      <c r="FQ439" s="13"/>
      <c r="FR439" s="13"/>
      <c r="FS439" s="13"/>
      <c r="FT439" s="13"/>
      <c r="FU439" s="13"/>
      <c r="FV439" s="13"/>
      <c r="FW439" s="13"/>
      <c r="FX439" s="13"/>
      <c r="FY439" s="13"/>
      <c r="FZ439" s="13"/>
      <c r="GA439" s="13"/>
    </row>
    <row r="440" spans="1:183" s="52" customFormat="1" ht="13.2" x14ac:dyDescent="0.25">
      <c r="A440" s="2"/>
      <c r="B440" s="2"/>
      <c r="C440" s="9">
        <v>13</v>
      </c>
      <c r="D440" s="9">
        <v>25</v>
      </c>
      <c r="E440" s="9">
        <v>30</v>
      </c>
      <c r="F440" s="9">
        <v>33</v>
      </c>
      <c r="G440" s="9">
        <v>82</v>
      </c>
      <c r="H440" s="9">
        <v>86</v>
      </c>
      <c r="I440" s="43"/>
      <c r="J440" s="9">
        <v>86</v>
      </c>
      <c r="K440" s="43"/>
      <c r="L440" s="39">
        <v>45677</v>
      </c>
      <c r="M440" s="43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55"/>
      <c r="Y440" s="146"/>
      <c r="Z440" s="146"/>
      <c r="AA440" s="146"/>
      <c r="AB440" s="146"/>
      <c r="AC440" s="146"/>
      <c r="AD440" s="146"/>
      <c r="AE440" s="146"/>
      <c r="AF440" s="146"/>
      <c r="AG440" s="146"/>
      <c r="AH440" s="146"/>
      <c r="AI440" s="148"/>
      <c r="AJ440" s="1"/>
      <c r="AK440" s="1"/>
      <c r="AL440" s="54"/>
      <c r="AM440" s="1"/>
      <c r="AN440" s="43"/>
      <c r="AO440" s="1"/>
      <c r="AP440" s="1"/>
      <c r="AQ440" s="19"/>
      <c r="AR440" s="54"/>
      <c r="AS440" s="43"/>
      <c r="AT440" s="1"/>
      <c r="AU440" s="1"/>
      <c r="AV440" s="1"/>
      <c r="AW440" s="54"/>
      <c r="AX440" s="57"/>
      <c r="AY440" s="54"/>
      <c r="AZ440" s="54"/>
      <c r="BA440" s="54"/>
      <c r="BB440" s="54"/>
      <c r="BC440" s="57"/>
      <c r="BD440" s="1"/>
      <c r="BE440" s="1"/>
      <c r="BF440" s="1"/>
      <c r="BG440" s="54"/>
      <c r="BH440" s="43"/>
      <c r="BI440"/>
      <c r="BJ440" s="13"/>
      <c r="BK440" s="1"/>
      <c r="BL440"/>
      <c r="BM440"/>
      <c r="BN440"/>
      <c r="DY440" s="43"/>
      <c r="DZ440"/>
      <c r="EA440" s="19"/>
      <c r="EB440" s="19"/>
      <c r="EC440" s="9"/>
      <c r="ED440" s="9"/>
      <c r="EE440" s="9"/>
      <c r="EF440" s="9"/>
      <c r="EG440" s="9"/>
      <c r="EH440" s="13"/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3"/>
      <c r="FD440" s="13"/>
      <c r="FE440" s="13"/>
      <c r="FF440" s="13"/>
      <c r="FG440" s="13"/>
      <c r="FH440" s="13"/>
      <c r="FI440" s="13"/>
      <c r="FJ440" s="13"/>
      <c r="FK440" s="13"/>
      <c r="FL440" s="13"/>
      <c r="FM440" s="13"/>
      <c r="FN440" s="13"/>
      <c r="FO440" s="13"/>
      <c r="FP440" s="13"/>
      <c r="FQ440" s="13"/>
      <c r="FR440" s="13"/>
      <c r="FS440" s="13"/>
      <c r="FT440" s="13"/>
      <c r="FU440" s="13"/>
      <c r="FV440" s="13"/>
      <c r="FW440" s="13"/>
      <c r="FX440" s="13"/>
      <c r="FY440" s="13"/>
      <c r="FZ440" s="13"/>
      <c r="GA440" s="13"/>
    </row>
    <row r="441" spans="1:183" s="52" customFormat="1" ht="13.2" x14ac:dyDescent="0.25">
      <c r="A441" s="2"/>
      <c r="B441" s="2"/>
      <c r="C441" s="9">
        <v>1</v>
      </c>
      <c r="D441" s="9">
        <v>24</v>
      </c>
      <c r="E441" s="9">
        <v>31</v>
      </c>
      <c r="F441" s="9">
        <v>32</v>
      </c>
      <c r="G441" s="9">
        <v>40</v>
      </c>
      <c r="H441" s="9">
        <v>81</v>
      </c>
      <c r="I441" s="43"/>
      <c r="J441" s="9">
        <v>81</v>
      </c>
      <c r="K441" s="43"/>
      <c r="L441" s="39">
        <v>45675</v>
      </c>
      <c r="M441" s="43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55"/>
      <c r="Y441" s="146"/>
      <c r="Z441" s="146"/>
      <c r="AA441" s="146"/>
      <c r="AB441" s="146"/>
      <c r="AC441" s="146"/>
      <c r="AD441" s="146"/>
      <c r="AE441" s="146"/>
      <c r="AF441" s="146"/>
      <c r="AG441" s="146"/>
      <c r="AH441" s="146"/>
      <c r="AI441" s="148"/>
      <c r="AJ441" s="1"/>
      <c r="AK441" s="1"/>
      <c r="AL441" s="54"/>
      <c r="AM441" s="1"/>
      <c r="AN441" s="43"/>
      <c r="AO441" s="1"/>
      <c r="AP441" s="1"/>
      <c r="AQ441" s="19"/>
      <c r="AR441" s="54"/>
      <c r="AS441" s="43"/>
      <c r="AT441" s="1"/>
      <c r="AU441" s="1"/>
      <c r="AV441" s="1"/>
      <c r="AW441" s="54"/>
      <c r="AX441" s="57"/>
      <c r="AY441" s="54"/>
      <c r="AZ441" s="54"/>
      <c r="BA441" s="54"/>
      <c r="BB441" s="54"/>
      <c r="BC441" s="57"/>
      <c r="BD441" s="1"/>
      <c r="BE441" s="1"/>
      <c r="BF441" s="1"/>
      <c r="BG441" s="54"/>
      <c r="BH441" s="43"/>
      <c r="BI441"/>
      <c r="BJ441" s="13"/>
      <c r="BK441" s="1"/>
      <c r="BL441"/>
      <c r="BM441"/>
      <c r="BN441"/>
      <c r="DY441" s="43"/>
      <c r="DZ441"/>
      <c r="EA441" s="19"/>
      <c r="EB441" s="19"/>
      <c r="EC441" s="9"/>
      <c r="ED441" s="9"/>
      <c r="EE441" s="9"/>
      <c r="EF441" s="9"/>
      <c r="EG441" s="9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  <c r="FI441" s="13"/>
      <c r="FJ441" s="13"/>
      <c r="FK441" s="13"/>
      <c r="FL441" s="13"/>
      <c r="FM441" s="13"/>
      <c r="FN441" s="13"/>
      <c r="FO441" s="13"/>
      <c r="FP441" s="13"/>
      <c r="FQ441" s="13"/>
      <c r="FR441" s="13"/>
      <c r="FS441" s="13"/>
      <c r="FT441" s="13"/>
      <c r="FU441" s="13"/>
      <c r="FV441" s="13"/>
      <c r="FW441" s="13"/>
      <c r="FX441" s="13"/>
      <c r="FY441" s="13"/>
      <c r="FZ441" s="13"/>
      <c r="GA441" s="13"/>
    </row>
    <row r="442" spans="1:183" s="52" customFormat="1" ht="13.2" x14ac:dyDescent="0.25">
      <c r="A442" s="2"/>
      <c r="B442" s="2"/>
      <c r="C442" s="9">
        <v>47</v>
      </c>
      <c r="D442" s="9">
        <v>59</v>
      </c>
      <c r="E442" s="9">
        <v>64</v>
      </c>
      <c r="F442" s="9">
        <v>68</v>
      </c>
      <c r="G442" s="9">
        <v>74</v>
      </c>
      <c r="H442" s="9">
        <v>82</v>
      </c>
      <c r="I442" s="43"/>
      <c r="J442" s="9">
        <v>82</v>
      </c>
      <c r="K442" s="43"/>
      <c r="L442" s="39">
        <v>45672</v>
      </c>
      <c r="M442" s="43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55"/>
      <c r="Y442" s="146"/>
      <c r="Z442" s="146"/>
      <c r="AA442" s="146"/>
      <c r="AB442" s="146"/>
      <c r="AC442" s="146"/>
      <c r="AD442" s="146"/>
      <c r="AE442" s="146"/>
      <c r="AF442" s="146"/>
      <c r="AG442" s="146"/>
      <c r="AH442" s="146"/>
      <c r="AI442" s="148"/>
      <c r="AJ442" s="1"/>
      <c r="AK442" s="1"/>
      <c r="AL442" s="54"/>
      <c r="AM442" s="1"/>
      <c r="AN442" s="43"/>
      <c r="AO442" s="1"/>
      <c r="AP442" s="1"/>
      <c r="AQ442" s="19"/>
      <c r="AR442" s="54"/>
      <c r="AS442" s="43"/>
      <c r="AT442" s="1"/>
      <c r="AU442" s="1"/>
      <c r="AV442" s="1"/>
      <c r="AW442" s="54"/>
      <c r="AX442" s="57"/>
      <c r="AY442" s="54"/>
      <c r="AZ442" s="54"/>
      <c r="BA442" s="54"/>
      <c r="BB442" s="54"/>
      <c r="BC442" s="57"/>
      <c r="BD442" s="1"/>
      <c r="BE442" s="1"/>
      <c r="BF442" s="1"/>
      <c r="BG442" s="54"/>
      <c r="BH442" s="43"/>
      <c r="BI442"/>
      <c r="BJ442" s="13"/>
      <c r="BK442" s="1"/>
      <c r="BL442"/>
      <c r="BM442"/>
      <c r="BN442"/>
      <c r="DY442" s="43"/>
      <c r="DZ442"/>
      <c r="EA442" s="19"/>
      <c r="EB442" s="19"/>
      <c r="EC442" s="9"/>
      <c r="ED442" s="9"/>
      <c r="EE442" s="9"/>
      <c r="EF442" s="9"/>
      <c r="EG442" s="9"/>
      <c r="EH442" s="13"/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/>
      <c r="FB442" s="13"/>
      <c r="FC442" s="13"/>
      <c r="FD442" s="13"/>
      <c r="FE442" s="13"/>
      <c r="FF442" s="13"/>
      <c r="FG442" s="13"/>
      <c r="FH442" s="13"/>
      <c r="FI442" s="13"/>
      <c r="FJ442" s="13"/>
      <c r="FK442" s="13"/>
      <c r="FL442" s="13"/>
      <c r="FM442" s="13"/>
      <c r="FN442" s="13"/>
      <c r="FO442" s="13"/>
      <c r="FP442" s="13"/>
      <c r="FQ442" s="13"/>
      <c r="FR442" s="13"/>
      <c r="FS442" s="13"/>
      <c r="FT442" s="13"/>
      <c r="FU442" s="13"/>
      <c r="FV442" s="13"/>
      <c r="FW442" s="13"/>
      <c r="FX442" s="13"/>
      <c r="FY442" s="13"/>
      <c r="FZ442" s="13"/>
      <c r="GA442" s="13"/>
    </row>
    <row r="443" spans="1:183" s="52" customFormat="1" ht="13.2" x14ac:dyDescent="0.25">
      <c r="A443" s="2"/>
      <c r="B443" s="2"/>
      <c r="C443" s="9">
        <v>14</v>
      </c>
      <c r="D443" s="9">
        <v>28</v>
      </c>
      <c r="E443" s="9">
        <v>42</v>
      </c>
      <c r="F443" s="9">
        <v>54</v>
      </c>
      <c r="G443" s="9">
        <v>64</v>
      </c>
      <c r="H443" s="9">
        <v>89</v>
      </c>
      <c r="I443" s="43"/>
      <c r="J443" s="9">
        <v>89</v>
      </c>
      <c r="K443" s="43"/>
      <c r="L443" s="39">
        <v>45670</v>
      </c>
      <c r="M443" s="43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55"/>
      <c r="Y443" s="146"/>
      <c r="Z443" s="146"/>
      <c r="AA443" s="146"/>
      <c r="AB443" s="146"/>
      <c r="AC443" s="146"/>
      <c r="AD443" s="146"/>
      <c r="AE443" s="146"/>
      <c r="AF443" s="146"/>
      <c r="AG443" s="146"/>
      <c r="AH443" s="146"/>
      <c r="AI443" s="148"/>
      <c r="AJ443" s="1"/>
      <c r="AK443" s="1"/>
      <c r="AL443" s="54"/>
      <c r="AM443" s="1"/>
      <c r="AN443" s="43"/>
      <c r="AO443" s="1"/>
      <c r="AP443" s="1"/>
      <c r="AQ443" s="19"/>
      <c r="AR443" s="54"/>
      <c r="AS443" s="43"/>
      <c r="AT443" s="1"/>
      <c r="AU443" s="1"/>
      <c r="AV443" s="1"/>
      <c r="AW443" s="54"/>
      <c r="AX443" s="57"/>
      <c r="AY443" s="54"/>
      <c r="AZ443" s="54"/>
      <c r="BA443" s="54"/>
      <c r="BB443" s="54"/>
      <c r="BC443" s="57"/>
      <c r="BD443" s="1"/>
      <c r="BE443" s="1"/>
      <c r="BF443" s="1"/>
      <c r="BG443" s="54"/>
      <c r="BH443" s="43"/>
      <c r="BI443"/>
      <c r="BJ443" s="13"/>
      <c r="BK443" s="1"/>
      <c r="BL443"/>
      <c r="BM443"/>
      <c r="BN443"/>
      <c r="DY443" s="43"/>
      <c r="DZ443"/>
      <c r="EA443" s="19"/>
      <c r="EB443" s="19"/>
      <c r="EC443" s="9"/>
      <c r="ED443" s="9"/>
      <c r="EE443" s="9"/>
      <c r="EF443" s="9"/>
      <c r="EG443" s="9"/>
      <c r="EH443" s="13"/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3"/>
      <c r="FD443" s="13"/>
      <c r="FE443" s="13"/>
      <c r="FF443" s="13"/>
      <c r="FG443" s="13"/>
      <c r="FH443" s="13"/>
      <c r="FI443" s="13"/>
      <c r="FJ443" s="13"/>
      <c r="FK443" s="13"/>
      <c r="FL443" s="13"/>
      <c r="FM443" s="13"/>
      <c r="FN443" s="13"/>
      <c r="FO443" s="13"/>
      <c r="FP443" s="13"/>
      <c r="FQ443" s="13"/>
      <c r="FR443" s="13"/>
      <c r="FS443" s="13"/>
      <c r="FT443" s="13"/>
      <c r="FU443" s="13"/>
      <c r="FV443" s="13"/>
      <c r="FW443" s="13"/>
      <c r="FX443" s="13"/>
      <c r="FY443" s="13"/>
      <c r="FZ443" s="13"/>
      <c r="GA443" s="13"/>
    </row>
    <row r="444" spans="1:183" s="52" customFormat="1" ht="13.2" x14ac:dyDescent="0.25">
      <c r="A444" s="2"/>
      <c r="B444" s="2"/>
      <c r="C444" s="9">
        <v>5</v>
      </c>
      <c r="D444" s="9">
        <v>21</v>
      </c>
      <c r="E444" s="9">
        <v>30</v>
      </c>
      <c r="F444" s="9">
        <v>32</v>
      </c>
      <c r="G444" s="9">
        <v>42</v>
      </c>
      <c r="H444" s="9">
        <v>75</v>
      </c>
      <c r="I444" s="43"/>
      <c r="J444" s="9">
        <v>75</v>
      </c>
      <c r="K444" s="43"/>
      <c r="L444" s="39">
        <v>45668</v>
      </c>
      <c r="M444" s="43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55"/>
      <c r="Y444" s="146"/>
      <c r="Z444" s="146"/>
      <c r="AA444" s="146"/>
      <c r="AB444" s="146"/>
      <c r="AC444" s="146"/>
      <c r="AD444" s="146"/>
      <c r="AE444" s="146"/>
      <c r="AF444" s="146"/>
      <c r="AG444" s="146"/>
      <c r="AH444" s="146"/>
      <c r="AI444" s="148"/>
      <c r="AJ444" s="1"/>
      <c r="AK444" s="1"/>
      <c r="AL444" s="54"/>
      <c r="AM444" s="1"/>
      <c r="AN444" s="43"/>
      <c r="AO444" s="1"/>
      <c r="AP444" s="1"/>
      <c r="AQ444" s="19"/>
      <c r="AR444" s="54"/>
      <c r="AS444" s="43"/>
      <c r="AT444" s="1"/>
      <c r="AU444" s="1"/>
      <c r="AV444" s="1"/>
      <c r="AW444" s="54"/>
      <c r="AX444" s="57"/>
      <c r="AY444" s="54"/>
      <c r="AZ444" s="54"/>
      <c r="BA444" s="54"/>
      <c r="BB444" s="54"/>
      <c r="BC444" s="57"/>
      <c r="BD444" s="1"/>
      <c r="BE444" s="1"/>
      <c r="BF444" s="1"/>
      <c r="BG444" s="54"/>
      <c r="BH444" s="43"/>
      <c r="BI444"/>
      <c r="BJ444" s="13"/>
      <c r="BK444" s="1"/>
      <c r="BL444"/>
      <c r="BM444"/>
      <c r="BN444"/>
      <c r="DY444" s="43"/>
      <c r="DZ444"/>
      <c r="EA444" s="19"/>
      <c r="EB444" s="19"/>
      <c r="EC444" s="9"/>
      <c r="ED444" s="9"/>
      <c r="EE444" s="9"/>
      <c r="EF444" s="9"/>
      <c r="EG444" s="9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3"/>
      <c r="FD444" s="13"/>
      <c r="FE444" s="13"/>
      <c r="FF444" s="13"/>
      <c r="FG444" s="13"/>
      <c r="FH444" s="13"/>
      <c r="FI444" s="13"/>
      <c r="FJ444" s="13"/>
      <c r="FK444" s="13"/>
      <c r="FL444" s="13"/>
      <c r="FM444" s="13"/>
      <c r="FN444" s="13"/>
      <c r="FO444" s="13"/>
      <c r="FP444" s="13"/>
      <c r="FQ444" s="13"/>
      <c r="FR444" s="13"/>
      <c r="FS444" s="13"/>
      <c r="FT444" s="13"/>
      <c r="FU444" s="13"/>
      <c r="FV444" s="13"/>
      <c r="FW444" s="13"/>
      <c r="FX444" s="13"/>
      <c r="FY444" s="13"/>
      <c r="FZ444" s="13"/>
      <c r="GA444" s="13"/>
    </row>
    <row r="445" spans="1:183" s="52" customFormat="1" ht="13.2" x14ac:dyDescent="0.25">
      <c r="A445" s="2"/>
      <c r="B445" s="2"/>
      <c r="C445" s="9">
        <v>8</v>
      </c>
      <c r="D445" s="9">
        <v>36</v>
      </c>
      <c r="E445" s="9">
        <v>59</v>
      </c>
      <c r="F445" s="9">
        <v>60</v>
      </c>
      <c r="G445" s="9">
        <v>68</v>
      </c>
      <c r="H445" s="9">
        <v>75</v>
      </c>
      <c r="I445" s="43"/>
      <c r="J445" s="9">
        <v>75</v>
      </c>
      <c r="K445" s="43"/>
      <c r="L445" s="39">
        <v>45665</v>
      </c>
      <c r="M445" s="43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55"/>
      <c r="Y445" s="146"/>
      <c r="Z445" s="146"/>
      <c r="AA445" s="146"/>
      <c r="AB445" s="146"/>
      <c r="AC445" s="146"/>
      <c r="AD445" s="146"/>
      <c r="AE445" s="146"/>
      <c r="AF445" s="146"/>
      <c r="AG445" s="146"/>
      <c r="AH445" s="146"/>
      <c r="AI445" s="148"/>
      <c r="AJ445" s="1"/>
      <c r="AK445" s="1"/>
      <c r="AL445" s="54"/>
      <c r="AM445" s="1"/>
      <c r="AN445" s="43"/>
      <c r="AO445" s="1"/>
      <c r="AP445" s="1"/>
      <c r="AQ445" s="19"/>
      <c r="AR445" s="54"/>
      <c r="AS445" s="43"/>
      <c r="AT445" s="1"/>
      <c r="AU445" s="1"/>
      <c r="AV445" s="1"/>
      <c r="AW445" s="54"/>
      <c r="AX445" s="57"/>
      <c r="AY445" s="54"/>
      <c r="AZ445" s="54"/>
      <c r="BA445" s="54"/>
      <c r="BB445" s="54"/>
      <c r="BC445" s="57"/>
      <c r="BD445" s="1"/>
      <c r="BE445" s="1"/>
      <c r="BF445" s="1"/>
      <c r="BG445" s="54"/>
      <c r="BH445" s="43"/>
      <c r="BI445"/>
      <c r="BJ445" s="13"/>
      <c r="BK445" s="1"/>
      <c r="BL445"/>
      <c r="BM445"/>
      <c r="BN445"/>
      <c r="DY445" s="43"/>
      <c r="DZ445"/>
      <c r="EA445" s="19"/>
      <c r="EB445" s="19"/>
      <c r="EC445" s="9"/>
      <c r="ED445" s="9"/>
      <c r="EE445" s="9"/>
      <c r="EF445" s="9"/>
      <c r="EG445" s="9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/>
      <c r="FB445" s="13"/>
      <c r="FC445" s="13"/>
      <c r="FD445" s="13"/>
      <c r="FE445" s="13"/>
      <c r="FF445" s="13"/>
      <c r="FG445" s="13"/>
      <c r="FH445" s="13"/>
      <c r="FI445" s="13"/>
      <c r="FJ445" s="13"/>
      <c r="FK445" s="13"/>
      <c r="FL445" s="13"/>
      <c r="FM445" s="13"/>
      <c r="FN445" s="13"/>
      <c r="FO445" s="13"/>
      <c r="FP445" s="13"/>
      <c r="FQ445" s="13"/>
      <c r="FR445" s="13"/>
      <c r="FS445" s="13"/>
      <c r="FT445" s="13"/>
      <c r="FU445" s="13"/>
      <c r="FV445" s="13"/>
      <c r="FW445" s="13"/>
      <c r="FX445" s="13"/>
      <c r="FY445" s="13"/>
      <c r="FZ445" s="13"/>
      <c r="GA445" s="13"/>
    </row>
    <row r="446" spans="1:183" s="52" customFormat="1" ht="13.2" x14ac:dyDescent="0.25">
      <c r="A446" s="2"/>
      <c r="B446" s="2"/>
      <c r="C446" s="9">
        <v>5</v>
      </c>
      <c r="D446" s="9">
        <v>16</v>
      </c>
      <c r="E446" s="9">
        <v>54</v>
      </c>
      <c r="F446" s="9">
        <v>58</v>
      </c>
      <c r="G446" s="9">
        <v>68</v>
      </c>
      <c r="H446" s="9">
        <v>84</v>
      </c>
      <c r="I446" s="43"/>
      <c r="J446" s="9">
        <v>84</v>
      </c>
      <c r="K446" s="43"/>
      <c r="L446" s="39">
        <v>45663</v>
      </c>
      <c r="M446" s="43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55"/>
      <c r="Y446" s="146"/>
      <c r="Z446" s="146"/>
      <c r="AA446" s="146"/>
      <c r="AB446" s="146"/>
      <c r="AC446" s="146"/>
      <c r="AD446" s="146"/>
      <c r="AE446" s="146"/>
      <c r="AF446" s="146"/>
      <c r="AG446" s="146"/>
      <c r="AH446" s="146"/>
      <c r="AI446" s="148"/>
      <c r="AJ446" s="1"/>
      <c r="AK446" s="1"/>
      <c r="AL446" s="54"/>
      <c r="AM446" s="1"/>
      <c r="AN446" s="43"/>
      <c r="AO446" s="1"/>
      <c r="AP446" s="1"/>
      <c r="AQ446" s="19"/>
      <c r="AR446" s="54"/>
      <c r="AS446" s="43"/>
      <c r="AT446" s="1"/>
      <c r="AU446" s="1"/>
      <c r="AV446" s="1"/>
      <c r="AW446" s="54"/>
      <c r="AX446" s="57"/>
      <c r="AY446" s="54"/>
      <c r="AZ446" s="54"/>
      <c r="BA446" s="54"/>
      <c r="BB446" s="54"/>
      <c r="BC446" s="57"/>
      <c r="BD446" s="1"/>
      <c r="BE446" s="1"/>
      <c r="BF446" s="1"/>
      <c r="BG446" s="54"/>
      <c r="BH446" s="43"/>
      <c r="BI446"/>
      <c r="BJ446" s="13"/>
      <c r="BK446" s="1"/>
      <c r="BL446"/>
      <c r="BM446"/>
      <c r="BN446"/>
      <c r="DY446" s="43"/>
      <c r="DZ446"/>
      <c r="EA446" s="19"/>
      <c r="EB446" s="19"/>
      <c r="EC446" s="9"/>
      <c r="ED446" s="9"/>
      <c r="EE446" s="9"/>
      <c r="EF446" s="9"/>
      <c r="EG446" s="9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3"/>
      <c r="FD446" s="13"/>
      <c r="FE446" s="13"/>
      <c r="FF446" s="13"/>
      <c r="FG446" s="13"/>
      <c r="FH446" s="13"/>
      <c r="FI446" s="13"/>
      <c r="FJ446" s="13"/>
      <c r="FK446" s="13"/>
      <c r="FL446" s="13"/>
      <c r="FM446" s="13"/>
      <c r="FN446" s="13"/>
      <c r="FO446" s="13"/>
      <c r="FP446" s="13"/>
      <c r="FQ446" s="13"/>
      <c r="FR446" s="13"/>
      <c r="FS446" s="13"/>
      <c r="FT446" s="13"/>
      <c r="FU446" s="13"/>
      <c r="FV446" s="13"/>
      <c r="FW446" s="13"/>
      <c r="FX446" s="13"/>
      <c r="FY446" s="13"/>
      <c r="FZ446" s="13"/>
      <c r="GA446" s="13"/>
    </row>
    <row r="447" spans="1:183" s="52" customFormat="1" ht="13.2" x14ac:dyDescent="0.25">
      <c r="A447" s="2"/>
      <c r="B447" s="2"/>
      <c r="C447" s="9">
        <v>2</v>
      </c>
      <c r="D447" s="9">
        <v>42</v>
      </c>
      <c r="E447" s="9">
        <v>50</v>
      </c>
      <c r="F447" s="9">
        <v>57</v>
      </c>
      <c r="G447" s="9">
        <v>59</v>
      </c>
      <c r="H447" s="9">
        <v>90</v>
      </c>
      <c r="I447" s="43"/>
      <c r="J447" s="9">
        <v>90</v>
      </c>
      <c r="K447" s="43"/>
      <c r="L447" s="39">
        <v>45661</v>
      </c>
      <c r="M447" s="43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55"/>
      <c r="Y447" s="146"/>
      <c r="Z447" s="146"/>
      <c r="AA447" s="146"/>
      <c r="AB447" s="146"/>
      <c r="AC447" s="146"/>
      <c r="AD447" s="146"/>
      <c r="AE447" s="146"/>
      <c r="AF447" s="146"/>
      <c r="AG447" s="146"/>
      <c r="AH447" s="146"/>
      <c r="AI447" s="148"/>
      <c r="AJ447" s="1"/>
      <c r="AK447" s="1"/>
      <c r="AL447" s="54"/>
      <c r="AM447" s="1"/>
      <c r="AN447" s="43"/>
      <c r="AO447" s="1"/>
      <c r="AP447" s="1"/>
      <c r="AQ447" s="19"/>
      <c r="AR447" s="54"/>
      <c r="AS447" s="43"/>
      <c r="AT447" s="1"/>
      <c r="AU447" s="1"/>
      <c r="AV447" s="1"/>
      <c r="AW447" s="54"/>
      <c r="AX447" s="57"/>
      <c r="AY447" s="54"/>
      <c r="AZ447" s="54"/>
      <c r="BA447" s="54"/>
      <c r="BB447" s="54"/>
      <c r="BC447" s="57"/>
      <c r="BD447" s="1"/>
      <c r="BE447" s="1"/>
      <c r="BF447" s="1"/>
      <c r="BG447" s="54"/>
      <c r="BH447" s="43"/>
      <c r="BI447"/>
      <c r="BJ447" s="13"/>
      <c r="BK447" s="1"/>
      <c r="BL447"/>
      <c r="BM447"/>
      <c r="BN447"/>
      <c r="DY447" s="43"/>
      <c r="DZ447"/>
      <c r="EA447" s="19"/>
      <c r="EB447" s="19"/>
      <c r="EC447" s="9"/>
      <c r="ED447" s="9"/>
      <c r="EE447" s="9"/>
      <c r="EF447" s="9"/>
      <c r="EG447" s="9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3"/>
      <c r="FD447" s="13"/>
      <c r="FE447" s="13"/>
      <c r="FF447" s="13"/>
      <c r="FG447" s="13"/>
      <c r="FH447" s="13"/>
      <c r="FI447" s="13"/>
      <c r="FJ447" s="13"/>
      <c r="FK447" s="13"/>
      <c r="FL447" s="13"/>
      <c r="FM447" s="13"/>
      <c r="FN447" s="13"/>
      <c r="FO447" s="13"/>
      <c r="FP447" s="13"/>
      <c r="FQ447" s="13"/>
      <c r="FR447" s="13"/>
      <c r="FS447" s="13"/>
      <c r="FT447" s="13"/>
      <c r="FU447" s="13"/>
      <c r="FV447" s="13"/>
      <c r="FW447" s="13"/>
      <c r="FX447" s="13"/>
      <c r="FY447" s="13"/>
      <c r="FZ447" s="13"/>
      <c r="GA447" s="13"/>
    </row>
    <row r="448" spans="1:183" s="52" customFormat="1" ht="13.2" x14ac:dyDescent="0.25">
      <c r="A448" s="2"/>
      <c r="B448" s="2"/>
      <c r="C448" s="9">
        <v>1</v>
      </c>
      <c r="D448" s="9">
        <v>21</v>
      </c>
      <c r="E448" s="9">
        <v>46</v>
      </c>
      <c r="F448" s="9">
        <v>61</v>
      </c>
      <c r="G448" s="9">
        <v>71</v>
      </c>
      <c r="H448" s="9">
        <v>78</v>
      </c>
      <c r="I448" s="43"/>
      <c r="J448" s="9">
        <v>78</v>
      </c>
      <c r="K448" s="43"/>
      <c r="L448" s="39">
        <v>45658</v>
      </c>
      <c r="M448" s="43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55"/>
      <c r="Y448" s="146"/>
      <c r="Z448" s="146"/>
      <c r="AA448" s="146"/>
      <c r="AB448" s="146"/>
      <c r="AC448" s="146"/>
      <c r="AD448" s="146"/>
      <c r="AE448" s="146"/>
      <c r="AF448" s="146"/>
      <c r="AG448" s="146"/>
      <c r="AH448" s="146"/>
      <c r="AI448" s="148"/>
      <c r="AJ448" s="1"/>
      <c r="AK448" s="1"/>
      <c r="AL448" s="54"/>
      <c r="AM448" s="1"/>
      <c r="AN448" s="43"/>
      <c r="AO448" s="1"/>
      <c r="AP448" s="1"/>
      <c r="AQ448" s="19"/>
      <c r="AR448" s="54"/>
      <c r="AS448" s="43"/>
      <c r="AT448" s="1"/>
      <c r="AU448" s="1"/>
      <c r="AV448" s="1"/>
      <c r="AW448" s="54"/>
      <c r="AX448" s="57"/>
      <c r="AY448" s="54"/>
      <c r="AZ448" s="54"/>
      <c r="BA448" s="54"/>
      <c r="BB448" s="54"/>
      <c r="BC448" s="57"/>
      <c r="BD448" s="1"/>
      <c r="BE448" s="1"/>
      <c r="BF448" s="1"/>
      <c r="BG448" s="54"/>
      <c r="BH448" s="43"/>
      <c r="BI448"/>
      <c r="BJ448" s="13"/>
      <c r="BK448" s="1"/>
      <c r="BL448"/>
      <c r="BM448"/>
      <c r="BN448"/>
      <c r="DY448" s="43"/>
      <c r="DZ448"/>
      <c r="EA448" s="19"/>
      <c r="EB448" s="19"/>
      <c r="EC448" s="9"/>
      <c r="ED448" s="9"/>
      <c r="EE448" s="9"/>
      <c r="EF448" s="9"/>
      <c r="EG448" s="9"/>
      <c r="EH448" s="13"/>
      <c r="EI448" s="13"/>
      <c r="EJ448" s="13"/>
      <c r="EK448" s="13"/>
      <c r="EL448" s="13"/>
      <c r="EM448" s="13"/>
      <c r="EN448" s="13"/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3"/>
      <c r="FD448" s="13"/>
      <c r="FE448" s="13"/>
      <c r="FF448" s="13"/>
      <c r="FG448" s="13"/>
      <c r="FH448" s="13"/>
      <c r="FI448" s="13"/>
      <c r="FJ448" s="13"/>
      <c r="FK448" s="13"/>
      <c r="FL448" s="13"/>
      <c r="FM448" s="13"/>
      <c r="FN448" s="13"/>
      <c r="FO448" s="13"/>
      <c r="FP448" s="13"/>
      <c r="FQ448" s="13"/>
      <c r="FR448" s="13"/>
      <c r="FS448" s="13"/>
      <c r="FT448" s="13"/>
      <c r="FU448" s="13"/>
      <c r="FV448" s="13"/>
      <c r="FW448" s="13"/>
      <c r="FX448" s="13"/>
      <c r="FY448" s="13"/>
      <c r="FZ448" s="13"/>
      <c r="GA448" s="13"/>
    </row>
    <row r="449" spans="1:183" s="52" customFormat="1" ht="13.2" x14ac:dyDescent="0.25">
      <c r="A449" s="2"/>
      <c r="B449" s="2"/>
      <c r="C449" s="9">
        <v>1</v>
      </c>
      <c r="D449" s="9">
        <v>20</v>
      </c>
      <c r="E449" s="9">
        <v>34</v>
      </c>
      <c r="F449" s="9">
        <v>43</v>
      </c>
      <c r="G449" s="9">
        <v>88</v>
      </c>
      <c r="H449" s="9">
        <v>90</v>
      </c>
      <c r="I449" s="43"/>
      <c r="J449" s="9">
        <v>90</v>
      </c>
      <c r="K449" s="43"/>
      <c r="L449" s="39">
        <v>45656</v>
      </c>
      <c r="M449" s="43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55"/>
      <c r="Y449" s="146"/>
      <c r="Z449" s="146"/>
      <c r="AA449" s="146"/>
      <c r="AB449" s="146"/>
      <c r="AC449" s="146"/>
      <c r="AD449" s="146"/>
      <c r="AE449" s="146"/>
      <c r="AF449" s="146"/>
      <c r="AG449" s="146"/>
      <c r="AH449" s="146"/>
      <c r="AI449" s="148"/>
      <c r="AJ449" s="1"/>
      <c r="AK449" s="1"/>
      <c r="AL449" s="54"/>
      <c r="AM449" s="1"/>
      <c r="AN449" s="43"/>
      <c r="AO449" s="1"/>
      <c r="AP449" s="1"/>
      <c r="AQ449" s="19"/>
      <c r="AR449" s="54"/>
      <c r="AS449" s="43"/>
      <c r="AT449" s="1"/>
      <c r="AU449" s="1"/>
      <c r="AV449" s="1"/>
      <c r="AW449" s="54"/>
      <c r="AX449" s="57"/>
      <c r="AY449" s="54"/>
      <c r="AZ449" s="54"/>
      <c r="BA449" s="54"/>
      <c r="BB449" s="54"/>
      <c r="BC449" s="57"/>
      <c r="BD449" s="1"/>
      <c r="BE449" s="1"/>
      <c r="BF449" s="1"/>
      <c r="BG449" s="54"/>
      <c r="BH449" s="43"/>
      <c r="BI449"/>
      <c r="BJ449" s="13"/>
      <c r="BK449" s="1"/>
      <c r="BL449"/>
      <c r="BM449"/>
      <c r="BN449"/>
      <c r="DY449" s="43"/>
      <c r="DZ449"/>
      <c r="EA449" s="19"/>
      <c r="EB449" s="19"/>
      <c r="EC449" s="9"/>
      <c r="ED449" s="9"/>
      <c r="EE449" s="9"/>
      <c r="EF449" s="9"/>
      <c r="EG449" s="9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3"/>
      <c r="FD449" s="13"/>
      <c r="FE449" s="13"/>
      <c r="FF449" s="13"/>
      <c r="FG449" s="13"/>
      <c r="FH449" s="13"/>
      <c r="FI449" s="13"/>
      <c r="FJ449" s="13"/>
      <c r="FK449" s="13"/>
      <c r="FL449" s="13"/>
      <c r="FM449" s="13"/>
      <c r="FN449" s="13"/>
      <c r="FO449" s="13"/>
      <c r="FP449" s="13"/>
      <c r="FQ449" s="13"/>
      <c r="FR449" s="13"/>
      <c r="FS449" s="13"/>
      <c r="FT449" s="13"/>
      <c r="FU449" s="13"/>
      <c r="FV449" s="13"/>
      <c r="FW449" s="13"/>
      <c r="FX449" s="13"/>
      <c r="FY449" s="13"/>
      <c r="FZ449" s="13"/>
      <c r="GA449" s="13"/>
    </row>
    <row r="450" spans="1:183" s="52" customFormat="1" ht="13.2" x14ac:dyDescent="0.25">
      <c r="A450" s="2"/>
      <c r="B450" s="2"/>
      <c r="C450" s="9">
        <v>9</v>
      </c>
      <c r="D450" s="9">
        <v>16</v>
      </c>
      <c r="E450" s="9">
        <v>31</v>
      </c>
      <c r="F450" s="9">
        <v>51</v>
      </c>
      <c r="G450" s="9">
        <v>73</v>
      </c>
      <c r="H450" s="9">
        <v>83</v>
      </c>
      <c r="I450" s="43"/>
      <c r="J450" s="9">
        <v>83</v>
      </c>
      <c r="K450" s="43"/>
      <c r="L450" s="39">
        <v>45654</v>
      </c>
      <c r="M450" s="43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55"/>
      <c r="Y450" s="146"/>
      <c r="Z450" s="146"/>
      <c r="AA450" s="146"/>
      <c r="AB450" s="146"/>
      <c r="AC450" s="146"/>
      <c r="AD450" s="146"/>
      <c r="AE450" s="146"/>
      <c r="AF450" s="146"/>
      <c r="AG450" s="146"/>
      <c r="AH450" s="146"/>
      <c r="AI450" s="148"/>
      <c r="AJ450" s="1"/>
      <c r="AK450" s="1"/>
      <c r="AL450" s="54"/>
      <c r="AM450" s="1"/>
      <c r="AN450" s="43"/>
      <c r="AO450" s="1"/>
      <c r="AP450" s="1"/>
      <c r="AQ450" s="19"/>
      <c r="AR450" s="54"/>
      <c r="AS450" s="43"/>
      <c r="AT450" s="1"/>
      <c r="AU450" s="1"/>
      <c r="AV450" s="1"/>
      <c r="AW450" s="54"/>
      <c r="AX450" s="57"/>
      <c r="AY450" s="54"/>
      <c r="AZ450" s="54"/>
      <c r="BA450" s="54"/>
      <c r="BB450" s="54"/>
      <c r="BC450" s="57"/>
      <c r="BD450" s="1"/>
      <c r="BE450" s="1"/>
      <c r="BF450" s="1"/>
      <c r="BG450" s="54"/>
      <c r="BH450" s="43"/>
      <c r="BI450"/>
      <c r="BJ450" s="13"/>
      <c r="BK450" s="1"/>
      <c r="BL450"/>
      <c r="BM450"/>
      <c r="BN450"/>
      <c r="DY450" s="43"/>
      <c r="DZ450"/>
      <c r="EA450" s="19"/>
      <c r="EB450" s="19"/>
      <c r="EC450" s="9"/>
      <c r="ED450" s="9"/>
      <c r="EE450" s="9"/>
      <c r="EF450" s="9"/>
      <c r="EG450" s="9"/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3"/>
      <c r="FD450" s="13"/>
      <c r="FE450" s="13"/>
      <c r="FF450" s="13"/>
      <c r="FG450" s="13"/>
      <c r="FH450" s="13"/>
      <c r="FI450" s="13"/>
      <c r="FJ450" s="13"/>
      <c r="FK450" s="13"/>
      <c r="FL450" s="13"/>
      <c r="FM450" s="13"/>
      <c r="FN450" s="13"/>
      <c r="FO450" s="13"/>
      <c r="FP450" s="13"/>
      <c r="FQ450" s="13"/>
      <c r="FR450" s="13"/>
      <c r="FS450" s="13"/>
      <c r="FT450" s="13"/>
      <c r="FU450" s="13"/>
      <c r="FV450" s="13"/>
      <c r="FW450" s="13"/>
      <c r="FX450" s="13"/>
      <c r="FY450" s="13"/>
      <c r="FZ450" s="13"/>
      <c r="GA450" s="13"/>
    </row>
    <row r="451" spans="1:183" s="52" customFormat="1" ht="13.2" x14ac:dyDescent="0.25">
      <c r="A451" s="2"/>
      <c r="B451" s="2"/>
      <c r="C451" s="9">
        <v>1</v>
      </c>
      <c r="D451" s="9">
        <v>7</v>
      </c>
      <c r="E451" s="9">
        <v>19</v>
      </c>
      <c r="F451" s="9">
        <v>43</v>
      </c>
      <c r="G451" s="9">
        <v>56</v>
      </c>
      <c r="H451" s="9">
        <v>82</v>
      </c>
      <c r="I451" s="43"/>
      <c r="J451" s="9">
        <v>82</v>
      </c>
      <c r="K451" s="43"/>
      <c r="L451" s="39">
        <v>45651</v>
      </c>
      <c r="M451" s="43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55"/>
      <c r="Y451" s="146"/>
      <c r="Z451" s="146"/>
      <c r="AA451" s="146"/>
      <c r="AB451" s="146"/>
      <c r="AC451" s="146"/>
      <c r="AD451" s="146"/>
      <c r="AE451" s="146"/>
      <c r="AF451" s="146"/>
      <c r="AG451" s="146"/>
      <c r="AH451" s="146"/>
      <c r="AI451" s="148"/>
      <c r="AJ451" s="1"/>
      <c r="AK451" s="1"/>
      <c r="AL451" s="54"/>
      <c r="AM451" s="1"/>
      <c r="AN451" s="43"/>
      <c r="AO451" s="1"/>
      <c r="AP451" s="1"/>
      <c r="AQ451" s="19"/>
      <c r="AR451" s="54"/>
      <c r="AS451" s="43"/>
      <c r="AT451" s="1"/>
      <c r="AU451" s="1"/>
      <c r="AV451" s="1"/>
      <c r="AW451" s="54"/>
      <c r="AX451" s="57"/>
      <c r="AY451" s="54"/>
      <c r="AZ451" s="54"/>
      <c r="BA451" s="54"/>
      <c r="BB451" s="54"/>
      <c r="BC451" s="57"/>
      <c r="BD451" s="1"/>
      <c r="BE451" s="1"/>
      <c r="BF451" s="1"/>
      <c r="BG451" s="54"/>
      <c r="BH451" s="43"/>
      <c r="BI451"/>
      <c r="BJ451" s="13"/>
      <c r="BK451" s="1"/>
      <c r="BL451"/>
      <c r="BM451"/>
      <c r="BN451"/>
      <c r="DY451" s="43"/>
      <c r="DZ451"/>
      <c r="EA451" s="19"/>
      <c r="EB451" s="19"/>
      <c r="EC451" s="9"/>
      <c r="ED451" s="9"/>
      <c r="EE451" s="9"/>
      <c r="EF451" s="9"/>
      <c r="EG451" s="9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3"/>
      <c r="FD451" s="13"/>
      <c r="FE451" s="13"/>
      <c r="FF451" s="13"/>
      <c r="FG451" s="13"/>
      <c r="FH451" s="13"/>
      <c r="FI451" s="13"/>
      <c r="FJ451" s="13"/>
      <c r="FK451" s="13"/>
      <c r="FL451" s="13"/>
      <c r="FM451" s="13"/>
      <c r="FN451" s="13"/>
      <c r="FO451" s="13"/>
      <c r="FP451" s="13"/>
      <c r="FQ451" s="13"/>
      <c r="FR451" s="13"/>
      <c r="FS451" s="13"/>
      <c r="FT451" s="13"/>
      <c r="FU451" s="13"/>
      <c r="FV451" s="13"/>
      <c r="FW451" s="13"/>
      <c r="FX451" s="13"/>
      <c r="FY451" s="13"/>
      <c r="FZ451" s="13"/>
      <c r="GA451" s="13"/>
    </row>
    <row r="452" spans="1:183" s="52" customFormat="1" ht="13.2" x14ac:dyDescent="0.25">
      <c r="A452" s="2"/>
      <c r="B452" s="2"/>
      <c r="C452" s="9">
        <v>5</v>
      </c>
      <c r="D452" s="9">
        <v>27</v>
      </c>
      <c r="E452" s="9">
        <v>34</v>
      </c>
      <c r="F452" s="9">
        <v>58</v>
      </c>
      <c r="G452" s="9">
        <v>77</v>
      </c>
      <c r="H452" s="9">
        <v>86</v>
      </c>
      <c r="I452" s="43"/>
      <c r="J452" s="9">
        <v>86</v>
      </c>
      <c r="K452" s="43"/>
      <c r="L452" s="39">
        <v>45649</v>
      </c>
      <c r="M452" s="43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55"/>
      <c r="Y452" s="146"/>
      <c r="Z452" s="146"/>
      <c r="AA452" s="146"/>
      <c r="AB452" s="146"/>
      <c r="AC452" s="146"/>
      <c r="AD452" s="146"/>
      <c r="AE452" s="146"/>
      <c r="AF452" s="146"/>
      <c r="AG452" s="146"/>
      <c r="AH452" s="146"/>
      <c r="AI452" s="148"/>
      <c r="AJ452" s="1"/>
      <c r="AK452" s="1"/>
      <c r="AL452" s="54"/>
      <c r="AM452" s="1"/>
      <c r="AN452" s="43"/>
      <c r="AO452" s="1"/>
      <c r="AP452" s="1"/>
      <c r="AQ452" s="19"/>
      <c r="AR452" s="54"/>
      <c r="AS452" s="43"/>
      <c r="AT452" s="1"/>
      <c r="AU452" s="1"/>
      <c r="AV452" s="1"/>
      <c r="AW452" s="54"/>
      <c r="AX452" s="57"/>
      <c r="AY452" s="54"/>
      <c r="AZ452" s="54"/>
      <c r="BA452" s="54"/>
      <c r="BB452" s="54"/>
      <c r="BC452" s="57"/>
      <c r="BD452" s="1"/>
      <c r="BE452" s="1"/>
      <c r="BF452" s="1"/>
      <c r="BG452" s="54"/>
      <c r="BH452" s="43"/>
      <c r="BI452"/>
      <c r="BJ452" s="13"/>
      <c r="BK452" s="1"/>
      <c r="BL452"/>
      <c r="BM452"/>
      <c r="BN452"/>
      <c r="DY452" s="43"/>
      <c r="DZ452"/>
      <c r="EA452" s="19"/>
      <c r="EB452" s="19"/>
      <c r="EC452" s="9"/>
      <c r="ED452" s="9"/>
      <c r="EE452" s="9"/>
      <c r="EF452" s="9"/>
      <c r="EG452" s="9"/>
      <c r="EH452" s="13"/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3"/>
      <c r="FD452" s="13"/>
      <c r="FE452" s="13"/>
      <c r="FF452" s="13"/>
      <c r="FG452" s="13"/>
      <c r="FH452" s="13"/>
      <c r="FI452" s="13"/>
      <c r="FJ452" s="13"/>
      <c r="FK452" s="13"/>
      <c r="FL452" s="13"/>
      <c r="FM452" s="13"/>
      <c r="FN452" s="13"/>
      <c r="FO452" s="13"/>
      <c r="FP452" s="13"/>
      <c r="FQ452" s="13"/>
      <c r="FR452" s="13"/>
      <c r="FS452" s="13"/>
      <c r="FT452" s="13"/>
      <c r="FU452" s="13"/>
      <c r="FV452" s="13"/>
      <c r="FW452" s="13"/>
      <c r="FX452" s="13"/>
      <c r="FY452" s="13"/>
      <c r="FZ452" s="13"/>
      <c r="GA452" s="13"/>
    </row>
    <row r="453" spans="1:183" s="52" customFormat="1" ht="13.2" x14ac:dyDescent="0.25">
      <c r="A453" s="2"/>
      <c r="B453" s="2"/>
      <c r="C453" s="9">
        <v>20</v>
      </c>
      <c r="D453" s="9">
        <v>40</v>
      </c>
      <c r="E453" s="9">
        <v>46</v>
      </c>
      <c r="F453" s="9">
        <v>69</v>
      </c>
      <c r="G453" s="9">
        <v>78</v>
      </c>
      <c r="H453" s="9">
        <v>80</v>
      </c>
      <c r="I453" s="43"/>
      <c r="J453" s="9">
        <v>80</v>
      </c>
      <c r="K453" s="43"/>
      <c r="L453" s="39">
        <v>45647</v>
      </c>
      <c r="M453" s="43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55"/>
      <c r="Y453" s="146"/>
      <c r="Z453" s="146"/>
      <c r="AA453" s="146"/>
      <c r="AB453" s="146"/>
      <c r="AC453" s="146"/>
      <c r="AD453" s="146"/>
      <c r="AE453" s="146"/>
      <c r="AF453" s="146"/>
      <c r="AG453" s="146"/>
      <c r="AH453" s="146"/>
      <c r="AI453" s="148"/>
      <c r="AJ453" s="1"/>
      <c r="AK453" s="1"/>
      <c r="AL453" s="54"/>
      <c r="AM453" s="1"/>
      <c r="AN453" s="43"/>
      <c r="AO453" s="1"/>
      <c r="AP453" s="1"/>
      <c r="AQ453" s="19"/>
      <c r="AR453" s="54"/>
      <c r="AS453" s="43"/>
      <c r="AT453" s="1"/>
      <c r="AU453" s="1"/>
      <c r="AV453" s="1"/>
      <c r="AW453" s="54"/>
      <c r="AX453" s="57"/>
      <c r="AY453" s="54"/>
      <c r="AZ453" s="54"/>
      <c r="BA453" s="54"/>
      <c r="BB453" s="54"/>
      <c r="BC453" s="57"/>
      <c r="BD453" s="1"/>
      <c r="BE453" s="1"/>
      <c r="BF453" s="1"/>
      <c r="BG453" s="54"/>
      <c r="BH453" s="43"/>
      <c r="BI453"/>
      <c r="BJ453" s="13"/>
      <c r="BK453" s="1"/>
      <c r="BL453"/>
      <c r="BM453"/>
      <c r="BN453"/>
      <c r="DY453" s="43"/>
      <c r="DZ453"/>
      <c r="EA453" s="19"/>
      <c r="EB453" s="19"/>
      <c r="EC453" s="9"/>
      <c r="ED453" s="9"/>
      <c r="EE453" s="9"/>
      <c r="EF453" s="9"/>
      <c r="EG453" s="9"/>
      <c r="EH453" s="13"/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  <c r="EV453" s="13"/>
      <c r="EW453" s="13"/>
      <c r="EX453" s="13"/>
      <c r="EY453" s="13"/>
      <c r="EZ453" s="13"/>
      <c r="FA453" s="13"/>
      <c r="FB453" s="13"/>
      <c r="FC453" s="13"/>
      <c r="FD453" s="13"/>
      <c r="FE453" s="13"/>
      <c r="FF453" s="13"/>
      <c r="FG453" s="13"/>
      <c r="FH453" s="13"/>
      <c r="FI453" s="13"/>
      <c r="FJ453" s="13"/>
      <c r="FK453" s="13"/>
      <c r="FL453" s="13"/>
      <c r="FM453" s="13"/>
      <c r="FN453" s="13"/>
      <c r="FO453" s="13"/>
      <c r="FP453" s="13"/>
      <c r="FQ453" s="13"/>
      <c r="FR453" s="13"/>
      <c r="FS453" s="13"/>
      <c r="FT453" s="13"/>
      <c r="FU453" s="13"/>
      <c r="FV453" s="13"/>
      <c r="FW453" s="13"/>
      <c r="FX453" s="13"/>
      <c r="FY453" s="13"/>
      <c r="FZ453" s="13"/>
      <c r="GA453" s="13"/>
    </row>
    <row r="454" spans="1:183" s="52" customFormat="1" ht="13.2" x14ac:dyDescent="0.25">
      <c r="A454" s="2"/>
      <c r="B454" s="2"/>
      <c r="C454" s="9">
        <v>1</v>
      </c>
      <c r="D454" s="9">
        <v>31</v>
      </c>
      <c r="E454" s="9">
        <v>32</v>
      </c>
      <c r="F454" s="9">
        <v>49</v>
      </c>
      <c r="G454" s="9">
        <v>50</v>
      </c>
      <c r="H454" s="9">
        <v>75</v>
      </c>
      <c r="I454" s="43"/>
      <c r="J454" s="9">
        <v>75</v>
      </c>
      <c r="K454" s="43"/>
      <c r="L454" s="39">
        <v>45644</v>
      </c>
      <c r="M454" s="43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55"/>
      <c r="Y454" s="146"/>
      <c r="Z454" s="146"/>
      <c r="AA454" s="146"/>
      <c r="AB454" s="146"/>
      <c r="AC454" s="146"/>
      <c r="AD454" s="146"/>
      <c r="AE454" s="146"/>
      <c r="AF454" s="146"/>
      <c r="AG454" s="146"/>
      <c r="AH454" s="146"/>
      <c r="AI454" s="148"/>
      <c r="AJ454" s="1"/>
      <c r="AK454" s="1"/>
      <c r="AL454" s="54"/>
      <c r="AM454" s="1"/>
      <c r="AN454" s="43"/>
      <c r="AO454" s="1"/>
      <c r="AP454" s="1"/>
      <c r="AQ454" s="19"/>
      <c r="AR454" s="54"/>
      <c r="AS454" s="43"/>
      <c r="AT454" s="1"/>
      <c r="AU454" s="1"/>
      <c r="AV454" s="1"/>
      <c r="AW454" s="54"/>
      <c r="AX454" s="57"/>
      <c r="AY454" s="54"/>
      <c r="AZ454" s="54"/>
      <c r="BA454" s="54"/>
      <c r="BB454" s="54"/>
      <c r="BC454" s="57"/>
      <c r="BD454" s="1"/>
      <c r="BE454" s="1"/>
      <c r="BF454" s="1"/>
      <c r="BG454" s="54"/>
      <c r="BH454" s="43"/>
      <c r="BI454"/>
      <c r="BJ454" s="13"/>
      <c r="BK454" s="1"/>
      <c r="BL454"/>
      <c r="BM454"/>
      <c r="BN454"/>
      <c r="DY454" s="43"/>
      <c r="DZ454"/>
      <c r="EA454" s="19"/>
      <c r="EB454" s="19"/>
      <c r="EC454" s="9"/>
      <c r="ED454" s="9"/>
      <c r="EE454" s="9"/>
      <c r="EF454" s="9"/>
      <c r="EG454" s="9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3"/>
      <c r="FD454" s="13"/>
      <c r="FE454" s="13"/>
      <c r="FF454" s="13"/>
      <c r="FG454" s="13"/>
      <c r="FH454" s="13"/>
      <c r="FI454" s="13"/>
      <c r="FJ454" s="13"/>
      <c r="FK454" s="13"/>
      <c r="FL454" s="13"/>
      <c r="FM454" s="13"/>
      <c r="FN454" s="13"/>
      <c r="FO454" s="13"/>
      <c r="FP454" s="13"/>
      <c r="FQ454" s="13"/>
      <c r="FR454" s="13"/>
      <c r="FS454" s="13"/>
      <c r="FT454" s="13"/>
      <c r="FU454" s="13"/>
      <c r="FV454" s="13"/>
      <c r="FW454" s="13"/>
      <c r="FX454" s="13"/>
      <c r="FY454" s="13"/>
      <c r="FZ454" s="13"/>
      <c r="GA454" s="13"/>
    </row>
    <row r="455" spans="1:183" s="52" customFormat="1" ht="13.2" x14ac:dyDescent="0.25">
      <c r="A455" s="2"/>
      <c r="B455" s="2"/>
      <c r="C455" s="9">
        <v>3</v>
      </c>
      <c r="D455" s="9">
        <v>12</v>
      </c>
      <c r="E455" s="9">
        <v>17</v>
      </c>
      <c r="F455" s="9">
        <v>56</v>
      </c>
      <c r="G455" s="9">
        <v>69</v>
      </c>
      <c r="H455" s="9">
        <v>76</v>
      </c>
      <c r="I455" s="43"/>
      <c r="J455" s="9">
        <v>76</v>
      </c>
      <c r="K455" s="43"/>
      <c r="L455" s="39">
        <v>45642</v>
      </c>
      <c r="M455" s="43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55"/>
      <c r="Y455" s="146"/>
      <c r="Z455" s="146"/>
      <c r="AA455" s="146"/>
      <c r="AB455" s="146"/>
      <c r="AC455" s="146"/>
      <c r="AD455" s="146"/>
      <c r="AE455" s="146"/>
      <c r="AF455" s="146"/>
      <c r="AG455" s="146"/>
      <c r="AH455" s="146"/>
      <c r="AI455" s="148"/>
      <c r="AJ455" s="1"/>
      <c r="AK455" s="1"/>
      <c r="AL455" s="54"/>
      <c r="AM455" s="1"/>
      <c r="AN455" s="43"/>
      <c r="AO455" s="1"/>
      <c r="AP455" s="1"/>
      <c r="AQ455" s="19"/>
      <c r="AR455" s="54"/>
      <c r="AS455" s="43"/>
      <c r="AT455" s="1"/>
      <c r="AU455" s="1"/>
      <c r="AV455" s="1"/>
      <c r="AW455" s="54"/>
      <c r="AX455" s="57"/>
      <c r="AY455" s="54"/>
      <c r="AZ455" s="54"/>
      <c r="BA455" s="54"/>
      <c r="BB455" s="54"/>
      <c r="BC455" s="57"/>
      <c r="BD455" s="1"/>
      <c r="BE455" s="1"/>
      <c r="BF455" s="1"/>
      <c r="BG455" s="54"/>
      <c r="BH455" s="43"/>
      <c r="BI455"/>
      <c r="BJ455" s="13"/>
      <c r="BK455" s="1"/>
      <c r="BL455"/>
      <c r="BM455"/>
      <c r="BN455"/>
      <c r="DY455" s="43"/>
      <c r="DZ455"/>
      <c r="EA455" s="19"/>
      <c r="EB455" s="19"/>
      <c r="EC455" s="9"/>
      <c r="ED455" s="9"/>
      <c r="EE455" s="9"/>
      <c r="EF455" s="9"/>
      <c r="EG455" s="9"/>
      <c r="EH455" s="13"/>
      <c r="EI455" s="13"/>
      <c r="EJ455" s="13"/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  <c r="EV455" s="13"/>
      <c r="EW455" s="13"/>
      <c r="EX455" s="13"/>
      <c r="EY455" s="13"/>
      <c r="EZ455" s="13"/>
      <c r="FA455" s="13"/>
      <c r="FB455" s="13"/>
      <c r="FC455" s="13"/>
      <c r="FD455" s="13"/>
      <c r="FE455" s="13"/>
      <c r="FF455" s="13"/>
      <c r="FG455" s="13"/>
      <c r="FH455" s="13"/>
      <c r="FI455" s="13"/>
      <c r="FJ455" s="13"/>
      <c r="FK455" s="13"/>
      <c r="FL455" s="13"/>
      <c r="FM455" s="13"/>
      <c r="FN455" s="13"/>
      <c r="FO455" s="13"/>
      <c r="FP455" s="13"/>
      <c r="FQ455" s="13"/>
      <c r="FR455" s="13"/>
      <c r="FS455" s="13"/>
      <c r="FT455" s="13"/>
      <c r="FU455" s="13"/>
      <c r="FV455" s="13"/>
      <c r="FW455" s="13"/>
      <c r="FX455" s="13"/>
      <c r="FY455" s="13"/>
      <c r="FZ455" s="13"/>
      <c r="GA455" s="13"/>
    </row>
    <row r="456" spans="1:183" s="52" customFormat="1" ht="13.2" x14ac:dyDescent="0.25">
      <c r="A456" s="2"/>
      <c r="B456" s="2"/>
      <c r="C456" s="9">
        <v>7</v>
      </c>
      <c r="D456" s="9">
        <v>15</v>
      </c>
      <c r="E456" s="9">
        <v>38</v>
      </c>
      <c r="F456" s="9">
        <v>46</v>
      </c>
      <c r="G456" s="9">
        <v>68</v>
      </c>
      <c r="H456" s="9">
        <v>80</v>
      </c>
      <c r="I456" s="43"/>
      <c r="J456" s="9">
        <v>80</v>
      </c>
      <c r="K456" s="43"/>
      <c r="L456" s="39">
        <v>45640</v>
      </c>
      <c r="M456" s="43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55"/>
      <c r="Y456" s="146"/>
      <c r="Z456" s="146"/>
      <c r="AA456" s="146"/>
      <c r="AB456" s="146"/>
      <c r="AC456" s="146"/>
      <c r="AD456" s="146"/>
      <c r="AE456" s="146"/>
      <c r="AF456" s="146"/>
      <c r="AG456" s="146"/>
      <c r="AH456" s="146"/>
      <c r="AI456" s="148"/>
      <c r="AJ456" s="1"/>
      <c r="AK456" s="1"/>
      <c r="AL456" s="54"/>
      <c r="AM456" s="1"/>
      <c r="AN456" s="43"/>
      <c r="AO456" s="1"/>
      <c r="AP456" s="1"/>
      <c r="AQ456" s="19"/>
      <c r="AR456" s="54"/>
      <c r="AS456" s="43"/>
      <c r="AT456" s="1"/>
      <c r="AU456" s="1"/>
      <c r="AV456" s="1"/>
      <c r="AW456" s="54"/>
      <c r="AX456" s="57"/>
      <c r="AY456" s="54"/>
      <c r="AZ456" s="54"/>
      <c r="BA456" s="54"/>
      <c r="BB456" s="54"/>
      <c r="BC456" s="57"/>
      <c r="BD456" s="1"/>
      <c r="BE456" s="1"/>
      <c r="BF456" s="1"/>
      <c r="BG456" s="54"/>
      <c r="BH456" s="43"/>
      <c r="BI456"/>
      <c r="BJ456" s="13"/>
      <c r="BK456" s="1"/>
      <c r="BL456"/>
      <c r="BM456"/>
      <c r="BN456"/>
      <c r="DY456" s="43"/>
      <c r="DZ456"/>
      <c r="EA456" s="19"/>
      <c r="EB456" s="19"/>
      <c r="EC456" s="9"/>
      <c r="ED456" s="9"/>
      <c r="EE456" s="9"/>
      <c r="EF456" s="9"/>
      <c r="EG456" s="9"/>
      <c r="EH456" s="13"/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/>
      <c r="FB456" s="13"/>
      <c r="FC456" s="13"/>
      <c r="FD456" s="13"/>
      <c r="FE456" s="13"/>
      <c r="FF456" s="13"/>
      <c r="FG456" s="13"/>
      <c r="FH456" s="13"/>
      <c r="FI456" s="13"/>
      <c r="FJ456" s="13"/>
      <c r="FK456" s="13"/>
      <c r="FL456" s="13"/>
      <c r="FM456" s="13"/>
      <c r="FN456" s="13"/>
      <c r="FO456" s="13"/>
      <c r="FP456" s="13"/>
      <c r="FQ456" s="13"/>
      <c r="FR456" s="13"/>
      <c r="FS456" s="13"/>
      <c r="FT456" s="13"/>
      <c r="FU456" s="13"/>
      <c r="FV456" s="13"/>
      <c r="FW456" s="13"/>
      <c r="FX456" s="13"/>
      <c r="FY456" s="13"/>
      <c r="FZ456" s="13"/>
      <c r="GA456" s="13"/>
    </row>
    <row r="457" spans="1:183" s="52" customFormat="1" ht="13.2" x14ac:dyDescent="0.25">
      <c r="A457" s="2"/>
      <c r="B457" s="2"/>
      <c r="C457" s="9">
        <v>28</v>
      </c>
      <c r="D457" s="9">
        <v>34</v>
      </c>
      <c r="E457" s="9">
        <v>56</v>
      </c>
      <c r="F457" s="9">
        <v>70</v>
      </c>
      <c r="G457" s="9">
        <v>73</v>
      </c>
      <c r="H457" s="9">
        <v>86</v>
      </c>
      <c r="I457" s="43"/>
      <c r="J457" s="9">
        <v>86</v>
      </c>
      <c r="K457" s="43"/>
      <c r="L457" s="39">
        <v>45637</v>
      </c>
      <c r="M457" s="43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55"/>
      <c r="Y457" s="146"/>
      <c r="Z457" s="146"/>
      <c r="AA457" s="146"/>
      <c r="AB457" s="146"/>
      <c r="AC457" s="146"/>
      <c r="AD457" s="146"/>
      <c r="AE457" s="146"/>
      <c r="AF457" s="146"/>
      <c r="AG457" s="146"/>
      <c r="AH457" s="146"/>
      <c r="AI457" s="148"/>
      <c r="AJ457" s="1"/>
      <c r="AK457" s="1"/>
      <c r="AL457" s="54"/>
      <c r="AM457" s="1"/>
      <c r="AN457" s="43"/>
      <c r="AO457" s="1"/>
      <c r="AP457" s="1"/>
      <c r="AQ457" s="19"/>
      <c r="AR457" s="54"/>
      <c r="AS457" s="43"/>
      <c r="AT457" s="1"/>
      <c r="AU457" s="1"/>
      <c r="AV457" s="1"/>
      <c r="AW457" s="54"/>
      <c r="AX457" s="57"/>
      <c r="AY457" s="54"/>
      <c r="AZ457" s="54"/>
      <c r="BA457" s="54"/>
      <c r="BB457" s="54"/>
      <c r="BC457" s="57"/>
      <c r="BD457" s="1"/>
      <c r="BE457" s="1"/>
      <c r="BF457" s="1"/>
      <c r="BG457" s="54"/>
      <c r="BH457" s="43"/>
      <c r="BI457"/>
      <c r="BJ457" s="13"/>
      <c r="BK457" s="1"/>
      <c r="BL457"/>
      <c r="BM457"/>
      <c r="BN457"/>
      <c r="DY457" s="43"/>
      <c r="DZ457"/>
      <c r="EA457" s="19"/>
      <c r="EB457" s="19"/>
      <c r="EC457" s="9"/>
      <c r="ED457" s="9"/>
      <c r="EE457" s="9"/>
      <c r="EF457" s="9"/>
      <c r="EG457" s="9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3"/>
      <c r="FD457" s="13"/>
      <c r="FE457" s="13"/>
      <c r="FF457" s="13"/>
      <c r="FG457" s="13"/>
      <c r="FH457" s="13"/>
      <c r="FI457" s="13"/>
      <c r="FJ457" s="13"/>
      <c r="FK457" s="13"/>
      <c r="FL457" s="13"/>
      <c r="FM457" s="13"/>
      <c r="FN457" s="13"/>
      <c r="FO457" s="13"/>
      <c r="FP457" s="13"/>
      <c r="FQ457" s="13"/>
      <c r="FR457" s="13"/>
      <c r="FS457" s="13"/>
      <c r="FT457" s="13"/>
      <c r="FU457" s="13"/>
      <c r="FV457" s="13"/>
      <c r="FW457" s="13"/>
      <c r="FX457" s="13"/>
      <c r="FY457" s="13"/>
      <c r="FZ457" s="13"/>
      <c r="GA457" s="13"/>
    </row>
    <row r="458" spans="1:183" s="52" customFormat="1" ht="13.2" x14ac:dyDescent="0.25">
      <c r="A458" s="2"/>
      <c r="B458" s="2"/>
      <c r="C458" s="9">
        <v>10</v>
      </c>
      <c r="D458" s="9">
        <v>12</v>
      </c>
      <c r="E458" s="9">
        <v>74</v>
      </c>
      <c r="F458" s="9">
        <v>80</v>
      </c>
      <c r="G458" s="9">
        <v>81</v>
      </c>
      <c r="H458" s="9">
        <v>82</v>
      </c>
      <c r="I458" s="43"/>
      <c r="J458" s="9">
        <v>82</v>
      </c>
      <c r="K458" s="43"/>
      <c r="L458" s="39">
        <v>45635</v>
      </c>
      <c r="M458" s="43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55"/>
      <c r="Y458" s="146"/>
      <c r="Z458" s="146"/>
      <c r="AA458" s="146"/>
      <c r="AB458" s="146"/>
      <c r="AC458" s="146"/>
      <c r="AD458" s="146"/>
      <c r="AE458" s="146"/>
      <c r="AF458" s="146"/>
      <c r="AG458" s="146"/>
      <c r="AH458" s="146"/>
      <c r="AI458" s="148"/>
      <c r="AJ458" s="1"/>
      <c r="AK458" s="1"/>
      <c r="AL458" s="54"/>
      <c r="AM458" s="1"/>
      <c r="AN458" s="43"/>
      <c r="AO458" s="1"/>
      <c r="AP458" s="1"/>
      <c r="AQ458" s="19"/>
      <c r="AR458" s="54"/>
      <c r="AS458" s="43"/>
      <c r="AT458" s="1"/>
      <c r="AU458" s="1"/>
      <c r="AV458" s="1"/>
      <c r="AW458" s="54"/>
      <c r="AX458" s="57"/>
      <c r="AY458" s="54"/>
      <c r="AZ458" s="54"/>
      <c r="BA458" s="54"/>
      <c r="BB458" s="54"/>
      <c r="BC458" s="57"/>
      <c r="BD458" s="1"/>
      <c r="BE458" s="1"/>
      <c r="BF458" s="1"/>
      <c r="BG458" s="54"/>
      <c r="BH458" s="43"/>
      <c r="BI458"/>
      <c r="BJ458" s="13"/>
      <c r="BK458" s="1"/>
      <c r="BL458"/>
      <c r="BM458"/>
      <c r="BN458"/>
      <c r="DY458" s="43"/>
      <c r="DZ458"/>
      <c r="EA458" s="19"/>
      <c r="EB458" s="19"/>
      <c r="EC458" s="9"/>
      <c r="ED458" s="9"/>
      <c r="EE458" s="9"/>
      <c r="EF458" s="9"/>
      <c r="EG458" s="9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3"/>
      <c r="FD458" s="13"/>
      <c r="FE458" s="13"/>
      <c r="FF458" s="13"/>
      <c r="FG458" s="13"/>
      <c r="FH458" s="13"/>
      <c r="FI458" s="13"/>
      <c r="FJ458" s="13"/>
      <c r="FK458" s="13"/>
      <c r="FL458" s="13"/>
      <c r="FM458" s="13"/>
      <c r="FN458" s="13"/>
      <c r="FO458" s="13"/>
      <c r="FP458" s="13"/>
      <c r="FQ458" s="13"/>
      <c r="FR458" s="13"/>
      <c r="FS458" s="13"/>
      <c r="FT458" s="13"/>
      <c r="FU458" s="13"/>
      <c r="FV458" s="13"/>
      <c r="FW458" s="13"/>
      <c r="FX458" s="13"/>
      <c r="FY458" s="13"/>
      <c r="FZ458" s="13"/>
      <c r="GA458" s="13"/>
    </row>
    <row r="459" spans="1:183" s="52" customFormat="1" ht="13.2" x14ac:dyDescent="0.25">
      <c r="A459" s="2"/>
      <c r="B459" s="2"/>
      <c r="C459" s="9">
        <v>10</v>
      </c>
      <c r="D459" s="9">
        <v>13</v>
      </c>
      <c r="E459" s="9">
        <v>18</v>
      </c>
      <c r="F459" s="9">
        <v>31</v>
      </c>
      <c r="G459" s="9">
        <v>55</v>
      </c>
      <c r="H459" s="9">
        <v>63</v>
      </c>
      <c r="I459" s="43"/>
      <c r="J459" s="9">
        <v>63</v>
      </c>
      <c r="K459" s="43"/>
      <c r="L459" s="39">
        <v>45633</v>
      </c>
      <c r="M459" s="43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55"/>
      <c r="Y459" s="146"/>
      <c r="Z459" s="146"/>
      <c r="AA459" s="146"/>
      <c r="AB459" s="146"/>
      <c r="AC459" s="146"/>
      <c r="AD459" s="146"/>
      <c r="AE459" s="146"/>
      <c r="AF459" s="146"/>
      <c r="AG459" s="146"/>
      <c r="AH459" s="146"/>
      <c r="AI459" s="148"/>
      <c r="AJ459" s="1"/>
      <c r="AK459" s="1"/>
      <c r="AL459" s="54"/>
      <c r="AM459" s="1"/>
      <c r="AN459" s="43"/>
      <c r="AO459" s="1"/>
      <c r="AP459" s="1"/>
      <c r="AQ459" s="19"/>
      <c r="AR459" s="54"/>
      <c r="AS459" s="43"/>
      <c r="AT459" s="1"/>
      <c r="AU459" s="1"/>
      <c r="AV459" s="1"/>
      <c r="AW459" s="54"/>
      <c r="AX459" s="57"/>
      <c r="AY459" s="54"/>
      <c r="AZ459" s="54"/>
      <c r="BA459" s="54"/>
      <c r="BB459" s="54"/>
      <c r="BC459" s="57"/>
      <c r="BD459" s="1"/>
      <c r="BE459" s="1"/>
      <c r="BF459" s="1"/>
      <c r="BG459" s="54"/>
      <c r="BH459" s="43"/>
      <c r="BI459"/>
      <c r="BJ459" s="13"/>
      <c r="BK459" s="1"/>
      <c r="BL459"/>
      <c r="BM459"/>
      <c r="BN459"/>
      <c r="DY459" s="43"/>
      <c r="DZ459"/>
      <c r="EA459" s="19"/>
      <c r="EB459" s="19"/>
      <c r="EC459" s="9"/>
      <c r="ED459" s="9"/>
      <c r="EE459" s="9"/>
      <c r="EF459" s="9"/>
      <c r="EG459" s="9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3"/>
      <c r="FD459" s="13"/>
      <c r="FE459" s="13"/>
      <c r="FF459" s="13"/>
      <c r="FG459" s="13"/>
      <c r="FH459" s="13"/>
      <c r="FI459" s="13"/>
      <c r="FJ459" s="13"/>
      <c r="FK459" s="13"/>
      <c r="FL459" s="13"/>
      <c r="FM459" s="13"/>
      <c r="FN459" s="13"/>
      <c r="FO459" s="13"/>
      <c r="FP459" s="13"/>
      <c r="FQ459" s="13"/>
      <c r="FR459" s="13"/>
      <c r="FS459" s="13"/>
      <c r="FT459" s="13"/>
      <c r="FU459" s="13"/>
      <c r="FV459" s="13"/>
      <c r="FW459" s="13"/>
      <c r="FX459" s="13"/>
      <c r="FY459" s="13"/>
      <c r="FZ459" s="13"/>
      <c r="GA459" s="13"/>
    </row>
    <row r="460" spans="1:183" s="52" customFormat="1" ht="13.2" x14ac:dyDescent="0.25">
      <c r="A460" s="2"/>
      <c r="B460" s="2"/>
      <c r="C460" s="9">
        <v>16</v>
      </c>
      <c r="D460" s="9">
        <v>27</v>
      </c>
      <c r="E460" s="9">
        <v>44</v>
      </c>
      <c r="F460" s="9">
        <v>49</v>
      </c>
      <c r="G460" s="9">
        <v>62</v>
      </c>
      <c r="H460" s="9">
        <v>73</v>
      </c>
      <c r="I460" s="43"/>
      <c r="J460" s="9">
        <v>73</v>
      </c>
      <c r="K460" s="43"/>
      <c r="L460" s="39">
        <v>45630</v>
      </c>
      <c r="M460" s="43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55"/>
      <c r="Y460" s="146"/>
      <c r="Z460" s="146"/>
      <c r="AA460" s="146"/>
      <c r="AB460" s="146"/>
      <c r="AC460" s="146"/>
      <c r="AD460" s="146"/>
      <c r="AE460" s="146"/>
      <c r="AF460" s="146"/>
      <c r="AG460" s="146"/>
      <c r="AH460" s="146"/>
      <c r="AI460" s="148"/>
      <c r="AJ460" s="1"/>
      <c r="AK460" s="1"/>
      <c r="AL460" s="54"/>
      <c r="AM460" s="1"/>
      <c r="AN460" s="43"/>
      <c r="AO460" s="1"/>
      <c r="AP460" s="1"/>
      <c r="AQ460" s="19"/>
      <c r="AR460" s="54"/>
      <c r="AS460" s="43"/>
      <c r="AT460" s="1"/>
      <c r="AU460" s="1"/>
      <c r="AV460" s="1"/>
      <c r="AW460" s="54"/>
      <c r="AX460" s="57"/>
      <c r="AY460" s="54"/>
      <c r="AZ460" s="54"/>
      <c r="BA460" s="54"/>
      <c r="BB460" s="54"/>
      <c r="BC460" s="57"/>
      <c r="BD460" s="1"/>
      <c r="BE460" s="1"/>
      <c r="BF460" s="1"/>
      <c r="BG460" s="54"/>
      <c r="BH460" s="43"/>
      <c r="BI460"/>
      <c r="BJ460" s="13"/>
      <c r="BK460" s="1"/>
      <c r="BL460"/>
      <c r="BM460"/>
      <c r="BN460"/>
      <c r="DY460" s="43"/>
      <c r="DZ460"/>
      <c r="EA460" s="19"/>
      <c r="EB460" s="19"/>
      <c r="EC460" s="9"/>
      <c r="ED460" s="9"/>
      <c r="EE460" s="9"/>
      <c r="EF460" s="9"/>
      <c r="EG460" s="9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3"/>
      <c r="FD460" s="13"/>
      <c r="FE460" s="13"/>
      <c r="FF460" s="13"/>
      <c r="FG460" s="13"/>
      <c r="FH460" s="13"/>
      <c r="FI460" s="13"/>
      <c r="FJ460" s="13"/>
      <c r="FK460" s="13"/>
      <c r="FL460" s="13"/>
      <c r="FM460" s="13"/>
      <c r="FN460" s="13"/>
      <c r="FO460" s="13"/>
      <c r="FP460" s="13"/>
      <c r="FQ460" s="13"/>
      <c r="FR460" s="13"/>
      <c r="FS460" s="13"/>
      <c r="FT460" s="13"/>
      <c r="FU460" s="13"/>
      <c r="FV460" s="13"/>
      <c r="FW460" s="13"/>
      <c r="FX460" s="13"/>
      <c r="FY460" s="13"/>
      <c r="FZ460" s="13"/>
      <c r="GA460" s="13"/>
    </row>
    <row r="461" spans="1:183" s="52" customFormat="1" ht="13.2" x14ac:dyDescent="0.25">
      <c r="A461" s="2"/>
      <c r="B461" s="2"/>
      <c r="C461" s="9">
        <v>3</v>
      </c>
      <c r="D461" s="9">
        <v>16</v>
      </c>
      <c r="E461" s="9">
        <v>40</v>
      </c>
      <c r="F461" s="9">
        <v>44</v>
      </c>
      <c r="G461" s="9">
        <v>50</v>
      </c>
      <c r="H461" s="9">
        <v>77</v>
      </c>
      <c r="I461" s="43"/>
      <c r="J461" s="9">
        <v>77</v>
      </c>
      <c r="K461" s="43"/>
      <c r="L461" s="39">
        <v>45628</v>
      </c>
      <c r="M461" s="43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55"/>
      <c r="Y461" s="146"/>
      <c r="Z461" s="146"/>
      <c r="AA461" s="146"/>
      <c r="AB461" s="146"/>
      <c r="AC461" s="146"/>
      <c r="AD461" s="146"/>
      <c r="AE461" s="146"/>
      <c r="AF461" s="146"/>
      <c r="AG461" s="146"/>
      <c r="AH461" s="146"/>
      <c r="AI461" s="148"/>
      <c r="AJ461" s="1"/>
      <c r="AK461" s="1"/>
      <c r="AL461" s="54"/>
      <c r="AM461" s="1"/>
      <c r="AN461" s="43"/>
      <c r="AO461" s="1"/>
      <c r="AP461" s="1"/>
      <c r="AQ461" s="19"/>
      <c r="AR461" s="54"/>
      <c r="AS461" s="43"/>
      <c r="AT461" s="1"/>
      <c r="AU461" s="1"/>
      <c r="AV461" s="1"/>
      <c r="AW461" s="54"/>
      <c r="AX461" s="57"/>
      <c r="AY461" s="54"/>
      <c r="AZ461" s="54"/>
      <c r="BA461" s="54"/>
      <c r="BB461" s="54"/>
      <c r="BC461" s="57"/>
      <c r="BD461" s="1"/>
      <c r="BE461" s="1"/>
      <c r="BF461" s="1"/>
      <c r="BG461" s="54"/>
      <c r="BH461" s="43"/>
      <c r="BI461"/>
      <c r="BJ461" s="13"/>
      <c r="BK461" s="1"/>
      <c r="BL461"/>
      <c r="BM461"/>
      <c r="BN461"/>
      <c r="DY461" s="43"/>
      <c r="DZ461"/>
      <c r="EA461" s="19"/>
      <c r="EB461" s="19"/>
      <c r="EC461" s="9"/>
      <c r="ED461" s="9"/>
      <c r="EE461" s="9"/>
      <c r="EF461" s="9"/>
      <c r="EG461" s="9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  <c r="FI461" s="13"/>
      <c r="FJ461" s="13"/>
      <c r="FK461" s="13"/>
      <c r="FL461" s="13"/>
      <c r="FM461" s="13"/>
      <c r="FN461" s="13"/>
      <c r="FO461" s="13"/>
      <c r="FP461" s="13"/>
      <c r="FQ461" s="13"/>
      <c r="FR461" s="13"/>
      <c r="FS461" s="13"/>
      <c r="FT461" s="13"/>
      <c r="FU461" s="13"/>
      <c r="FV461" s="13"/>
      <c r="FW461" s="13"/>
      <c r="FX461" s="13"/>
      <c r="FY461" s="13"/>
      <c r="FZ461" s="13"/>
      <c r="GA461" s="13"/>
    </row>
    <row r="462" spans="1:183" s="52" customFormat="1" ht="13.2" x14ac:dyDescent="0.25">
      <c r="A462" s="2"/>
      <c r="B462" s="2"/>
      <c r="C462" s="9">
        <v>15</v>
      </c>
      <c r="D462" s="9">
        <v>38</v>
      </c>
      <c r="E462" s="9">
        <v>45</v>
      </c>
      <c r="F462" s="9">
        <v>47</v>
      </c>
      <c r="G462" s="9">
        <v>57</v>
      </c>
      <c r="H462" s="9">
        <v>71</v>
      </c>
      <c r="I462" s="43"/>
      <c r="J462" s="9">
        <v>71</v>
      </c>
      <c r="K462" s="43"/>
      <c r="L462" s="39">
        <v>45626</v>
      </c>
      <c r="M462" s="43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55"/>
      <c r="Y462" s="146"/>
      <c r="Z462" s="146"/>
      <c r="AA462" s="146"/>
      <c r="AB462" s="146"/>
      <c r="AC462" s="146"/>
      <c r="AD462" s="146"/>
      <c r="AE462" s="146"/>
      <c r="AF462" s="146"/>
      <c r="AG462" s="146"/>
      <c r="AH462" s="146"/>
      <c r="AI462" s="148"/>
      <c r="AJ462" s="1"/>
      <c r="AK462" s="1"/>
      <c r="AL462" s="54"/>
      <c r="AM462" s="1"/>
      <c r="AN462" s="43"/>
      <c r="AO462" s="1"/>
      <c r="AP462" s="1"/>
      <c r="AQ462" s="19"/>
      <c r="AR462" s="54"/>
      <c r="AS462" s="43"/>
      <c r="AT462" s="1"/>
      <c r="AU462" s="1"/>
      <c r="AV462" s="1"/>
      <c r="AW462" s="54"/>
      <c r="AX462" s="57"/>
      <c r="AY462" s="54"/>
      <c r="AZ462" s="54"/>
      <c r="BA462" s="54"/>
      <c r="BB462" s="54"/>
      <c r="BC462" s="57"/>
      <c r="BD462" s="1"/>
      <c r="BE462" s="1"/>
      <c r="BF462" s="1"/>
      <c r="BG462" s="54"/>
      <c r="BH462" s="43"/>
      <c r="BI462"/>
      <c r="BJ462" s="13"/>
      <c r="BK462" s="1"/>
      <c r="BL462"/>
      <c r="BM462"/>
      <c r="BN462"/>
      <c r="DY462" s="43"/>
      <c r="DZ462"/>
      <c r="EA462" s="19"/>
      <c r="EB462" s="19"/>
      <c r="EC462" s="9"/>
      <c r="ED462" s="9"/>
      <c r="EE462" s="9"/>
      <c r="EF462" s="9"/>
      <c r="EG462" s="9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3"/>
      <c r="FD462" s="13"/>
      <c r="FE462" s="13"/>
      <c r="FF462" s="13"/>
      <c r="FG462" s="13"/>
      <c r="FH462" s="13"/>
      <c r="FI462" s="13"/>
      <c r="FJ462" s="13"/>
      <c r="FK462" s="13"/>
      <c r="FL462" s="13"/>
      <c r="FM462" s="13"/>
      <c r="FN462" s="13"/>
      <c r="FO462" s="13"/>
      <c r="FP462" s="13"/>
      <c r="FQ462" s="13"/>
      <c r="FR462" s="13"/>
      <c r="FS462" s="13"/>
      <c r="FT462" s="13"/>
      <c r="FU462" s="13"/>
      <c r="FV462" s="13"/>
      <c r="FW462" s="13"/>
      <c r="FX462" s="13"/>
      <c r="FY462" s="13"/>
      <c r="FZ462" s="13"/>
      <c r="GA462" s="13"/>
    </row>
    <row r="463" spans="1:183" s="52" customFormat="1" ht="13.2" x14ac:dyDescent="0.25">
      <c r="A463" s="2"/>
      <c r="B463" s="2"/>
      <c r="C463" s="9">
        <v>27</v>
      </c>
      <c r="D463" s="9">
        <v>42</v>
      </c>
      <c r="E463" s="9">
        <v>47</v>
      </c>
      <c r="F463" s="9">
        <v>69</v>
      </c>
      <c r="G463" s="9">
        <v>76</v>
      </c>
      <c r="H463" s="9">
        <v>85</v>
      </c>
      <c r="I463" s="43"/>
      <c r="J463" s="9">
        <v>85</v>
      </c>
      <c r="K463" s="43"/>
      <c r="L463" s="39">
        <v>45623</v>
      </c>
      <c r="M463" s="43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55"/>
      <c r="Y463" s="146"/>
      <c r="Z463" s="146"/>
      <c r="AA463" s="146"/>
      <c r="AB463" s="146"/>
      <c r="AC463" s="146"/>
      <c r="AD463" s="146"/>
      <c r="AE463" s="146"/>
      <c r="AF463" s="146"/>
      <c r="AG463" s="146"/>
      <c r="AH463" s="146"/>
      <c r="AI463" s="148"/>
      <c r="AJ463" s="1"/>
      <c r="AK463" s="1"/>
      <c r="AL463" s="54"/>
      <c r="AM463" s="1"/>
      <c r="AN463" s="43"/>
      <c r="AO463" s="1"/>
      <c r="AP463" s="1"/>
      <c r="AQ463" s="19"/>
      <c r="AR463" s="54"/>
      <c r="AS463" s="43"/>
      <c r="AT463" s="1"/>
      <c r="AU463" s="1"/>
      <c r="AV463" s="1"/>
      <c r="AW463" s="54"/>
      <c r="AX463" s="57"/>
      <c r="AY463" s="54"/>
      <c r="AZ463" s="54"/>
      <c r="BA463" s="54"/>
      <c r="BB463" s="54"/>
      <c r="BC463" s="57"/>
      <c r="BD463" s="1"/>
      <c r="BE463" s="1"/>
      <c r="BF463" s="1"/>
      <c r="BG463" s="54"/>
      <c r="BH463" s="43"/>
      <c r="BI463"/>
      <c r="BJ463" s="13"/>
      <c r="BK463" s="1"/>
      <c r="BL463"/>
      <c r="BM463"/>
      <c r="BN463"/>
      <c r="DY463" s="43"/>
      <c r="DZ463"/>
      <c r="EA463" s="19"/>
      <c r="EB463" s="19"/>
      <c r="EC463" s="9"/>
      <c r="ED463" s="9"/>
      <c r="EE463" s="9"/>
      <c r="EF463" s="9"/>
      <c r="EG463" s="9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3"/>
      <c r="FD463" s="13"/>
      <c r="FE463" s="13"/>
      <c r="FF463" s="13"/>
      <c r="FG463" s="13"/>
      <c r="FH463" s="13"/>
      <c r="FI463" s="13"/>
      <c r="FJ463" s="13"/>
      <c r="FK463" s="13"/>
      <c r="FL463" s="13"/>
      <c r="FM463" s="13"/>
      <c r="FN463" s="13"/>
      <c r="FO463" s="13"/>
      <c r="FP463" s="13"/>
      <c r="FQ463" s="13"/>
      <c r="FR463" s="13"/>
      <c r="FS463" s="13"/>
      <c r="FT463" s="13"/>
      <c r="FU463" s="13"/>
      <c r="FV463" s="13"/>
      <c r="FW463" s="13"/>
      <c r="FX463" s="13"/>
      <c r="FY463" s="13"/>
      <c r="FZ463" s="13"/>
      <c r="GA463" s="13"/>
    </row>
    <row r="464" spans="1:183" s="52" customFormat="1" ht="13.2" x14ac:dyDescent="0.25">
      <c r="A464" s="2"/>
      <c r="B464" s="2"/>
      <c r="C464" s="9">
        <v>11</v>
      </c>
      <c r="D464" s="9">
        <v>12</v>
      </c>
      <c r="E464" s="9">
        <v>23</v>
      </c>
      <c r="F464" s="9">
        <v>24</v>
      </c>
      <c r="G464" s="9">
        <v>55</v>
      </c>
      <c r="H464" s="9">
        <v>80</v>
      </c>
      <c r="I464" s="43"/>
      <c r="J464" s="9">
        <v>80</v>
      </c>
      <c r="K464" s="43"/>
      <c r="L464" s="39">
        <v>45621</v>
      </c>
      <c r="M464" s="43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55"/>
      <c r="Y464" s="146"/>
      <c r="Z464" s="146"/>
      <c r="AA464" s="146"/>
      <c r="AB464" s="146"/>
      <c r="AC464" s="146"/>
      <c r="AD464" s="146"/>
      <c r="AE464" s="146"/>
      <c r="AF464" s="146"/>
      <c r="AG464" s="146"/>
      <c r="AH464" s="146"/>
      <c r="AI464" s="148"/>
      <c r="AJ464" s="1"/>
      <c r="AK464" s="1"/>
      <c r="AL464" s="54"/>
      <c r="AM464" s="1"/>
      <c r="AN464" s="43"/>
      <c r="AO464" s="1"/>
      <c r="AP464" s="1"/>
      <c r="AQ464" s="19"/>
      <c r="AR464" s="54"/>
      <c r="AS464" s="43"/>
      <c r="AT464" s="1"/>
      <c r="AU464" s="1"/>
      <c r="AV464" s="1"/>
      <c r="AW464" s="54"/>
      <c r="AX464" s="57"/>
      <c r="AY464" s="54"/>
      <c r="AZ464" s="54"/>
      <c r="BA464" s="54"/>
      <c r="BB464" s="54"/>
      <c r="BC464" s="57"/>
      <c r="BD464" s="1"/>
      <c r="BE464" s="1"/>
      <c r="BF464" s="1"/>
      <c r="BG464" s="54"/>
      <c r="BH464" s="43"/>
      <c r="BI464"/>
      <c r="BJ464" s="13"/>
      <c r="BK464" s="1"/>
      <c r="BL464"/>
      <c r="BM464"/>
      <c r="BN464"/>
      <c r="DY464" s="43"/>
      <c r="DZ464"/>
      <c r="EA464" s="19"/>
      <c r="EB464" s="19"/>
      <c r="EC464" s="9"/>
      <c r="ED464" s="9"/>
      <c r="EE464" s="9"/>
      <c r="EF464" s="9"/>
      <c r="EG464" s="9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3"/>
      <c r="FD464" s="13"/>
      <c r="FE464" s="13"/>
      <c r="FF464" s="13"/>
      <c r="FG464" s="13"/>
      <c r="FH464" s="13"/>
      <c r="FI464" s="13"/>
      <c r="FJ464" s="13"/>
      <c r="FK464" s="13"/>
      <c r="FL464" s="13"/>
      <c r="FM464" s="13"/>
      <c r="FN464" s="13"/>
      <c r="FO464" s="13"/>
      <c r="FP464" s="13"/>
      <c r="FQ464" s="13"/>
      <c r="FR464" s="13"/>
      <c r="FS464" s="13"/>
      <c r="FT464" s="13"/>
      <c r="FU464" s="13"/>
      <c r="FV464" s="13"/>
      <c r="FW464" s="13"/>
      <c r="FX464" s="13"/>
      <c r="FY464" s="13"/>
      <c r="FZ464" s="13"/>
      <c r="GA464" s="13"/>
    </row>
    <row r="465" spans="1:183" s="52" customFormat="1" ht="13.2" x14ac:dyDescent="0.25">
      <c r="A465" s="2"/>
      <c r="B465" s="2"/>
      <c r="C465" s="9">
        <v>15</v>
      </c>
      <c r="D465" s="9">
        <v>25</v>
      </c>
      <c r="E465" s="9">
        <v>62</v>
      </c>
      <c r="F465" s="9">
        <v>65</v>
      </c>
      <c r="G465" s="9">
        <v>77</v>
      </c>
      <c r="H465" s="9">
        <v>86</v>
      </c>
      <c r="I465" s="43"/>
      <c r="J465" s="9">
        <v>86</v>
      </c>
      <c r="K465" s="43"/>
      <c r="L465" s="39">
        <v>45619</v>
      </c>
      <c r="M465" s="43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55"/>
      <c r="Y465" s="146"/>
      <c r="Z465" s="146"/>
      <c r="AA465" s="146"/>
      <c r="AB465" s="146"/>
      <c r="AC465" s="146"/>
      <c r="AD465" s="146"/>
      <c r="AE465" s="146"/>
      <c r="AF465" s="146"/>
      <c r="AG465" s="146"/>
      <c r="AH465" s="146"/>
      <c r="AI465" s="148"/>
      <c r="AJ465" s="1"/>
      <c r="AK465" s="1"/>
      <c r="AL465" s="54"/>
      <c r="AM465" s="1"/>
      <c r="AN465" s="43"/>
      <c r="AO465" s="1"/>
      <c r="AP465" s="1"/>
      <c r="AQ465" s="19"/>
      <c r="AR465" s="54"/>
      <c r="AS465" s="43"/>
      <c r="AT465" s="1"/>
      <c r="AU465" s="1"/>
      <c r="AV465" s="1"/>
      <c r="AW465" s="54"/>
      <c r="AX465" s="57"/>
      <c r="AY465" s="54"/>
      <c r="AZ465" s="54"/>
      <c r="BA465" s="54"/>
      <c r="BB465" s="54"/>
      <c r="BC465" s="57"/>
      <c r="BD465" s="1"/>
      <c r="BE465" s="1"/>
      <c r="BF465" s="1"/>
      <c r="BG465" s="54"/>
      <c r="BH465" s="43"/>
      <c r="BI465"/>
      <c r="BJ465" s="13"/>
      <c r="BK465" s="1"/>
      <c r="BL465"/>
      <c r="BM465"/>
      <c r="BN465"/>
      <c r="DY465" s="43"/>
      <c r="DZ465"/>
      <c r="EA465" s="19"/>
      <c r="EB465" s="19"/>
      <c r="EC465" s="9"/>
      <c r="ED465" s="9"/>
      <c r="EE465" s="9"/>
      <c r="EF465" s="9"/>
      <c r="EG465" s="9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3"/>
      <c r="FJ465" s="13"/>
      <c r="FK465" s="13"/>
      <c r="FL465" s="13"/>
      <c r="FM465" s="13"/>
      <c r="FN465" s="13"/>
      <c r="FO465" s="13"/>
      <c r="FP465" s="13"/>
      <c r="FQ465" s="13"/>
      <c r="FR465" s="13"/>
      <c r="FS465" s="13"/>
      <c r="FT465" s="13"/>
      <c r="FU465" s="13"/>
      <c r="FV465" s="13"/>
      <c r="FW465" s="13"/>
      <c r="FX465" s="13"/>
      <c r="FY465" s="13"/>
      <c r="FZ465" s="13"/>
      <c r="GA465" s="13"/>
    </row>
    <row r="466" spans="1:183" s="52" customFormat="1" ht="13.2" x14ac:dyDescent="0.25">
      <c r="A466" s="2"/>
      <c r="B466" s="2"/>
      <c r="C466" s="9">
        <v>5</v>
      </c>
      <c r="D466" s="9">
        <v>18</v>
      </c>
      <c r="E466" s="9">
        <v>29</v>
      </c>
      <c r="F466" s="9">
        <v>33</v>
      </c>
      <c r="G466" s="9">
        <v>70</v>
      </c>
      <c r="H466" s="9">
        <v>81</v>
      </c>
      <c r="I466" s="43"/>
      <c r="J466" s="9">
        <v>81</v>
      </c>
      <c r="K466" s="43"/>
      <c r="L466" s="39">
        <v>45616</v>
      </c>
      <c r="M466" s="43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55"/>
      <c r="Y466" s="146"/>
      <c r="Z466" s="146"/>
      <c r="AA466" s="146"/>
      <c r="AB466" s="146"/>
      <c r="AC466" s="146"/>
      <c r="AD466" s="146"/>
      <c r="AE466" s="146"/>
      <c r="AF466" s="146"/>
      <c r="AG466" s="146"/>
      <c r="AH466" s="146"/>
      <c r="AI466" s="148"/>
      <c r="AJ466" s="1"/>
      <c r="AK466" s="1"/>
      <c r="AL466" s="54"/>
      <c r="AM466" s="1"/>
      <c r="AN466" s="43"/>
      <c r="AO466" s="1"/>
      <c r="AP466" s="1"/>
      <c r="AQ466" s="19"/>
      <c r="AR466" s="54"/>
      <c r="AS466" s="43"/>
      <c r="AT466" s="1"/>
      <c r="AU466" s="1"/>
      <c r="AV466" s="1"/>
      <c r="AW466" s="54"/>
      <c r="AX466" s="57"/>
      <c r="AY466" s="54"/>
      <c r="AZ466" s="54"/>
      <c r="BA466" s="54"/>
      <c r="BB466" s="54"/>
      <c r="BC466" s="57"/>
      <c r="BD466" s="1"/>
      <c r="BE466" s="1"/>
      <c r="BF466" s="1"/>
      <c r="BG466" s="54"/>
      <c r="BH466" s="43"/>
      <c r="BI466"/>
      <c r="BJ466" s="13"/>
      <c r="BK466" s="1"/>
      <c r="BL466"/>
      <c r="BM466"/>
      <c r="BN466"/>
      <c r="DY466" s="43"/>
      <c r="DZ466"/>
      <c r="EA466" s="19"/>
      <c r="EB466" s="19"/>
      <c r="EC466" s="9"/>
      <c r="ED466" s="9"/>
      <c r="EE466" s="9"/>
      <c r="EF466" s="9"/>
      <c r="EG466" s="9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3"/>
      <c r="FD466" s="13"/>
      <c r="FE466" s="13"/>
      <c r="FF466" s="13"/>
      <c r="FG466" s="13"/>
      <c r="FH466" s="13"/>
      <c r="FI466" s="13"/>
      <c r="FJ466" s="13"/>
      <c r="FK466" s="13"/>
      <c r="FL466" s="13"/>
      <c r="FM466" s="13"/>
      <c r="FN466" s="13"/>
      <c r="FO466" s="13"/>
      <c r="FP466" s="13"/>
      <c r="FQ466" s="13"/>
      <c r="FR466" s="13"/>
      <c r="FS466" s="13"/>
      <c r="FT466" s="13"/>
      <c r="FU466" s="13"/>
      <c r="FV466" s="13"/>
      <c r="FW466" s="13"/>
      <c r="FX466" s="13"/>
      <c r="FY466" s="13"/>
      <c r="FZ466" s="13"/>
      <c r="GA466" s="13"/>
    </row>
    <row r="467" spans="1:183" s="52" customFormat="1" ht="13.2" x14ac:dyDescent="0.25">
      <c r="A467" s="2"/>
      <c r="B467" s="2"/>
      <c r="C467" s="9">
        <v>2</v>
      </c>
      <c r="D467" s="9">
        <v>25</v>
      </c>
      <c r="E467" s="9">
        <v>36</v>
      </c>
      <c r="F467" s="9">
        <v>58</v>
      </c>
      <c r="G467" s="9">
        <v>79</v>
      </c>
      <c r="H467" s="9">
        <v>80</v>
      </c>
      <c r="I467" s="43"/>
      <c r="J467" s="9">
        <v>80</v>
      </c>
      <c r="K467" s="43"/>
      <c r="L467" s="39">
        <v>45614</v>
      </c>
      <c r="M467" s="43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55"/>
      <c r="Y467" s="146"/>
      <c r="Z467" s="146"/>
      <c r="AA467" s="146"/>
      <c r="AB467" s="146"/>
      <c r="AC467" s="146"/>
      <c r="AD467" s="146"/>
      <c r="AE467" s="146"/>
      <c r="AF467" s="146"/>
      <c r="AG467" s="146"/>
      <c r="AH467" s="146"/>
      <c r="AI467" s="148"/>
      <c r="AJ467" s="1"/>
      <c r="AK467" s="1"/>
      <c r="AL467" s="54"/>
      <c r="AM467" s="1"/>
      <c r="AN467" s="43"/>
      <c r="AO467" s="1"/>
      <c r="AP467" s="1"/>
      <c r="AQ467" s="19"/>
      <c r="AR467" s="54"/>
      <c r="AS467" s="43"/>
      <c r="AT467" s="1"/>
      <c r="AU467" s="1"/>
      <c r="AV467" s="1"/>
      <c r="AW467" s="54"/>
      <c r="AX467" s="57"/>
      <c r="AY467" s="54"/>
      <c r="AZ467" s="54"/>
      <c r="BA467" s="54"/>
      <c r="BB467" s="54"/>
      <c r="BC467" s="57"/>
      <c r="BD467" s="1"/>
      <c r="BE467" s="1"/>
      <c r="BF467" s="1"/>
      <c r="BG467" s="54"/>
      <c r="BH467" s="43"/>
      <c r="BI467"/>
      <c r="BJ467" s="13"/>
      <c r="BK467" s="1"/>
      <c r="BL467"/>
      <c r="BM467"/>
      <c r="BN467"/>
      <c r="DY467" s="43"/>
      <c r="DZ467"/>
      <c r="EA467" s="19"/>
      <c r="EB467" s="19"/>
      <c r="EC467" s="9"/>
      <c r="ED467" s="9"/>
      <c r="EE467" s="9"/>
      <c r="EF467" s="9"/>
      <c r="EG467" s="9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3"/>
      <c r="FD467" s="13"/>
      <c r="FE467" s="13"/>
      <c r="FF467" s="13"/>
      <c r="FG467" s="13"/>
      <c r="FH467" s="13"/>
      <c r="FI467" s="13"/>
      <c r="FJ467" s="13"/>
      <c r="FK467" s="13"/>
      <c r="FL467" s="13"/>
      <c r="FM467" s="13"/>
      <c r="FN467" s="13"/>
      <c r="FO467" s="13"/>
      <c r="FP467" s="13"/>
      <c r="FQ467" s="13"/>
      <c r="FR467" s="13"/>
      <c r="FS467" s="13"/>
      <c r="FT467" s="13"/>
      <c r="FU467" s="13"/>
      <c r="FV467" s="13"/>
      <c r="FW467" s="13"/>
      <c r="FX467" s="13"/>
      <c r="FY467" s="13"/>
      <c r="FZ467" s="13"/>
      <c r="GA467" s="13"/>
    </row>
    <row r="468" spans="1:183" s="52" customFormat="1" ht="13.2" x14ac:dyDescent="0.25">
      <c r="A468" s="2"/>
      <c r="B468" s="2"/>
      <c r="C468" s="9">
        <v>28</v>
      </c>
      <c r="D468" s="9">
        <v>51</v>
      </c>
      <c r="E468" s="9">
        <v>54</v>
      </c>
      <c r="F468" s="9">
        <v>56</v>
      </c>
      <c r="G468" s="9">
        <v>59</v>
      </c>
      <c r="H468" s="9">
        <v>74</v>
      </c>
      <c r="I468" s="43"/>
      <c r="J468" s="9">
        <v>74</v>
      </c>
      <c r="K468" s="43"/>
      <c r="L468" s="39">
        <v>45612</v>
      </c>
      <c r="M468" s="43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55"/>
      <c r="Y468" s="146"/>
      <c r="Z468" s="146"/>
      <c r="AA468" s="146"/>
      <c r="AB468" s="146"/>
      <c r="AC468" s="146"/>
      <c r="AD468" s="146"/>
      <c r="AE468" s="146"/>
      <c r="AF468" s="146"/>
      <c r="AG468" s="146"/>
      <c r="AH468" s="146"/>
      <c r="AI468" s="148"/>
      <c r="AJ468" s="1"/>
      <c r="AK468" s="1"/>
      <c r="AL468" s="54"/>
      <c r="AM468" s="1"/>
      <c r="AN468" s="43"/>
      <c r="AO468" s="1"/>
      <c r="AP468" s="1"/>
      <c r="AQ468" s="19"/>
      <c r="AR468" s="54"/>
      <c r="AS468" s="43"/>
      <c r="AT468" s="1"/>
      <c r="AU468" s="1"/>
      <c r="AV468" s="1"/>
      <c r="AW468" s="54"/>
      <c r="AX468" s="57"/>
      <c r="AY468" s="54"/>
      <c r="AZ468" s="54"/>
      <c r="BA468" s="54"/>
      <c r="BB468" s="54"/>
      <c r="BC468" s="57"/>
      <c r="BD468" s="1"/>
      <c r="BE468" s="1"/>
      <c r="BF468" s="1"/>
      <c r="BG468" s="54"/>
      <c r="BH468" s="43"/>
      <c r="BI468"/>
      <c r="BJ468" s="13"/>
      <c r="BK468" s="1"/>
      <c r="BL468"/>
      <c r="BM468"/>
      <c r="BN468"/>
      <c r="DY468" s="43"/>
      <c r="DZ468"/>
      <c r="EA468" s="19"/>
      <c r="EB468" s="19"/>
      <c r="EC468" s="9"/>
      <c r="ED468" s="9"/>
      <c r="EE468" s="9"/>
      <c r="EF468" s="9"/>
      <c r="EG468" s="9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3"/>
      <c r="FD468" s="13"/>
      <c r="FE468" s="13"/>
      <c r="FF468" s="13"/>
      <c r="FG468" s="13"/>
      <c r="FH468" s="13"/>
      <c r="FI468" s="13"/>
      <c r="FJ468" s="13"/>
      <c r="FK468" s="13"/>
      <c r="FL468" s="13"/>
      <c r="FM468" s="13"/>
      <c r="FN468" s="13"/>
      <c r="FO468" s="13"/>
      <c r="FP468" s="13"/>
      <c r="FQ468" s="13"/>
      <c r="FR468" s="13"/>
      <c r="FS468" s="13"/>
      <c r="FT468" s="13"/>
      <c r="FU468" s="13"/>
      <c r="FV468" s="13"/>
      <c r="FW468" s="13"/>
      <c r="FX468" s="13"/>
      <c r="FY468" s="13"/>
      <c r="FZ468" s="13"/>
      <c r="GA468" s="13"/>
    </row>
    <row r="469" spans="1:183" s="52" customFormat="1" ht="13.2" x14ac:dyDescent="0.25">
      <c r="A469" s="2"/>
      <c r="B469" s="2"/>
      <c r="C469" s="9">
        <v>5</v>
      </c>
      <c r="D469" s="9">
        <v>29</v>
      </c>
      <c r="E469" s="9">
        <v>30</v>
      </c>
      <c r="F469" s="9">
        <v>64</v>
      </c>
      <c r="G469" s="9">
        <v>84</v>
      </c>
      <c r="H469" s="9">
        <v>89</v>
      </c>
      <c r="I469" s="43"/>
      <c r="J469" s="9">
        <v>89</v>
      </c>
      <c r="K469" s="43"/>
      <c r="L469" s="39">
        <v>45609</v>
      </c>
      <c r="M469" s="43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55"/>
      <c r="Y469" s="146"/>
      <c r="Z469" s="146"/>
      <c r="AA469" s="146"/>
      <c r="AB469" s="146"/>
      <c r="AC469" s="146"/>
      <c r="AD469" s="146"/>
      <c r="AE469" s="146"/>
      <c r="AF469" s="146"/>
      <c r="AG469" s="146"/>
      <c r="AH469" s="146"/>
      <c r="AI469" s="148"/>
      <c r="AJ469" s="1"/>
      <c r="AK469" s="1"/>
      <c r="AL469" s="54"/>
      <c r="AM469" s="1"/>
      <c r="AN469" s="43"/>
      <c r="AO469" s="1"/>
      <c r="AP469" s="1"/>
      <c r="AQ469" s="19"/>
      <c r="AR469" s="54"/>
      <c r="AS469" s="43"/>
      <c r="AT469" s="1"/>
      <c r="AU469" s="1"/>
      <c r="AV469" s="1"/>
      <c r="AW469" s="54"/>
      <c r="AX469" s="57"/>
      <c r="AY469" s="54"/>
      <c r="AZ469" s="54"/>
      <c r="BA469" s="54"/>
      <c r="BB469" s="54"/>
      <c r="BC469" s="57"/>
      <c r="BD469" s="1"/>
      <c r="BE469" s="1"/>
      <c r="BF469" s="1"/>
      <c r="BG469" s="54"/>
      <c r="BH469" s="43"/>
      <c r="BI469"/>
      <c r="BJ469" s="13"/>
      <c r="BK469" s="1"/>
      <c r="BL469"/>
      <c r="BM469"/>
      <c r="BN469"/>
      <c r="DY469" s="43"/>
      <c r="DZ469"/>
      <c r="EA469" s="19"/>
      <c r="EB469" s="19"/>
      <c r="EC469" s="9"/>
      <c r="ED469" s="9"/>
      <c r="EE469" s="9"/>
      <c r="EF469" s="9"/>
      <c r="EG469" s="9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  <c r="FU469" s="13"/>
      <c r="FV469" s="13"/>
      <c r="FW469" s="13"/>
      <c r="FX469" s="13"/>
      <c r="FY469" s="13"/>
      <c r="FZ469" s="13"/>
      <c r="GA469" s="13"/>
    </row>
    <row r="470" spans="1:183" s="52" customFormat="1" ht="13.2" x14ac:dyDescent="0.25">
      <c r="A470" s="2"/>
      <c r="B470" s="2"/>
      <c r="C470" s="9">
        <v>4</v>
      </c>
      <c r="D470" s="9">
        <v>18</v>
      </c>
      <c r="E470" s="9">
        <v>46</v>
      </c>
      <c r="F470" s="9">
        <v>47</v>
      </c>
      <c r="G470" s="9">
        <v>64</v>
      </c>
      <c r="H470" s="9">
        <v>66</v>
      </c>
      <c r="I470" s="43"/>
      <c r="J470" s="9">
        <v>66</v>
      </c>
      <c r="K470" s="43"/>
      <c r="L470" s="39">
        <v>45576</v>
      </c>
      <c r="M470" s="43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55"/>
      <c r="Y470" s="146"/>
      <c r="Z470" s="146"/>
      <c r="AA470" s="146"/>
      <c r="AB470" s="146"/>
      <c r="AC470" s="146"/>
      <c r="AD470" s="146"/>
      <c r="AE470" s="146"/>
      <c r="AF470" s="146"/>
      <c r="AG470" s="146"/>
      <c r="AH470" s="146"/>
      <c r="AI470" s="148"/>
      <c r="AJ470" s="1"/>
      <c r="AK470" s="1"/>
      <c r="AL470" s="54"/>
      <c r="AM470" s="1"/>
      <c r="AN470" s="43"/>
      <c r="AO470" s="1"/>
      <c r="AP470" s="1"/>
      <c r="AQ470" s="19"/>
      <c r="AR470" s="54"/>
      <c r="AS470" s="43"/>
      <c r="AT470" s="1"/>
      <c r="AU470" s="1"/>
      <c r="AV470" s="1"/>
      <c r="AW470" s="54"/>
      <c r="AX470" s="57"/>
      <c r="AY470" s="54"/>
      <c r="AZ470" s="54"/>
      <c r="BA470" s="54"/>
      <c r="BB470" s="54"/>
      <c r="BC470" s="57"/>
      <c r="BD470" s="1"/>
      <c r="BE470" s="1"/>
      <c r="BF470" s="1"/>
      <c r="BG470" s="54"/>
      <c r="BH470" s="43"/>
      <c r="BI470"/>
      <c r="BJ470" s="13"/>
      <c r="BK470" s="1"/>
      <c r="BL470"/>
      <c r="BM470"/>
      <c r="BN470"/>
      <c r="DY470" s="43"/>
      <c r="DZ470"/>
      <c r="EA470" s="19"/>
      <c r="EB470" s="19"/>
      <c r="EC470" s="9"/>
      <c r="ED470" s="9"/>
      <c r="EE470" s="9"/>
      <c r="EF470" s="9"/>
      <c r="EG470" s="9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/>
      <c r="FB470" s="13"/>
      <c r="FC470" s="13"/>
      <c r="FD470" s="13"/>
      <c r="FE470" s="13"/>
      <c r="FF470" s="13"/>
      <c r="FG470" s="13"/>
      <c r="FH470" s="13"/>
      <c r="FI470" s="13"/>
      <c r="FJ470" s="13"/>
      <c r="FK470" s="13"/>
      <c r="FL470" s="13"/>
      <c r="FM470" s="13"/>
      <c r="FN470" s="13"/>
      <c r="FO470" s="13"/>
      <c r="FP470" s="13"/>
      <c r="FQ470" s="13"/>
      <c r="FR470" s="13"/>
      <c r="FS470" s="13"/>
      <c r="FT470" s="13"/>
      <c r="FU470" s="13"/>
      <c r="FV470" s="13"/>
      <c r="FW470" s="13"/>
      <c r="FX470" s="13"/>
      <c r="FY470" s="13"/>
      <c r="FZ470" s="13"/>
      <c r="GA470" s="13"/>
    </row>
    <row r="471" spans="1:183" s="52" customFormat="1" ht="13.2" x14ac:dyDescent="0.25">
      <c r="A471" s="2"/>
      <c r="B471" s="2"/>
      <c r="C471" s="9">
        <v>15</v>
      </c>
      <c r="D471" s="9">
        <v>33</v>
      </c>
      <c r="E471" s="9">
        <v>36</v>
      </c>
      <c r="F471" s="9">
        <v>74</v>
      </c>
      <c r="G471" s="9">
        <v>78</v>
      </c>
      <c r="H471" s="9">
        <v>81</v>
      </c>
      <c r="I471" s="43"/>
      <c r="J471" s="9">
        <v>81</v>
      </c>
      <c r="K471" s="43"/>
      <c r="L471" s="39">
        <v>45605</v>
      </c>
      <c r="M471" s="43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55"/>
      <c r="Y471" s="146"/>
      <c r="Z471" s="146"/>
      <c r="AA471" s="146"/>
      <c r="AB471" s="146"/>
      <c r="AC471" s="146"/>
      <c r="AD471" s="146"/>
      <c r="AE471" s="146"/>
      <c r="AF471" s="146"/>
      <c r="AG471" s="146"/>
      <c r="AH471" s="146"/>
      <c r="AI471" s="148"/>
      <c r="AJ471" s="1"/>
      <c r="AK471" s="1"/>
      <c r="AL471" s="54"/>
      <c r="AM471" s="1"/>
      <c r="AN471" s="43"/>
      <c r="AO471" s="1"/>
      <c r="AP471" s="1"/>
      <c r="AQ471" s="19"/>
      <c r="AR471" s="54"/>
      <c r="AS471" s="43"/>
      <c r="AT471" s="1"/>
      <c r="AU471" s="1"/>
      <c r="AV471" s="1"/>
      <c r="AW471" s="54"/>
      <c r="AX471" s="57"/>
      <c r="AY471" s="54"/>
      <c r="AZ471" s="54"/>
      <c r="BA471" s="54"/>
      <c r="BB471" s="54"/>
      <c r="BC471" s="57"/>
      <c r="BD471" s="1"/>
      <c r="BE471" s="1"/>
      <c r="BF471" s="1"/>
      <c r="BG471" s="54"/>
      <c r="BH471" s="43"/>
      <c r="BI471"/>
      <c r="BJ471" s="13"/>
      <c r="BK471" s="1"/>
      <c r="BL471"/>
      <c r="BM471"/>
      <c r="BN471"/>
      <c r="DY471" s="43"/>
      <c r="DZ471"/>
      <c r="EA471" s="19"/>
      <c r="EB471" s="19"/>
      <c r="EC471" s="9"/>
      <c r="ED471" s="9"/>
      <c r="EE471" s="9"/>
      <c r="EF471" s="9"/>
      <c r="EG471" s="9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3"/>
      <c r="FD471" s="13"/>
      <c r="FE471" s="13"/>
      <c r="FF471" s="13"/>
      <c r="FG471" s="13"/>
      <c r="FH471" s="13"/>
      <c r="FI471" s="13"/>
      <c r="FJ471" s="13"/>
      <c r="FK471" s="13"/>
      <c r="FL471" s="13"/>
      <c r="FM471" s="13"/>
      <c r="FN471" s="13"/>
      <c r="FO471" s="13"/>
      <c r="FP471" s="13"/>
      <c r="FQ471" s="13"/>
      <c r="FR471" s="13"/>
      <c r="FS471" s="13"/>
      <c r="FT471" s="13"/>
      <c r="FU471" s="13"/>
      <c r="FV471" s="13"/>
      <c r="FW471" s="13"/>
      <c r="FX471" s="13"/>
      <c r="FY471" s="13"/>
      <c r="FZ471" s="13"/>
      <c r="GA471" s="13"/>
    </row>
    <row r="472" spans="1:183" s="52" customFormat="1" ht="13.2" x14ac:dyDescent="0.25">
      <c r="A472" s="2"/>
      <c r="B472" s="2"/>
      <c r="C472" s="9">
        <v>4</v>
      </c>
      <c r="D472" s="9">
        <v>33</v>
      </c>
      <c r="E472" s="9">
        <v>37</v>
      </c>
      <c r="F472" s="9">
        <v>43</v>
      </c>
      <c r="G472" s="9">
        <v>46</v>
      </c>
      <c r="H472" s="9">
        <v>63</v>
      </c>
      <c r="I472" s="43"/>
      <c r="J472" s="9">
        <v>63</v>
      </c>
      <c r="K472" s="43"/>
      <c r="L472" s="39">
        <v>45602</v>
      </c>
      <c r="M472" s="43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55"/>
      <c r="Y472" s="146"/>
      <c r="Z472" s="146"/>
      <c r="AA472" s="146"/>
      <c r="AB472" s="146"/>
      <c r="AC472" s="146"/>
      <c r="AD472" s="146"/>
      <c r="AE472" s="146"/>
      <c r="AF472" s="146"/>
      <c r="AG472" s="146"/>
      <c r="AH472" s="146"/>
      <c r="AI472" s="148"/>
      <c r="AJ472" s="1"/>
      <c r="AK472" s="1"/>
      <c r="AL472" s="54"/>
      <c r="AM472" s="1"/>
      <c r="AN472" s="43"/>
      <c r="AO472" s="1"/>
      <c r="AP472" s="1"/>
      <c r="AQ472" s="19"/>
      <c r="AR472" s="54"/>
      <c r="AS472" s="43"/>
      <c r="AT472" s="1"/>
      <c r="AU472" s="1"/>
      <c r="AV472" s="1"/>
      <c r="AW472" s="54"/>
      <c r="AX472" s="57"/>
      <c r="AY472" s="54"/>
      <c r="AZ472" s="54"/>
      <c r="BA472" s="54"/>
      <c r="BB472" s="54"/>
      <c r="BC472" s="57"/>
      <c r="BD472" s="1"/>
      <c r="BE472" s="1"/>
      <c r="BF472" s="1"/>
      <c r="BG472" s="54"/>
      <c r="BH472" s="43"/>
      <c r="BI472"/>
      <c r="BJ472" s="13"/>
      <c r="BK472" s="1"/>
      <c r="BL472"/>
      <c r="BM472"/>
      <c r="BN472"/>
      <c r="DY472" s="43"/>
      <c r="DZ472"/>
      <c r="EA472" s="19"/>
      <c r="EB472" s="19"/>
      <c r="EC472" s="9"/>
      <c r="ED472" s="9"/>
      <c r="EE472" s="9"/>
      <c r="EF472" s="9"/>
      <c r="EG472" s="9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3"/>
      <c r="FD472" s="13"/>
      <c r="FE472" s="13"/>
      <c r="FF472" s="13"/>
      <c r="FG472" s="13"/>
      <c r="FH472" s="13"/>
      <c r="FI472" s="13"/>
      <c r="FJ472" s="13"/>
      <c r="FK472" s="13"/>
      <c r="FL472" s="13"/>
      <c r="FM472" s="13"/>
      <c r="FN472" s="13"/>
      <c r="FO472" s="13"/>
      <c r="FP472" s="13"/>
      <c r="FQ472" s="13"/>
      <c r="FR472" s="13"/>
      <c r="FS472" s="13"/>
      <c r="FT472" s="13"/>
      <c r="FU472" s="13"/>
      <c r="FV472" s="13"/>
      <c r="FW472" s="13"/>
      <c r="FX472" s="13"/>
      <c r="FY472" s="13"/>
      <c r="FZ472" s="13"/>
      <c r="GA472" s="13"/>
    </row>
    <row r="473" spans="1:183" s="52" customFormat="1" ht="13.2" x14ac:dyDescent="0.25">
      <c r="A473" s="2"/>
      <c r="B473" s="2"/>
      <c r="C473" s="9">
        <v>9</v>
      </c>
      <c r="D473" s="9">
        <v>12</v>
      </c>
      <c r="E473" s="9">
        <v>26</v>
      </c>
      <c r="F473" s="9">
        <v>38</v>
      </c>
      <c r="G473" s="9">
        <v>63</v>
      </c>
      <c r="H473" s="9">
        <v>69</v>
      </c>
      <c r="I473" s="43"/>
      <c r="J473" s="9">
        <v>69</v>
      </c>
      <c r="K473" s="43"/>
      <c r="L473" s="39">
        <v>45600</v>
      </c>
      <c r="M473" s="43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55"/>
      <c r="Y473" s="146"/>
      <c r="Z473" s="146"/>
      <c r="AA473" s="146"/>
      <c r="AB473" s="146"/>
      <c r="AC473" s="146"/>
      <c r="AD473" s="146"/>
      <c r="AE473" s="146"/>
      <c r="AF473" s="146"/>
      <c r="AG473" s="146"/>
      <c r="AH473" s="146"/>
      <c r="AI473" s="148"/>
      <c r="AJ473" s="1"/>
      <c r="AK473" s="1"/>
      <c r="AL473" s="54"/>
      <c r="AM473" s="1"/>
      <c r="AN473" s="43"/>
      <c r="AO473" s="1"/>
      <c r="AP473" s="1"/>
      <c r="AQ473" s="19"/>
      <c r="AR473" s="54"/>
      <c r="AS473" s="43"/>
      <c r="AT473" s="1"/>
      <c r="AU473" s="1"/>
      <c r="AV473" s="1"/>
      <c r="AW473" s="54"/>
      <c r="AX473" s="57"/>
      <c r="AY473" s="54"/>
      <c r="AZ473" s="54"/>
      <c r="BA473" s="54"/>
      <c r="BB473" s="54"/>
      <c r="BC473" s="57"/>
      <c r="BD473" s="1"/>
      <c r="BE473" s="1"/>
      <c r="BF473" s="1"/>
      <c r="BG473" s="54"/>
      <c r="BH473" s="43"/>
      <c r="BI473"/>
      <c r="BJ473" s="13"/>
      <c r="BK473" s="1"/>
      <c r="BL473"/>
      <c r="BM473"/>
      <c r="BN473"/>
      <c r="DY473" s="43"/>
      <c r="DZ473"/>
      <c r="EA473" s="19"/>
      <c r="EB473" s="19"/>
      <c r="EC473" s="9"/>
      <c r="ED473" s="9"/>
      <c r="EE473" s="9"/>
      <c r="EF473" s="9"/>
      <c r="EG473" s="9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  <c r="FI473" s="13"/>
      <c r="FJ473" s="13"/>
      <c r="FK473" s="13"/>
      <c r="FL473" s="13"/>
      <c r="FM473" s="13"/>
      <c r="FN473" s="13"/>
      <c r="FO473" s="13"/>
      <c r="FP473" s="13"/>
      <c r="FQ473" s="13"/>
      <c r="FR473" s="13"/>
      <c r="FS473" s="13"/>
      <c r="FT473" s="13"/>
      <c r="FU473" s="13"/>
      <c r="FV473" s="13"/>
      <c r="FW473" s="13"/>
      <c r="FX473" s="13"/>
      <c r="FY473" s="13"/>
      <c r="FZ473" s="13"/>
      <c r="GA473" s="13"/>
    </row>
    <row r="474" spans="1:183" s="52" customFormat="1" ht="13.2" x14ac:dyDescent="0.25">
      <c r="A474" s="2"/>
      <c r="B474" s="2"/>
      <c r="C474" s="9">
        <v>33</v>
      </c>
      <c r="D474" s="9">
        <v>54</v>
      </c>
      <c r="E474" s="9">
        <v>66</v>
      </c>
      <c r="F474" s="9">
        <v>78</v>
      </c>
      <c r="G474" s="9">
        <v>80</v>
      </c>
      <c r="H474" s="9">
        <v>89</v>
      </c>
      <c r="I474" s="43"/>
      <c r="J474" s="9">
        <v>89</v>
      </c>
      <c r="K474" s="43"/>
      <c r="L474" s="39">
        <v>45598</v>
      </c>
      <c r="M474" s="43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55"/>
      <c r="Y474" s="146"/>
      <c r="Z474" s="146"/>
      <c r="AA474" s="146"/>
      <c r="AB474" s="146"/>
      <c r="AC474" s="146"/>
      <c r="AD474" s="146"/>
      <c r="AE474" s="146"/>
      <c r="AF474" s="146"/>
      <c r="AG474" s="146"/>
      <c r="AH474" s="146"/>
      <c r="AI474" s="148"/>
      <c r="AJ474" s="1"/>
      <c r="AK474" s="1"/>
      <c r="AL474" s="54"/>
      <c r="AM474" s="1"/>
      <c r="AN474" s="43"/>
      <c r="AO474" s="1"/>
      <c r="AP474" s="1"/>
      <c r="AQ474" s="19"/>
      <c r="AR474" s="54"/>
      <c r="AS474" s="43"/>
      <c r="AT474" s="1"/>
      <c r="AU474" s="1"/>
      <c r="AV474" s="1"/>
      <c r="AW474" s="54"/>
      <c r="AX474" s="57"/>
      <c r="AY474" s="54"/>
      <c r="AZ474" s="54"/>
      <c r="BA474" s="54"/>
      <c r="BB474" s="54"/>
      <c r="BC474" s="57"/>
      <c r="BD474" s="1"/>
      <c r="BE474" s="1"/>
      <c r="BF474" s="1"/>
      <c r="BG474" s="54"/>
      <c r="BH474" s="43"/>
      <c r="BI474"/>
      <c r="BJ474" s="13"/>
      <c r="BK474" s="1"/>
      <c r="BL474"/>
      <c r="BM474"/>
      <c r="BN474"/>
      <c r="DY474" s="43"/>
      <c r="DZ474"/>
      <c r="EA474" s="19"/>
      <c r="EB474" s="19"/>
      <c r="EC474" s="9"/>
      <c r="ED474" s="9"/>
      <c r="EE474" s="9"/>
      <c r="EF474" s="9"/>
      <c r="EG474" s="9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  <c r="FI474" s="13"/>
      <c r="FJ474" s="13"/>
      <c r="FK474" s="13"/>
      <c r="FL474" s="13"/>
      <c r="FM474" s="13"/>
      <c r="FN474" s="13"/>
      <c r="FO474" s="13"/>
      <c r="FP474" s="13"/>
      <c r="FQ474" s="13"/>
      <c r="FR474" s="13"/>
      <c r="FS474" s="13"/>
      <c r="FT474" s="13"/>
      <c r="FU474" s="13"/>
      <c r="FV474" s="13"/>
      <c r="FW474" s="13"/>
      <c r="FX474" s="13"/>
      <c r="FY474" s="13"/>
      <c r="FZ474" s="13"/>
      <c r="GA474" s="13"/>
    </row>
    <row r="475" spans="1:183" s="52" customFormat="1" ht="13.2" x14ac:dyDescent="0.25">
      <c r="A475" s="2"/>
      <c r="B475" s="2"/>
      <c r="C475" s="9">
        <v>3</v>
      </c>
      <c r="D475" s="9">
        <v>18</v>
      </c>
      <c r="E475" s="9">
        <v>22</v>
      </c>
      <c r="F475" s="9">
        <v>26</v>
      </c>
      <c r="G475" s="9">
        <v>48</v>
      </c>
      <c r="H475" s="9">
        <v>85</v>
      </c>
      <c r="I475" s="43"/>
      <c r="J475" s="9">
        <v>85</v>
      </c>
      <c r="K475" s="43"/>
      <c r="L475" s="39">
        <v>45595</v>
      </c>
      <c r="M475" s="43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55"/>
      <c r="Y475" s="146"/>
      <c r="Z475" s="146"/>
      <c r="AA475" s="146"/>
      <c r="AB475" s="146"/>
      <c r="AC475" s="146"/>
      <c r="AD475" s="146"/>
      <c r="AE475" s="146"/>
      <c r="AF475" s="146"/>
      <c r="AG475" s="146"/>
      <c r="AH475" s="146"/>
      <c r="AI475" s="148"/>
      <c r="AJ475" s="1"/>
      <c r="AK475" s="1"/>
      <c r="AL475" s="54"/>
      <c r="AM475" s="1"/>
      <c r="AN475" s="43"/>
      <c r="AO475" s="1"/>
      <c r="AP475" s="1"/>
      <c r="AQ475" s="19"/>
      <c r="AR475" s="54"/>
      <c r="AS475" s="43"/>
      <c r="AT475" s="1"/>
      <c r="AU475" s="1"/>
      <c r="AV475" s="1"/>
      <c r="AW475" s="54"/>
      <c r="AX475" s="57"/>
      <c r="AY475" s="54"/>
      <c r="AZ475" s="54"/>
      <c r="BA475" s="54"/>
      <c r="BB475" s="54"/>
      <c r="BC475" s="57"/>
      <c r="BD475" s="1"/>
      <c r="BE475" s="1"/>
      <c r="BF475" s="1"/>
      <c r="BG475" s="54"/>
      <c r="BH475" s="43"/>
      <c r="BI475"/>
      <c r="BJ475" s="13"/>
      <c r="BK475" s="1"/>
      <c r="BL475"/>
      <c r="BM475"/>
      <c r="BN475"/>
      <c r="DY475" s="43"/>
      <c r="DZ475"/>
      <c r="EA475" s="19"/>
      <c r="EB475" s="19"/>
      <c r="EC475" s="9"/>
      <c r="ED475" s="9"/>
      <c r="EE475" s="9"/>
      <c r="EF475" s="9"/>
      <c r="EG475" s="9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3"/>
      <c r="FD475" s="13"/>
      <c r="FE475" s="13"/>
      <c r="FF475" s="13"/>
      <c r="FG475" s="13"/>
      <c r="FH475" s="13"/>
      <c r="FI475" s="13"/>
      <c r="FJ475" s="13"/>
      <c r="FK475" s="13"/>
      <c r="FL475" s="13"/>
      <c r="FM475" s="13"/>
      <c r="FN475" s="13"/>
      <c r="FO475" s="13"/>
      <c r="FP475" s="13"/>
      <c r="FQ475" s="13"/>
      <c r="FR475" s="13"/>
      <c r="FS475" s="13"/>
      <c r="FT475" s="13"/>
      <c r="FU475" s="13"/>
      <c r="FV475" s="13"/>
      <c r="FW475" s="13"/>
      <c r="FX475" s="13"/>
      <c r="FY475" s="13"/>
      <c r="FZ475" s="13"/>
      <c r="GA475" s="13"/>
    </row>
    <row r="476" spans="1:183" s="52" customFormat="1" ht="13.2" x14ac:dyDescent="0.25">
      <c r="A476" s="2"/>
      <c r="B476" s="2"/>
      <c r="C476" s="9">
        <v>8</v>
      </c>
      <c r="D476" s="9">
        <v>28</v>
      </c>
      <c r="E476" s="9">
        <v>43</v>
      </c>
      <c r="F476" s="9">
        <v>57</v>
      </c>
      <c r="G476" s="9">
        <v>75</v>
      </c>
      <c r="H476" s="9">
        <v>87</v>
      </c>
      <c r="I476" s="43"/>
      <c r="J476" s="9">
        <v>87</v>
      </c>
      <c r="K476" s="43"/>
      <c r="L476" s="39">
        <v>45593</v>
      </c>
      <c r="M476" s="43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55"/>
      <c r="Y476" s="146"/>
      <c r="Z476" s="146"/>
      <c r="AA476" s="146"/>
      <c r="AB476" s="146"/>
      <c r="AC476" s="146"/>
      <c r="AD476" s="146"/>
      <c r="AE476" s="146"/>
      <c r="AF476" s="146"/>
      <c r="AG476" s="146"/>
      <c r="AH476" s="146"/>
      <c r="AI476" s="148"/>
      <c r="AJ476" s="1"/>
      <c r="AK476" s="1"/>
      <c r="AL476" s="54"/>
      <c r="AM476" s="1"/>
      <c r="AN476" s="43"/>
      <c r="AO476" s="1"/>
      <c r="AP476" s="1"/>
      <c r="AQ476" s="19"/>
      <c r="AR476" s="54"/>
      <c r="AS476" s="43"/>
      <c r="AT476" s="1"/>
      <c r="AU476" s="1"/>
      <c r="AV476" s="1"/>
      <c r="AW476" s="54"/>
      <c r="AX476" s="57"/>
      <c r="AY476" s="54"/>
      <c r="AZ476" s="54"/>
      <c r="BA476" s="54"/>
      <c r="BB476" s="54"/>
      <c r="BC476" s="57"/>
      <c r="BD476" s="1"/>
      <c r="BE476" s="1"/>
      <c r="BF476" s="1"/>
      <c r="BG476" s="54"/>
      <c r="BH476" s="43"/>
      <c r="BI476"/>
      <c r="BJ476" s="13"/>
      <c r="BK476" s="1"/>
      <c r="BL476"/>
      <c r="BM476"/>
      <c r="BN476"/>
      <c r="DY476" s="43"/>
      <c r="DZ476"/>
      <c r="EA476" s="19"/>
      <c r="EB476" s="19"/>
      <c r="EC476" s="9"/>
      <c r="ED476" s="9"/>
      <c r="EE476" s="9"/>
      <c r="EF476" s="9"/>
      <c r="EG476" s="9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3"/>
      <c r="FD476" s="13"/>
      <c r="FE476" s="13"/>
      <c r="FF476" s="13"/>
      <c r="FG476" s="13"/>
      <c r="FH476" s="13"/>
      <c r="FI476" s="13"/>
      <c r="FJ476" s="13"/>
      <c r="FK476" s="13"/>
      <c r="FL476" s="13"/>
      <c r="FM476" s="13"/>
      <c r="FN476" s="13"/>
      <c r="FO476" s="13"/>
      <c r="FP476" s="13"/>
      <c r="FQ476" s="13"/>
      <c r="FR476" s="13"/>
      <c r="FS476" s="13"/>
      <c r="FT476" s="13"/>
      <c r="FU476" s="13"/>
      <c r="FV476" s="13"/>
      <c r="FW476" s="13"/>
      <c r="FX476" s="13"/>
      <c r="FY476" s="13"/>
      <c r="FZ476" s="13"/>
      <c r="GA476" s="13"/>
    </row>
    <row r="477" spans="1:183" s="52" customFormat="1" ht="13.2" x14ac:dyDescent="0.25">
      <c r="A477" s="2"/>
      <c r="B477" s="2"/>
      <c r="C477" s="9">
        <v>8</v>
      </c>
      <c r="D477" s="9">
        <v>13</v>
      </c>
      <c r="E477" s="9">
        <v>14</v>
      </c>
      <c r="F477" s="9">
        <v>41</v>
      </c>
      <c r="G477" s="9">
        <v>47</v>
      </c>
      <c r="H477" s="9">
        <v>84</v>
      </c>
      <c r="I477" s="43"/>
      <c r="J477" s="9">
        <v>84</v>
      </c>
      <c r="K477" s="43"/>
      <c r="L477" s="39">
        <v>45591</v>
      </c>
      <c r="M477" s="43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55"/>
      <c r="Y477" s="146"/>
      <c r="Z477" s="146"/>
      <c r="AA477" s="146"/>
      <c r="AB477" s="146"/>
      <c r="AC477" s="146"/>
      <c r="AD477" s="146"/>
      <c r="AE477" s="146"/>
      <c r="AF477" s="146"/>
      <c r="AG477" s="146"/>
      <c r="AH477" s="146"/>
      <c r="AI477" s="148"/>
      <c r="AJ477" s="1"/>
      <c r="AK477" s="1"/>
      <c r="AL477" s="54"/>
      <c r="AM477" s="1"/>
      <c r="AN477" s="43"/>
      <c r="AO477" s="1"/>
      <c r="AP477" s="1"/>
      <c r="AQ477" s="19"/>
      <c r="AR477" s="54"/>
      <c r="AS477" s="43"/>
      <c r="AT477" s="1"/>
      <c r="AU477" s="1"/>
      <c r="AV477" s="1"/>
      <c r="AW477" s="54"/>
      <c r="AX477" s="57"/>
      <c r="AY477" s="54"/>
      <c r="AZ477" s="54"/>
      <c r="BA477" s="54"/>
      <c r="BB477" s="54"/>
      <c r="BC477" s="57"/>
      <c r="BD477" s="1"/>
      <c r="BE477" s="1"/>
      <c r="BF477" s="1"/>
      <c r="BG477" s="54"/>
      <c r="BH477" s="43"/>
      <c r="BI477"/>
      <c r="BJ477" s="13"/>
      <c r="BK477" s="1"/>
      <c r="BL477"/>
      <c r="BM477"/>
      <c r="BN477"/>
      <c r="DY477" s="43"/>
      <c r="DZ477"/>
      <c r="EA477" s="19"/>
      <c r="EB477" s="19"/>
      <c r="EC477" s="9"/>
      <c r="ED477" s="9"/>
      <c r="EE477" s="9"/>
      <c r="EF477" s="9"/>
      <c r="EG477" s="9"/>
      <c r="EH477" s="13"/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/>
      <c r="FB477" s="13"/>
      <c r="FC477" s="13"/>
      <c r="FD477" s="13"/>
      <c r="FE477" s="13"/>
      <c r="FF477" s="13"/>
      <c r="FG477" s="13"/>
      <c r="FH477" s="13"/>
      <c r="FI477" s="13"/>
      <c r="FJ477" s="13"/>
      <c r="FK477" s="13"/>
      <c r="FL477" s="13"/>
      <c r="FM477" s="13"/>
      <c r="FN477" s="13"/>
      <c r="FO477" s="13"/>
      <c r="FP477" s="13"/>
      <c r="FQ477" s="13"/>
      <c r="FR477" s="13"/>
      <c r="FS477" s="13"/>
      <c r="FT477" s="13"/>
      <c r="FU477" s="13"/>
      <c r="FV477" s="13"/>
      <c r="FW477" s="13"/>
      <c r="FX477" s="13"/>
      <c r="FY477" s="13"/>
      <c r="FZ477" s="13"/>
      <c r="GA477" s="13"/>
    </row>
    <row r="478" spans="1:183" s="52" customFormat="1" ht="13.2" x14ac:dyDescent="0.25">
      <c r="A478" s="2"/>
      <c r="B478" s="2"/>
      <c r="C478" s="9">
        <v>14</v>
      </c>
      <c r="D478" s="9">
        <v>35</v>
      </c>
      <c r="E478" s="9">
        <v>38</v>
      </c>
      <c r="F478" s="9">
        <v>53</v>
      </c>
      <c r="G478" s="9">
        <v>60</v>
      </c>
      <c r="H478" s="9">
        <v>89</v>
      </c>
      <c r="I478" s="43"/>
      <c r="J478" s="9">
        <v>89</v>
      </c>
      <c r="K478" s="43"/>
      <c r="L478" s="39">
        <v>45588</v>
      </c>
      <c r="M478" s="43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55"/>
      <c r="Y478" s="146"/>
      <c r="Z478" s="146"/>
      <c r="AA478" s="146"/>
      <c r="AB478" s="146"/>
      <c r="AC478" s="146"/>
      <c r="AD478" s="146"/>
      <c r="AE478" s="146"/>
      <c r="AF478" s="146"/>
      <c r="AG478" s="146"/>
      <c r="AH478" s="146"/>
      <c r="AI478" s="148"/>
      <c r="AJ478" s="1"/>
      <c r="AK478" s="1"/>
      <c r="AL478" s="54"/>
      <c r="AM478" s="1"/>
      <c r="AN478" s="43"/>
      <c r="AO478" s="1"/>
      <c r="AP478" s="1"/>
      <c r="AQ478" s="19"/>
      <c r="AR478" s="54"/>
      <c r="AS478" s="43"/>
      <c r="AT478" s="1"/>
      <c r="AU478" s="1"/>
      <c r="AV478" s="1"/>
      <c r="AW478" s="54"/>
      <c r="AX478" s="57"/>
      <c r="AY478" s="54"/>
      <c r="AZ478" s="54"/>
      <c r="BA478" s="54"/>
      <c r="BB478" s="54"/>
      <c r="BC478" s="57"/>
      <c r="BD478" s="1"/>
      <c r="BE478" s="1"/>
      <c r="BF478" s="1"/>
      <c r="BG478" s="54"/>
      <c r="BH478" s="43"/>
      <c r="BI478"/>
      <c r="BJ478" s="13"/>
      <c r="BK478" s="1"/>
      <c r="BL478"/>
      <c r="BM478"/>
      <c r="BN478"/>
      <c r="DY478" s="43"/>
      <c r="DZ478"/>
      <c r="EA478" s="19"/>
      <c r="EB478" s="19"/>
      <c r="EC478" s="9"/>
      <c r="ED478" s="9"/>
      <c r="EE478" s="9"/>
      <c r="EF478" s="9"/>
      <c r="EG478" s="9"/>
      <c r="EH478" s="13"/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3"/>
      <c r="FD478" s="13"/>
      <c r="FE478" s="13"/>
      <c r="FF478" s="13"/>
      <c r="FG478" s="13"/>
      <c r="FH478" s="13"/>
      <c r="FI478" s="13"/>
      <c r="FJ478" s="13"/>
      <c r="FK478" s="13"/>
      <c r="FL478" s="13"/>
      <c r="FM478" s="13"/>
      <c r="FN478" s="13"/>
      <c r="FO478" s="13"/>
      <c r="FP478" s="13"/>
      <c r="FQ478" s="13"/>
      <c r="FR478" s="13"/>
      <c r="FS478" s="13"/>
      <c r="FT478" s="13"/>
      <c r="FU478" s="13"/>
      <c r="FV478" s="13"/>
      <c r="FW478" s="13"/>
      <c r="FX478" s="13"/>
      <c r="FY478" s="13"/>
      <c r="FZ478" s="13"/>
      <c r="GA478" s="13"/>
    </row>
    <row r="479" spans="1:183" s="52" customFormat="1" ht="13.2" x14ac:dyDescent="0.25">
      <c r="A479" s="2"/>
      <c r="B479" s="2"/>
      <c r="C479" s="9">
        <v>20</v>
      </c>
      <c r="D479" s="9">
        <v>33</v>
      </c>
      <c r="E479" s="9">
        <v>52</v>
      </c>
      <c r="F479" s="9">
        <v>54</v>
      </c>
      <c r="G479" s="9">
        <v>59</v>
      </c>
      <c r="H479" s="9">
        <v>76</v>
      </c>
      <c r="I479" s="43"/>
      <c r="J479" s="9">
        <v>76</v>
      </c>
      <c r="K479" s="43"/>
      <c r="L479" s="39">
        <v>45586</v>
      </c>
      <c r="M479" s="43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55"/>
      <c r="Y479" s="146"/>
      <c r="Z479" s="146"/>
      <c r="AA479" s="146"/>
      <c r="AB479" s="146"/>
      <c r="AC479" s="146"/>
      <c r="AD479" s="146"/>
      <c r="AE479" s="146"/>
      <c r="AF479" s="146"/>
      <c r="AG479" s="146"/>
      <c r="AH479" s="146"/>
      <c r="AI479" s="148"/>
      <c r="AJ479" s="1"/>
      <c r="AK479" s="1"/>
      <c r="AL479" s="54"/>
      <c r="AM479" s="1"/>
      <c r="AN479" s="43"/>
      <c r="AO479" s="1"/>
      <c r="AP479" s="1"/>
      <c r="AQ479" s="19"/>
      <c r="AR479" s="54"/>
      <c r="AS479" s="43"/>
      <c r="AT479" s="1"/>
      <c r="AU479" s="1"/>
      <c r="AV479" s="1"/>
      <c r="AW479" s="54"/>
      <c r="AX479" s="57"/>
      <c r="AY479" s="54"/>
      <c r="AZ479" s="54"/>
      <c r="BA479" s="54"/>
      <c r="BB479" s="54"/>
      <c r="BC479" s="57"/>
      <c r="BD479" s="1"/>
      <c r="BE479" s="1"/>
      <c r="BF479" s="1"/>
      <c r="BG479" s="54"/>
      <c r="BH479" s="43"/>
      <c r="BI479"/>
      <c r="BJ479" s="13"/>
      <c r="BK479" s="1"/>
      <c r="BL479"/>
      <c r="BM479"/>
      <c r="BN479"/>
      <c r="DY479" s="43"/>
      <c r="DZ479"/>
      <c r="EA479" s="19"/>
      <c r="EB479" s="19"/>
      <c r="EC479" s="9"/>
      <c r="ED479" s="9"/>
      <c r="EE479" s="9"/>
      <c r="EF479" s="9"/>
      <c r="EG479" s="9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  <c r="FI479" s="13"/>
      <c r="FJ479" s="13"/>
      <c r="FK479" s="13"/>
      <c r="FL479" s="13"/>
      <c r="FM479" s="13"/>
      <c r="FN479" s="13"/>
      <c r="FO479" s="13"/>
      <c r="FP479" s="13"/>
      <c r="FQ479" s="13"/>
      <c r="FR479" s="13"/>
      <c r="FS479" s="13"/>
      <c r="FT479" s="13"/>
      <c r="FU479" s="13"/>
      <c r="FV479" s="13"/>
      <c r="FW479" s="13"/>
      <c r="FX479" s="13"/>
      <c r="FY479" s="13"/>
      <c r="FZ479" s="13"/>
      <c r="GA479" s="13"/>
    </row>
    <row r="480" spans="1:183" s="52" customFormat="1" ht="13.2" x14ac:dyDescent="0.25">
      <c r="A480" s="2"/>
      <c r="B480" s="2"/>
      <c r="C480" s="9">
        <v>8</v>
      </c>
      <c r="D480" s="9">
        <v>21</v>
      </c>
      <c r="E480" s="9">
        <v>22</v>
      </c>
      <c r="F480" s="9">
        <v>27</v>
      </c>
      <c r="G480" s="9">
        <v>49</v>
      </c>
      <c r="H480" s="9">
        <v>67</v>
      </c>
      <c r="I480" s="43"/>
      <c r="J480" s="9">
        <v>67</v>
      </c>
      <c r="K480" s="43"/>
      <c r="L480" s="39">
        <v>45584</v>
      </c>
      <c r="M480" s="43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55"/>
      <c r="Y480" s="146"/>
      <c r="Z480" s="146"/>
      <c r="AA480" s="146"/>
      <c r="AB480" s="146"/>
      <c r="AC480" s="146"/>
      <c r="AD480" s="146"/>
      <c r="AE480" s="146"/>
      <c r="AF480" s="146"/>
      <c r="AG480" s="146"/>
      <c r="AH480" s="146"/>
      <c r="AI480" s="148"/>
      <c r="AJ480" s="1"/>
      <c r="AK480" s="1"/>
      <c r="AL480" s="54"/>
      <c r="AM480" s="1"/>
      <c r="AN480" s="43"/>
      <c r="AO480" s="1"/>
      <c r="AP480" s="1"/>
      <c r="AQ480" s="19"/>
      <c r="AR480" s="54"/>
      <c r="AS480" s="43"/>
      <c r="AT480" s="1"/>
      <c r="AU480" s="1"/>
      <c r="AV480" s="1"/>
      <c r="AW480" s="54"/>
      <c r="AX480" s="57"/>
      <c r="AY480" s="54"/>
      <c r="AZ480" s="54"/>
      <c r="BA480" s="54"/>
      <c r="BB480" s="54"/>
      <c r="BC480" s="57"/>
      <c r="BD480" s="1"/>
      <c r="BE480" s="1"/>
      <c r="BF480" s="1"/>
      <c r="BG480" s="54"/>
      <c r="BH480" s="43"/>
      <c r="BI480"/>
      <c r="BJ480" s="13"/>
      <c r="BK480" s="1"/>
      <c r="BL480"/>
      <c r="BM480"/>
      <c r="BN480"/>
      <c r="DY480" s="43"/>
      <c r="DZ480"/>
      <c r="EA480" s="19"/>
      <c r="EB480" s="19"/>
      <c r="EC480" s="9"/>
      <c r="ED480" s="9"/>
      <c r="EE480" s="9"/>
      <c r="EF480" s="9"/>
      <c r="EG480" s="9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  <c r="FI480" s="13"/>
      <c r="FJ480" s="13"/>
      <c r="FK480" s="13"/>
      <c r="FL480" s="13"/>
      <c r="FM480" s="13"/>
      <c r="FN480" s="13"/>
      <c r="FO480" s="13"/>
      <c r="FP480" s="13"/>
      <c r="FQ480" s="13"/>
      <c r="FR480" s="13"/>
      <c r="FS480" s="13"/>
      <c r="FT480" s="13"/>
      <c r="FU480" s="13"/>
      <c r="FV480" s="13"/>
      <c r="FW480" s="13"/>
      <c r="FX480" s="13"/>
      <c r="FY480" s="13"/>
      <c r="FZ480" s="13"/>
      <c r="GA480" s="13"/>
    </row>
    <row r="481" spans="1:183" s="52" customFormat="1" ht="13.2" x14ac:dyDescent="0.25">
      <c r="A481" s="2"/>
      <c r="B481" s="2"/>
      <c r="C481" s="9">
        <v>4</v>
      </c>
      <c r="D481" s="9">
        <v>20</v>
      </c>
      <c r="E481" s="9">
        <v>43</v>
      </c>
      <c r="F481" s="9">
        <v>52</v>
      </c>
      <c r="G481" s="9">
        <v>69</v>
      </c>
      <c r="H481" s="9">
        <v>89</v>
      </c>
      <c r="I481" s="43"/>
      <c r="J481" s="9">
        <v>89</v>
      </c>
      <c r="K481" s="43"/>
      <c r="L481" s="39">
        <v>45581</v>
      </c>
      <c r="M481" s="43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55"/>
      <c r="Y481" s="146"/>
      <c r="Z481" s="146"/>
      <c r="AA481" s="146"/>
      <c r="AB481" s="146"/>
      <c r="AC481" s="146"/>
      <c r="AD481" s="146"/>
      <c r="AE481" s="146"/>
      <c r="AF481" s="146"/>
      <c r="AG481" s="146"/>
      <c r="AH481" s="146"/>
      <c r="AI481" s="148"/>
      <c r="AJ481" s="1"/>
      <c r="AK481" s="1"/>
      <c r="AL481" s="54"/>
      <c r="AM481" s="1"/>
      <c r="AN481" s="43"/>
      <c r="AO481" s="1"/>
      <c r="AP481" s="1"/>
      <c r="AQ481" s="19"/>
      <c r="AR481" s="54"/>
      <c r="AS481" s="43"/>
      <c r="AT481" s="1"/>
      <c r="AU481" s="1"/>
      <c r="AV481" s="1"/>
      <c r="AW481" s="54"/>
      <c r="AX481" s="57"/>
      <c r="AY481" s="54"/>
      <c r="AZ481" s="54"/>
      <c r="BA481" s="54"/>
      <c r="BB481" s="54"/>
      <c r="BC481" s="57"/>
      <c r="BD481" s="1"/>
      <c r="BE481" s="1"/>
      <c r="BF481" s="1"/>
      <c r="BG481" s="54"/>
      <c r="BH481" s="43"/>
      <c r="BI481"/>
      <c r="BJ481" s="13"/>
      <c r="BK481" s="1"/>
      <c r="BL481"/>
      <c r="BM481"/>
      <c r="BN481"/>
      <c r="DY481" s="43"/>
      <c r="DZ481"/>
      <c r="EA481" s="19"/>
      <c r="EB481" s="19"/>
      <c r="EC481" s="9"/>
      <c r="ED481" s="9"/>
      <c r="EE481" s="9"/>
      <c r="EF481" s="9"/>
      <c r="EG481" s="9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3"/>
      <c r="FD481" s="13"/>
      <c r="FE481" s="13"/>
      <c r="FF481" s="13"/>
      <c r="FG481" s="13"/>
      <c r="FH481" s="13"/>
      <c r="FI481" s="13"/>
      <c r="FJ481" s="13"/>
      <c r="FK481" s="13"/>
      <c r="FL481" s="13"/>
      <c r="FM481" s="13"/>
      <c r="FN481" s="13"/>
      <c r="FO481" s="13"/>
      <c r="FP481" s="13"/>
      <c r="FQ481" s="13"/>
      <c r="FR481" s="13"/>
      <c r="FS481" s="13"/>
      <c r="FT481" s="13"/>
      <c r="FU481" s="13"/>
      <c r="FV481" s="13"/>
      <c r="FW481" s="13"/>
      <c r="FX481" s="13"/>
      <c r="FY481" s="13"/>
      <c r="FZ481" s="13"/>
      <c r="GA481" s="13"/>
    </row>
    <row r="482" spans="1:183" s="52" customFormat="1" ht="13.2" x14ac:dyDescent="0.25">
      <c r="A482" s="2"/>
      <c r="B482" s="2"/>
      <c r="C482" s="9">
        <v>8</v>
      </c>
      <c r="D482" s="9">
        <v>33</v>
      </c>
      <c r="E482" s="9">
        <v>50</v>
      </c>
      <c r="F482" s="9">
        <v>59</v>
      </c>
      <c r="G482" s="9">
        <v>71</v>
      </c>
      <c r="H482" s="9">
        <v>77</v>
      </c>
      <c r="I482" s="43"/>
      <c r="J482" s="9">
        <v>77</v>
      </c>
      <c r="K482" s="43"/>
      <c r="L482" s="39">
        <v>45579</v>
      </c>
      <c r="M482" s="43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55"/>
      <c r="Y482" s="146"/>
      <c r="Z482" s="146"/>
      <c r="AA482" s="146"/>
      <c r="AB482" s="146"/>
      <c r="AC482" s="146"/>
      <c r="AD482" s="146"/>
      <c r="AE482" s="146"/>
      <c r="AF482" s="146"/>
      <c r="AG482" s="146"/>
      <c r="AH482" s="146"/>
      <c r="AI482" s="148"/>
      <c r="AJ482" s="1"/>
      <c r="AK482" s="1"/>
      <c r="AL482" s="54"/>
      <c r="AM482" s="1"/>
      <c r="AN482" s="43"/>
      <c r="AO482" s="1"/>
      <c r="AP482" s="1"/>
      <c r="AQ482" s="19"/>
      <c r="AR482" s="54"/>
      <c r="AS482" s="43"/>
      <c r="AT482" s="1"/>
      <c r="AU482" s="1"/>
      <c r="AV482" s="1"/>
      <c r="AW482" s="54"/>
      <c r="AX482" s="57"/>
      <c r="AY482" s="54"/>
      <c r="AZ482" s="54"/>
      <c r="BA482" s="54"/>
      <c r="BB482" s="54"/>
      <c r="BC482" s="57"/>
      <c r="BD482" s="1"/>
      <c r="BE482" s="1"/>
      <c r="BF482" s="1"/>
      <c r="BG482" s="54"/>
      <c r="BH482" s="43"/>
      <c r="BI482"/>
      <c r="BJ482" s="13"/>
      <c r="BK482" s="1"/>
      <c r="BL482"/>
      <c r="BM482"/>
      <c r="BN482"/>
      <c r="DY482" s="43"/>
      <c r="DZ482"/>
      <c r="EA482" s="19"/>
      <c r="EB482" s="19"/>
      <c r="EC482" s="9"/>
      <c r="ED482" s="9"/>
      <c r="EE482" s="9"/>
      <c r="EF482" s="9"/>
      <c r="EG482" s="9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  <c r="FQ482" s="13"/>
      <c r="FR482" s="13"/>
      <c r="FS482" s="13"/>
      <c r="FT482" s="13"/>
      <c r="FU482" s="13"/>
      <c r="FV482" s="13"/>
      <c r="FW482" s="13"/>
      <c r="FX482" s="13"/>
      <c r="FY482" s="13"/>
      <c r="FZ482" s="13"/>
      <c r="GA482" s="13"/>
    </row>
    <row r="483" spans="1:183" s="52" customFormat="1" ht="13.2" x14ac:dyDescent="0.25">
      <c r="A483" s="2"/>
      <c r="B483" s="2"/>
      <c r="C483" s="9">
        <v>2</v>
      </c>
      <c r="D483" s="9">
        <v>9</v>
      </c>
      <c r="E483" s="9">
        <v>10</v>
      </c>
      <c r="F483" s="9">
        <v>20</v>
      </c>
      <c r="G483" s="9">
        <v>44</v>
      </c>
      <c r="H483" s="9">
        <v>69</v>
      </c>
      <c r="I483" s="43"/>
      <c r="J483" s="9">
        <v>69</v>
      </c>
      <c r="K483" s="43"/>
      <c r="L483" s="39">
        <v>45577</v>
      </c>
      <c r="M483" s="43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55"/>
      <c r="Y483" s="146"/>
      <c r="Z483" s="146"/>
      <c r="AA483" s="146"/>
      <c r="AB483" s="146"/>
      <c r="AC483" s="146"/>
      <c r="AD483" s="146"/>
      <c r="AE483" s="146"/>
      <c r="AF483" s="146"/>
      <c r="AG483" s="146"/>
      <c r="AH483" s="146"/>
      <c r="AI483" s="148"/>
      <c r="AJ483" s="1"/>
      <c r="AK483" s="1"/>
      <c r="AL483" s="54"/>
      <c r="AM483" s="1"/>
      <c r="AN483" s="43"/>
      <c r="AO483" s="1"/>
      <c r="AP483" s="1"/>
      <c r="AQ483" s="19"/>
      <c r="AR483" s="54"/>
      <c r="AS483" s="43"/>
      <c r="AT483" s="1"/>
      <c r="AU483" s="1"/>
      <c r="AV483" s="1"/>
      <c r="AW483" s="54"/>
      <c r="AX483" s="57"/>
      <c r="AY483" s="54"/>
      <c r="AZ483" s="54"/>
      <c r="BA483" s="54"/>
      <c r="BB483" s="54"/>
      <c r="BC483" s="57"/>
      <c r="BD483" s="1"/>
      <c r="BE483" s="1"/>
      <c r="BF483" s="1"/>
      <c r="BG483" s="54"/>
      <c r="BH483" s="43"/>
      <c r="BI483"/>
      <c r="BJ483" s="13"/>
      <c r="BK483" s="1"/>
      <c r="BL483"/>
      <c r="BM483"/>
      <c r="BN483"/>
      <c r="DY483" s="43"/>
      <c r="DZ483"/>
      <c r="EA483" s="19"/>
      <c r="EB483" s="19"/>
      <c r="EC483" s="9"/>
      <c r="ED483" s="9"/>
      <c r="EE483" s="9"/>
      <c r="EF483" s="9"/>
      <c r="EG483" s="9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3"/>
      <c r="FD483" s="13"/>
      <c r="FE483" s="13"/>
      <c r="FF483" s="13"/>
      <c r="FG483" s="13"/>
      <c r="FH483" s="13"/>
      <c r="FI483" s="13"/>
      <c r="FJ483" s="13"/>
      <c r="FK483" s="13"/>
      <c r="FL483" s="13"/>
      <c r="FM483" s="13"/>
      <c r="FN483" s="13"/>
      <c r="FO483" s="13"/>
      <c r="FP483" s="13"/>
      <c r="FQ483" s="13"/>
      <c r="FR483" s="13"/>
      <c r="FS483" s="13"/>
      <c r="FT483" s="13"/>
      <c r="FU483" s="13"/>
      <c r="FV483" s="13"/>
      <c r="FW483" s="13"/>
      <c r="FX483" s="13"/>
      <c r="FY483" s="13"/>
      <c r="FZ483" s="13"/>
      <c r="GA483" s="13"/>
    </row>
    <row r="484" spans="1:183" s="52" customFormat="1" ht="13.2" x14ac:dyDescent="0.25">
      <c r="A484" s="2"/>
      <c r="B484" s="2"/>
      <c r="C484" s="9">
        <v>49</v>
      </c>
      <c r="D484" s="9">
        <v>51</v>
      </c>
      <c r="E484" s="9">
        <v>63</v>
      </c>
      <c r="F484" s="9">
        <v>67</v>
      </c>
      <c r="G484" s="9">
        <v>89</v>
      </c>
      <c r="H484" s="9">
        <v>90</v>
      </c>
      <c r="I484" s="43"/>
      <c r="J484" s="9">
        <v>90</v>
      </c>
      <c r="K484" s="43"/>
      <c r="L484" s="39">
        <v>45574</v>
      </c>
      <c r="M484" s="43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55"/>
      <c r="Y484" s="146"/>
      <c r="Z484" s="146"/>
      <c r="AA484" s="146"/>
      <c r="AB484" s="146"/>
      <c r="AC484" s="146"/>
      <c r="AD484" s="146"/>
      <c r="AE484" s="146"/>
      <c r="AF484" s="146"/>
      <c r="AG484" s="146"/>
      <c r="AH484" s="146"/>
      <c r="AI484" s="148"/>
      <c r="AJ484" s="1"/>
      <c r="AK484" s="1"/>
      <c r="AL484" s="54"/>
      <c r="AM484" s="1"/>
      <c r="AN484" s="43"/>
      <c r="AO484" s="1"/>
      <c r="AP484" s="1"/>
      <c r="AQ484" s="19"/>
      <c r="AR484" s="54"/>
      <c r="AS484" s="43"/>
      <c r="AT484" s="1"/>
      <c r="AU484" s="1"/>
      <c r="AV484" s="1"/>
      <c r="AW484" s="54"/>
      <c r="AX484" s="57"/>
      <c r="AY484" s="54"/>
      <c r="AZ484" s="54"/>
      <c r="BA484" s="54"/>
      <c r="BB484" s="54"/>
      <c r="BC484" s="57"/>
      <c r="BD484" s="1"/>
      <c r="BE484" s="1"/>
      <c r="BF484" s="1"/>
      <c r="BG484" s="54"/>
      <c r="BH484" s="43"/>
      <c r="BI484"/>
      <c r="BJ484" s="13"/>
      <c r="BK484" s="1"/>
      <c r="BL484"/>
      <c r="BM484"/>
      <c r="BN484"/>
      <c r="DY484" s="43"/>
      <c r="DZ484"/>
      <c r="EA484" s="19"/>
      <c r="EB484" s="19"/>
      <c r="EC484" s="9"/>
      <c r="ED484" s="9"/>
      <c r="EE484" s="9"/>
      <c r="EF484" s="9"/>
      <c r="EG484" s="9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  <c r="FI484" s="13"/>
      <c r="FJ484" s="13"/>
      <c r="FK484" s="13"/>
      <c r="FL484" s="13"/>
      <c r="FM484" s="13"/>
      <c r="FN484" s="13"/>
      <c r="FO484" s="13"/>
      <c r="FP484" s="13"/>
      <c r="FQ484" s="13"/>
      <c r="FR484" s="13"/>
      <c r="FS484" s="13"/>
      <c r="FT484" s="13"/>
      <c r="FU484" s="13"/>
      <c r="FV484" s="13"/>
      <c r="FW484" s="13"/>
      <c r="FX484" s="13"/>
      <c r="FY484" s="13"/>
      <c r="FZ484" s="13"/>
      <c r="GA484" s="13"/>
    </row>
    <row r="485" spans="1:183" s="52" customFormat="1" ht="13.2" x14ac:dyDescent="0.25">
      <c r="A485" s="2"/>
      <c r="B485" s="2"/>
      <c r="C485" s="9">
        <v>27</v>
      </c>
      <c r="D485" s="9">
        <v>37</v>
      </c>
      <c r="E485" s="9">
        <v>44</v>
      </c>
      <c r="F485" s="9">
        <v>46</v>
      </c>
      <c r="G485" s="9">
        <v>79</v>
      </c>
      <c r="H485" s="9">
        <v>81</v>
      </c>
      <c r="I485" s="43"/>
      <c r="J485" s="9">
        <v>81</v>
      </c>
      <c r="K485" s="43"/>
      <c r="L485" s="39">
        <v>45572</v>
      </c>
      <c r="M485" s="43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55"/>
      <c r="Y485" s="146"/>
      <c r="Z485" s="146"/>
      <c r="AA485" s="146"/>
      <c r="AB485" s="146"/>
      <c r="AC485" s="146"/>
      <c r="AD485" s="146"/>
      <c r="AE485" s="146"/>
      <c r="AF485" s="146"/>
      <c r="AG485" s="146"/>
      <c r="AH485" s="146"/>
      <c r="AI485" s="148"/>
      <c r="AJ485" s="1"/>
      <c r="AK485" s="1"/>
      <c r="AL485" s="54"/>
      <c r="AM485" s="1"/>
      <c r="AN485" s="43"/>
      <c r="AO485" s="1"/>
      <c r="AP485" s="1"/>
      <c r="AQ485" s="19"/>
      <c r="AR485" s="54"/>
      <c r="AS485" s="43"/>
      <c r="AT485" s="1"/>
      <c r="AU485" s="1"/>
      <c r="AV485" s="1"/>
      <c r="AW485" s="54"/>
      <c r="AX485" s="57"/>
      <c r="AY485" s="54"/>
      <c r="AZ485" s="54"/>
      <c r="BA485" s="54"/>
      <c r="BB485" s="54"/>
      <c r="BC485" s="57"/>
      <c r="BD485" s="1"/>
      <c r="BE485" s="1"/>
      <c r="BF485" s="1"/>
      <c r="BG485" s="54"/>
      <c r="BH485" s="43"/>
      <c r="BI485"/>
      <c r="BJ485" s="13"/>
      <c r="BK485" s="1"/>
      <c r="BL485"/>
      <c r="BM485"/>
      <c r="BN485"/>
      <c r="DY485" s="43"/>
      <c r="DZ485"/>
      <c r="EA485" s="19"/>
      <c r="EB485" s="19"/>
      <c r="EC485" s="9"/>
      <c r="ED485" s="9"/>
      <c r="EE485" s="9"/>
      <c r="EF485" s="9"/>
      <c r="EG485" s="9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  <c r="FI485" s="13"/>
      <c r="FJ485" s="13"/>
      <c r="FK485" s="13"/>
      <c r="FL485" s="13"/>
      <c r="FM485" s="13"/>
      <c r="FN485" s="13"/>
      <c r="FO485" s="13"/>
      <c r="FP485" s="13"/>
      <c r="FQ485" s="13"/>
      <c r="FR485" s="13"/>
      <c r="FS485" s="13"/>
      <c r="FT485" s="13"/>
      <c r="FU485" s="13"/>
      <c r="FV485" s="13"/>
      <c r="FW485" s="13"/>
      <c r="FX485" s="13"/>
      <c r="FY485" s="13"/>
      <c r="FZ485" s="13"/>
      <c r="GA485" s="13"/>
    </row>
    <row r="486" spans="1:183" s="52" customFormat="1" ht="13.2" x14ac:dyDescent="0.25">
      <c r="A486" s="2"/>
      <c r="B486" s="2"/>
      <c r="C486" s="9">
        <v>4</v>
      </c>
      <c r="D486" s="9">
        <v>7</v>
      </c>
      <c r="E486" s="9">
        <v>30</v>
      </c>
      <c r="F486" s="9">
        <v>34</v>
      </c>
      <c r="G486" s="9">
        <v>48</v>
      </c>
      <c r="H486" s="9">
        <v>80</v>
      </c>
      <c r="I486" s="43"/>
      <c r="J486" s="9">
        <v>80</v>
      </c>
      <c r="K486" s="43"/>
      <c r="L486" s="39">
        <v>45570</v>
      </c>
      <c r="M486" s="43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55"/>
      <c r="Y486" s="146"/>
      <c r="Z486" s="146"/>
      <c r="AA486" s="146"/>
      <c r="AB486" s="146"/>
      <c r="AC486" s="146"/>
      <c r="AD486" s="146"/>
      <c r="AE486" s="146"/>
      <c r="AF486" s="146"/>
      <c r="AG486" s="146"/>
      <c r="AH486" s="146"/>
      <c r="AI486" s="148"/>
      <c r="AJ486" s="1"/>
      <c r="AK486" s="1"/>
      <c r="AL486" s="54"/>
      <c r="AM486" s="1"/>
      <c r="AN486" s="43"/>
      <c r="AO486" s="1"/>
      <c r="AP486" s="1"/>
      <c r="AQ486" s="19"/>
      <c r="AR486" s="54"/>
      <c r="AS486" s="43"/>
      <c r="AT486" s="1"/>
      <c r="AU486" s="1"/>
      <c r="AV486" s="1"/>
      <c r="AW486" s="54"/>
      <c r="AX486" s="57"/>
      <c r="AY486" s="54"/>
      <c r="AZ486" s="54"/>
      <c r="BA486" s="54"/>
      <c r="BB486" s="54"/>
      <c r="BC486" s="57"/>
      <c r="BD486" s="1"/>
      <c r="BE486" s="1"/>
      <c r="BF486" s="1"/>
      <c r="BG486" s="54"/>
      <c r="BH486" s="43"/>
      <c r="BI486"/>
      <c r="BJ486" s="13"/>
      <c r="BK486" s="1"/>
      <c r="BL486"/>
      <c r="BM486"/>
      <c r="BN486"/>
      <c r="DY486" s="43"/>
      <c r="DZ486"/>
      <c r="EA486" s="19"/>
      <c r="EB486" s="19"/>
      <c r="EC486" s="9"/>
      <c r="ED486" s="9"/>
      <c r="EE486" s="9"/>
      <c r="EF486" s="9"/>
      <c r="EG486" s="9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3"/>
      <c r="FD486" s="13"/>
      <c r="FE486" s="13"/>
      <c r="FF486" s="13"/>
      <c r="FG486" s="13"/>
      <c r="FH486" s="13"/>
      <c r="FI486" s="13"/>
      <c r="FJ486" s="13"/>
      <c r="FK486" s="13"/>
      <c r="FL486" s="13"/>
      <c r="FM486" s="13"/>
      <c r="FN486" s="13"/>
      <c r="FO486" s="13"/>
      <c r="FP486" s="13"/>
      <c r="FQ486" s="13"/>
      <c r="FR486" s="13"/>
      <c r="FS486" s="13"/>
      <c r="FT486" s="13"/>
      <c r="FU486" s="13"/>
      <c r="FV486" s="13"/>
      <c r="FW486" s="13"/>
      <c r="FX486" s="13"/>
      <c r="FY486" s="13"/>
      <c r="FZ486" s="13"/>
      <c r="GA486" s="13"/>
    </row>
    <row r="487" spans="1:183" s="52" customFormat="1" ht="13.2" x14ac:dyDescent="0.25">
      <c r="A487" s="2"/>
      <c r="B487" s="2"/>
      <c r="C487" s="9">
        <v>22</v>
      </c>
      <c r="D487" s="9">
        <v>40</v>
      </c>
      <c r="E487" s="9">
        <v>54</v>
      </c>
      <c r="F487" s="9">
        <v>55</v>
      </c>
      <c r="G487" s="9">
        <v>61</v>
      </c>
      <c r="H487" s="9">
        <v>62</v>
      </c>
      <c r="I487" s="43"/>
      <c r="J487" s="9">
        <v>62</v>
      </c>
      <c r="K487" s="43"/>
      <c r="L487" s="39">
        <v>45567</v>
      </c>
      <c r="M487" s="43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55"/>
      <c r="Y487" s="146"/>
      <c r="Z487" s="146"/>
      <c r="AA487" s="146"/>
      <c r="AB487" s="146"/>
      <c r="AC487" s="146"/>
      <c r="AD487" s="146"/>
      <c r="AE487" s="146"/>
      <c r="AF487" s="146"/>
      <c r="AG487" s="146"/>
      <c r="AH487" s="146"/>
      <c r="AI487" s="148"/>
      <c r="AJ487" s="1"/>
      <c r="AK487" s="1"/>
      <c r="AL487" s="54"/>
      <c r="AM487" s="1"/>
      <c r="AN487" s="43"/>
      <c r="AO487" s="1"/>
      <c r="AP487" s="1"/>
      <c r="AQ487" s="19"/>
      <c r="AR487" s="54"/>
      <c r="AS487" s="43"/>
      <c r="AT487" s="1"/>
      <c r="AU487" s="1"/>
      <c r="AV487" s="1"/>
      <c r="AW487" s="54"/>
      <c r="AX487" s="57"/>
      <c r="AY487" s="54"/>
      <c r="AZ487" s="54"/>
      <c r="BA487" s="54"/>
      <c r="BB487" s="54"/>
      <c r="BC487" s="57"/>
      <c r="BD487" s="1"/>
      <c r="BE487" s="1"/>
      <c r="BF487" s="1"/>
      <c r="BG487" s="54"/>
      <c r="BH487" s="43"/>
      <c r="BI487"/>
      <c r="BJ487" s="13"/>
      <c r="BK487" s="1"/>
      <c r="BL487"/>
      <c r="BM487"/>
      <c r="BN487"/>
      <c r="DY487" s="43"/>
      <c r="DZ487"/>
      <c r="EA487" s="19"/>
      <c r="EB487" s="19"/>
      <c r="EC487" s="9"/>
      <c r="ED487" s="9"/>
      <c r="EE487" s="9"/>
      <c r="EF487" s="9"/>
      <c r="EG487" s="9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3"/>
      <c r="FD487" s="13"/>
      <c r="FE487" s="13"/>
      <c r="FF487" s="13"/>
      <c r="FG487" s="13"/>
      <c r="FH487" s="13"/>
      <c r="FI487" s="13"/>
      <c r="FJ487" s="13"/>
      <c r="FK487" s="13"/>
      <c r="FL487" s="13"/>
      <c r="FM487" s="13"/>
      <c r="FN487" s="13"/>
      <c r="FO487" s="13"/>
      <c r="FP487" s="13"/>
      <c r="FQ487" s="13"/>
      <c r="FR487" s="13"/>
      <c r="FS487" s="13"/>
      <c r="FT487" s="13"/>
      <c r="FU487" s="13"/>
      <c r="FV487" s="13"/>
      <c r="FW487" s="13"/>
      <c r="FX487" s="13"/>
      <c r="FY487" s="13"/>
      <c r="FZ487" s="13"/>
      <c r="GA487" s="13"/>
    </row>
    <row r="488" spans="1:183" s="52" customFormat="1" ht="13.2" x14ac:dyDescent="0.25">
      <c r="A488" s="2"/>
      <c r="B488" s="2"/>
      <c r="C488" s="9">
        <v>30</v>
      </c>
      <c r="D488" s="9">
        <v>37</v>
      </c>
      <c r="E488" s="9">
        <v>39</v>
      </c>
      <c r="F488" s="9">
        <v>65</v>
      </c>
      <c r="G488" s="9">
        <v>77</v>
      </c>
      <c r="H488" s="9">
        <v>90</v>
      </c>
      <c r="I488" s="43"/>
      <c r="J488" s="9">
        <v>90</v>
      </c>
      <c r="K488" s="43"/>
      <c r="L488" s="39">
        <v>45565</v>
      </c>
      <c r="M488" s="43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55"/>
      <c r="Y488" s="146"/>
      <c r="Z488" s="146"/>
      <c r="AA488" s="146"/>
      <c r="AB488" s="146"/>
      <c r="AC488" s="146"/>
      <c r="AD488" s="146"/>
      <c r="AE488" s="146"/>
      <c r="AF488" s="146"/>
      <c r="AG488" s="146"/>
      <c r="AH488" s="146"/>
      <c r="AI488" s="148"/>
      <c r="AJ488" s="1"/>
      <c r="AK488" s="1"/>
      <c r="AL488" s="54"/>
      <c r="AM488" s="1"/>
      <c r="AN488" s="43"/>
      <c r="AO488" s="1"/>
      <c r="AP488" s="1"/>
      <c r="AQ488" s="19"/>
      <c r="AR488" s="54"/>
      <c r="AS488" s="43"/>
      <c r="AT488" s="1"/>
      <c r="AU488" s="1"/>
      <c r="AV488" s="1"/>
      <c r="AW488" s="54"/>
      <c r="AX488" s="57"/>
      <c r="AY488" s="54"/>
      <c r="AZ488" s="54"/>
      <c r="BA488" s="54"/>
      <c r="BB488" s="54"/>
      <c r="BC488" s="57"/>
      <c r="BD488" s="1"/>
      <c r="BE488" s="1"/>
      <c r="BF488" s="1"/>
      <c r="BG488" s="54"/>
      <c r="BH488" s="43"/>
      <c r="BI488"/>
      <c r="BJ488" s="13"/>
      <c r="BK488" s="1"/>
      <c r="BL488"/>
      <c r="BM488"/>
      <c r="BN488"/>
      <c r="DY488" s="43"/>
      <c r="DZ488"/>
      <c r="EA488" s="19"/>
      <c r="EB488" s="19"/>
      <c r="EC488" s="9"/>
      <c r="ED488" s="9"/>
      <c r="EE488" s="9"/>
      <c r="EF488" s="9"/>
      <c r="EG488" s="9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3"/>
      <c r="FD488" s="13"/>
      <c r="FE488" s="13"/>
      <c r="FF488" s="13"/>
      <c r="FG488" s="13"/>
      <c r="FH488" s="13"/>
      <c r="FI488" s="13"/>
      <c r="FJ488" s="13"/>
      <c r="FK488" s="13"/>
      <c r="FL488" s="13"/>
      <c r="FM488" s="13"/>
      <c r="FN488" s="13"/>
      <c r="FO488" s="13"/>
      <c r="FP488" s="13"/>
      <c r="FQ488" s="13"/>
      <c r="FR488" s="13"/>
      <c r="FS488" s="13"/>
      <c r="FT488" s="13"/>
      <c r="FU488" s="13"/>
      <c r="FV488" s="13"/>
      <c r="FW488" s="13"/>
      <c r="FX488" s="13"/>
      <c r="FY488" s="13"/>
      <c r="FZ488" s="13"/>
      <c r="GA488" s="13"/>
    </row>
    <row r="489" spans="1:183" s="52" customFormat="1" ht="13.2" x14ac:dyDescent="0.25">
      <c r="A489" s="2"/>
      <c r="B489" s="2"/>
      <c r="C489" s="9">
        <v>49</v>
      </c>
      <c r="D489" s="9">
        <v>53</v>
      </c>
      <c r="E489" s="9">
        <v>54</v>
      </c>
      <c r="F489" s="9">
        <v>63</v>
      </c>
      <c r="G489" s="9">
        <v>67</v>
      </c>
      <c r="H489" s="9">
        <v>68</v>
      </c>
      <c r="I489" s="43"/>
      <c r="J489" s="9">
        <v>68</v>
      </c>
      <c r="K489" s="43"/>
      <c r="L489" s="39">
        <v>45563</v>
      </c>
      <c r="M489" s="43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55"/>
      <c r="Y489" s="146"/>
      <c r="Z489" s="146"/>
      <c r="AA489" s="146"/>
      <c r="AB489" s="146"/>
      <c r="AC489" s="146"/>
      <c r="AD489" s="146"/>
      <c r="AE489" s="146"/>
      <c r="AF489" s="146"/>
      <c r="AG489" s="146"/>
      <c r="AH489" s="146"/>
      <c r="AI489" s="148"/>
      <c r="AJ489" s="1"/>
      <c r="AK489" s="1"/>
      <c r="AL489" s="54"/>
      <c r="AM489" s="1"/>
      <c r="AN489" s="43"/>
      <c r="AO489" s="1"/>
      <c r="AP489" s="1"/>
      <c r="AQ489" s="19"/>
      <c r="AR489" s="54"/>
      <c r="AS489" s="43"/>
      <c r="AT489" s="1"/>
      <c r="AU489" s="1"/>
      <c r="AV489" s="1"/>
      <c r="AW489" s="54"/>
      <c r="AX489" s="57"/>
      <c r="AY489" s="54"/>
      <c r="AZ489" s="54"/>
      <c r="BA489" s="54"/>
      <c r="BB489" s="54"/>
      <c r="BC489" s="57"/>
      <c r="BD489" s="1"/>
      <c r="BE489" s="1"/>
      <c r="BF489" s="1"/>
      <c r="BG489" s="54"/>
      <c r="BH489" s="43"/>
      <c r="BI489"/>
      <c r="BJ489" s="13"/>
      <c r="BK489" s="1"/>
      <c r="BL489"/>
      <c r="BM489"/>
      <c r="BN489"/>
      <c r="DY489" s="43"/>
      <c r="DZ489"/>
      <c r="EA489" s="19"/>
      <c r="EB489" s="19"/>
      <c r="EC489" s="9"/>
      <c r="ED489" s="9"/>
      <c r="EE489" s="9"/>
      <c r="EF489" s="9"/>
      <c r="EG489" s="9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  <c r="FI489" s="13"/>
      <c r="FJ489" s="13"/>
      <c r="FK489" s="13"/>
      <c r="FL489" s="13"/>
      <c r="FM489" s="13"/>
      <c r="FN489" s="13"/>
      <c r="FO489" s="13"/>
      <c r="FP489" s="13"/>
      <c r="FQ489" s="13"/>
      <c r="FR489" s="13"/>
      <c r="FS489" s="13"/>
      <c r="FT489" s="13"/>
      <c r="FU489" s="13"/>
      <c r="FV489" s="13"/>
      <c r="FW489" s="13"/>
      <c r="FX489" s="13"/>
      <c r="FY489" s="13"/>
      <c r="FZ489" s="13"/>
      <c r="GA489" s="13"/>
    </row>
    <row r="490" spans="1:183" s="52" customFormat="1" ht="13.2" x14ac:dyDescent="0.25">
      <c r="A490" s="2"/>
      <c r="B490" s="2"/>
      <c r="C490" s="9">
        <v>5</v>
      </c>
      <c r="D490" s="9">
        <v>21</v>
      </c>
      <c r="E490" s="9">
        <v>25</v>
      </c>
      <c r="F490" s="9">
        <v>35</v>
      </c>
      <c r="G490" s="9">
        <v>56</v>
      </c>
      <c r="H490" s="9">
        <v>82</v>
      </c>
      <c r="I490" s="43"/>
      <c r="J490" s="9">
        <v>82</v>
      </c>
      <c r="K490" s="43"/>
      <c r="L490" s="39">
        <v>45560</v>
      </c>
      <c r="M490" s="43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55"/>
      <c r="Y490" s="146"/>
      <c r="Z490" s="146"/>
      <c r="AA490" s="146"/>
      <c r="AB490" s="146"/>
      <c r="AC490" s="146"/>
      <c r="AD490" s="146"/>
      <c r="AE490" s="146"/>
      <c r="AF490" s="146"/>
      <c r="AG490" s="146"/>
      <c r="AH490" s="146"/>
      <c r="AI490" s="148"/>
      <c r="AJ490" s="1"/>
      <c r="AK490" s="1"/>
      <c r="AL490" s="54"/>
      <c r="AM490" s="1"/>
      <c r="AN490" s="43"/>
      <c r="AO490" s="1"/>
      <c r="AP490" s="1"/>
      <c r="AQ490" s="19"/>
      <c r="AR490" s="54"/>
      <c r="AS490" s="43"/>
      <c r="AT490" s="1"/>
      <c r="AU490" s="1"/>
      <c r="AV490" s="1"/>
      <c r="AW490" s="54"/>
      <c r="AX490" s="57"/>
      <c r="AY490" s="54"/>
      <c r="AZ490" s="54"/>
      <c r="BA490" s="54"/>
      <c r="BB490" s="54"/>
      <c r="BC490" s="57"/>
      <c r="BD490" s="1"/>
      <c r="BE490" s="1"/>
      <c r="BF490" s="1"/>
      <c r="BG490" s="54"/>
      <c r="BH490" s="43"/>
      <c r="BI490"/>
      <c r="BJ490" s="13"/>
      <c r="BK490" s="1"/>
      <c r="BL490"/>
      <c r="BM490"/>
      <c r="BN490"/>
      <c r="DY490" s="43"/>
      <c r="DZ490"/>
      <c r="EA490" s="19"/>
      <c r="EB490" s="19"/>
      <c r="EC490" s="9"/>
      <c r="ED490" s="9"/>
      <c r="EE490" s="9"/>
      <c r="EF490" s="9"/>
      <c r="EG490" s="9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3"/>
      <c r="FD490" s="13"/>
      <c r="FE490" s="13"/>
      <c r="FF490" s="13"/>
      <c r="FG490" s="13"/>
      <c r="FH490" s="13"/>
      <c r="FI490" s="13"/>
      <c r="FJ490" s="13"/>
      <c r="FK490" s="13"/>
      <c r="FL490" s="13"/>
      <c r="FM490" s="13"/>
      <c r="FN490" s="13"/>
      <c r="FO490" s="13"/>
      <c r="FP490" s="13"/>
      <c r="FQ490" s="13"/>
      <c r="FR490" s="13"/>
      <c r="FS490" s="13"/>
      <c r="FT490" s="13"/>
      <c r="FU490" s="13"/>
      <c r="FV490" s="13"/>
      <c r="FW490" s="13"/>
      <c r="FX490" s="13"/>
      <c r="FY490" s="13"/>
      <c r="FZ490" s="13"/>
      <c r="GA490" s="13"/>
    </row>
    <row r="491" spans="1:183" s="52" customFormat="1" ht="13.2" x14ac:dyDescent="0.25">
      <c r="A491" s="2"/>
      <c r="B491" s="2"/>
      <c r="C491" s="9">
        <v>3</v>
      </c>
      <c r="D491" s="9">
        <v>14</v>
      </c>
      <c r="E491" s="9">
        <v>16</v>
      </c>
      <c r="F491" s="9">
        <v>54</v>
      </c>
      <c r="G491" s="9">
        <v>58</v>
      </c>
      <c r="H491" s="9">
        <v>69</v>
      </c>
      <c r="I491" s="43"/>
      <c r="J491" s="9">
        <v>69</v>
      </c>
      <c r="K491" s="43"/>
      <c r="L491" s="39">
        <v>45558</v>
      </c>
      <c r="M491" s="43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55"/>
      <c r="Y491" s="146"/>
      <c r="Z491" s="146"/>
      <c r="AA491" s="146"/>
      <c r="AB491" s="146"/>
      <c r="AC491" s="146"/>
      <c r="AD491" s="146"/>
      <c r="AE491" s="146"/>
      <c r="AF491" s="146"/>
      <c r="AG491" s="146"/>
      <c r="AH491" s="146"/>
      <c r="AI491" s="148"/>
      <c r="AJ491" s="1"/>
      <c r="AK491" s="1"/>
      <c r="AL491" s="54"/>
      <c r="AM491" s="1"/>
      <c r="AN491" s="43"/>
      <c r="AO491" s="1"/>
      <c r="AP491" s="1"/>
      <c r="AQ491" s="19"/>
      <c r="AR491" s="54"/>
      <c r="AS491" s="43"/>
      <c r="AT491" s="1"/>
      <c r="AU491" s="1"/>
      <c r="AV491" s="1"/>
      <c r="AW491" s="54"/>
      <c r="AX491" s="57"/>
      <c r="AY491" s="54"/>
      <c r="AZ491" s="54"/>
      <c r="BA491" s="54"/>
      <c r="BB491" s="54"/>
      <c r="BC491" s="57"/>
      <c r="BD491" s="1"/>
      <c r="BE491" s="1"/>
      <c r="BF491" s="1"/>
      <c r="BG491" s="54"/>
      <c r="BH491" s="43"/>
      <c r="BI491"/>
      <c r="BJ491" s="13"/>
      <c r="BK491" s="1"/>
      <c r="BL491"/>
      <c r="BM491"/>
      <c r="BN491"/>
      <c r="DY491" s="43"/>
      <c r="DZ491"/>
      <c r="EA491" s="19"/>
      <c r="EB491" s="19"/>
      <c r="EC491" s="9"/>
      <c r="ED491" s="9"/>
      <c r="EE491" s="9"/>
      <c r="EF491" s="9"/>
      <c r="EG491" s="9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  <c r="FI491" s="13"/>
      <c r="FJ491" s="13"/>
      <c r="FK491" s="13"/>
      <c r="FL491" s="13"/>
      <c r="FM491" s="13"/>
      <c r="FN491" s="13"/>
      <c r="FO491" s="13"/>
      <c r="FP491" s="13"/>
      <c r="FQ491" s="13"/>
      <c r="FR491" s="13"/>
      <c r="FS491" s="13"/>
      <c r="FT491" s="13"/>
      <c r="FU491" s="13"/>
      <c r="FV491" s="13"/>
      <c r="FW491" s="13"/>
      <c r="FX491" s="13"/>
      <c r="FY491" s="13"/>
      <c r="FZ491" s="13"/>
      <c r="GA491" s="13"/>
    </row>
    <row r="492" spans="1:183" s="52" customFormat="1" ht="13.2" x14ac:dyDescent="0.25">
      <c r="A492" s="2"/>
      <c r="B492" s="2"/>
      <c r="C492" s="9">
        <v>23</v>
      </c>
      <c r="D492" s="9">
        <v>44</v>
      </c>
      <c r="E492" s="9">
        <v>53</v>
      </c>
      <c r="F492" s="9">
        <v>58</v>
      </c>
      <c r="G492" s="9">
        <v>88</v>
      </c>
      <c r="H492" s="9">
        <v>90</v>
      </c>
      <c r="I492" s="43"/>
      <c r="J492" s="9">
        <v>90</v>
      </c>
      <c r="K492" s="43"/>
      <c r="L492" s="39">
        <v>45556</v>
      </c>
      <c r="M492" s="43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55"/>
      <c r="Y492" s="146"/>
      <c r="Z492" s="146"/>
      <c r="AA492" s="146"/>
      <c r="AB492" s="146"/>
      <c r="AC492" s="146"/>
      <c r="AD492" s="146"/>
      <c r="AE492" s="146"/>
      <c r="AF492" s="146"/>
      <c r="AG492" s="146"/>
      <c r="AH492" s="146"/>
      <c r="AI492" s="148"/>
      <c r="AJ492" s="1"/>
      <c r="AK492" s="1"/>
      <c r="AL492" s="54"/>
      <c r="AM492" s="1"/>
      <c r="AN492" s="43"/>
      <c r="AO492" s="1"/>
      <c r="AP492" s="1"/>
      <c r="AQ492" s="19"/>
      <c r="AR492" s="54"/>
      <c r="AS492" s="43"/>
      <c r="AT492" s="1"/>
      <c r="AU492" s="1"/>
      <c r="AV492" s="1"/>
      <c r="AW492" s="54"/>
      <c r="AX492" s="57"/>
      <c r="AY492" s="54"/>
      <c r="AZ492" s="54"/>
      <c r="BA492" s="54"/>
      <c r="BB492" s="54"/>
      <c r="BC492" s="57"/>
      <c r="BD492" s="1"/>
      <c r="BE492" s="1"/>
      <c r="BF492" s="1"/>
      <c r="BG492" s="54"/>
      <c r="BH492" s="43"/>
      <c r="BI492"/>
      <c r="BJ492" s="13"/>
      <c r="BK492" s="1"/>
      <c r="BL492"/>
      <c r="BM492"/>
      <c r="BN492"/>
      <c r="DY492" s="43"/>
      <c r="DZ492"/>
      <c r="EA492" s="19"/>
      <c r="EB492" s="19"/>
      <c r="EC492" s="9"/>
      <c r="ED492" s="9"/>
      <c r="EE492" s="9"/>
      <c r="EF492" s="9"/>
      <c r="EG492" s="9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  <c r="FI492" s="13"/>
      <c r="FJ492" s="13"/>
      <c r="FK492" s="13"/>
      <c r="FL492" s="13"/>
      <c r="FM492" s="13"/>
      <c r="FN492" s="13"/>
      <c r="FO492" s="13"/>
      <c r="FP492" s="13"/>
      <c r="FQ492" s="13"/>
      <c r="FR492" s="13"/>
      <c r="FS492" s="13"/>
      <c r="FT492" s="13"/>
      <c r="FU492" s="13"/>
      <c r="FV492" s="13"/>
      <c r="FW492" s="13"/>
      <c r="FX492" s="13"/>
      <c r="FY492" s="13"/>
      <c r="FZ492" s="13"/>
      <c r="GA492" s="13"/>
    </row>
    <row r="493" spans="1:183" s="52" customFormat="1" ht="13.2" x14ac:dyDescent="0.25">
      <c r="A493" s="2"/>
      <c r="B493" s="2"/>
      <c r="C493" s="9">
        <v>17</v>
      </c>
      <c r="D493" s="9">
        <v>27</v>
      </c>
      <c r="E493" s="9">
        <v>48</v>
      </c>
      <c r="F493" s="9">
        <v>50</v>
      </c>
      <c r="G493" s="9">
        <v>71</v>
      </c>
      <c r="H493" s="9">
        <v>88</v>
      </c>
      <c r="I493" s="43"/>
      <c r="J493" s="9">
        <v>88</v>
      </c>
      <c r="K493" s="43"/>
      <c r="L493" s="39">
        <v>45553</v>
      </c>
      <c r="M493" s="43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55"/>
      <c r="Y493" s="146"/>
      <c r="Z493" s="146"/>
      <c r="AA493" s="146"/>
      <c r="AB493" s="146"/>
      <c r="AC493" s="146"/>
      <c r="AD493" s="146"/>
      <c r="AE493" s="146"/>
      <c r="AF493" s="146"/>
      <c r="AG493" s="146"/>
      <c r="AH493" s="146"/>
      <c r="AI493" s="148"/>
      <c r="AJ493" s="1"/>
      <c r="AK493" s="1"/>
      <c r="AL493" s="54"/>
      <c r="AM493" s="1"/>
      <c r="AN493" s="43"/>
      <c r="AO493" s="1"/>
      <c r="AP493" s="1"/>
      <c r="AQ493" s="19"/>
      <c r="AR493" s="54"/>
      <c r="AS493" s="43"/>
      <c r="AT493" s="1"/>
      <c r="AU493" s="1"/>
      <c r="AV493" s="1"/>
      <c r="AW493" s="54"/>
      <c r="AX493" s="57"/>
      <c r="AY493" s="54"/>
      <c r="AZ493" s="54"/>
      <c r="BA493" s="54"/>
      <c r="BB493" s="54"/>
      <c r="BC493" s="57"/>
      <c r="BD493" s="1"/>
      <c r="BE493" s="1"/>
      <c r="BF493" s="1"/>
      <c r="BG493" s="54"/>
      <c r="BH493" s="43"/>
      <c r="BI493"/>
      <c r="BJ493" s="13"/>
      <c r="BK493" s="1"/>
      <c r="BL493"/>
      <c r="BM493"/>
      <c r="BN493"/>
      <c r="DY493" s="43"/>
      <c r="DZ493"/>
      <c r="EA493" s="19"/>
      <c r="EB493" s="19"/>
      <c r="EC493" s="9"/>
      <c r="ED493" s="9"/>
      <c r="EE493" s="9"/>
      <c r="EF493" s="9"/>
      <c r="EG493" s="9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  <c r="FI493" s="13"/>
      <c r="FJ493" s="13"/>
      <c r="FK493" s="13"/>
      <c r="FL493" s="13"/>
      <c r="FM493" s="13"/>
      <c r="FN493" s="13"/>
      <c r="FO493" s="13"/>
      <c r="FP493" s="13"/>
      <c r="FQ493" s="13"/>
      <c r="FR493" s="13"/>
      <c r="FS493" s="13"/>
      <c r="FT493" s="13"/>
      <c r="FU493" s="13"/>
      <c r="FV493" s="13"/>
      <c r="FW493" s="13"/>
      <c r="FX493" s="13"/>
      <c r="FY493" s="13"/>
      <c r="FZ493" s="13"/>
      <c r="GA493" s="13"/>
    </row>
    <row r="494" spans="1:183" s="52" customFormat="1" ht="13.2" x14ac:dyDescent="0.25">
      <c r="A494" s="2"/>
      <c r="B494" s="2"/>
      <c r="C494" s="9">
        <v>1</v>
      </c>
      <c r="D494" s="9">
        <v>17</v>
      </c>
      <c r="E494" s="9">
        <v>25</v>
      </c>
      <c r="F494" s="9">
        <v>35</v>
      </c>
      <c r="G494" s="9">
        <v>44</v>
      </c>
      <c r="H494" s="9">
        <v>90</v>
      </c>
      <c r="I494" s="43"/>
      <c r="J494" s="9">
        <v>90</v>
      </c>
      <c r="K494" s="43"/>
      <c r="L494" s="39">
        <v>45551</v>
      </c>
      <c r="M494" s="43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55"/>
      <c r="Y494" s="146"/>
      <c r="Z494" s="146"/>
      <c r="AA494" s="146"/>
      <c r="AB494" s="146"/>
      <c r="AC494" s="146"/>
      <c r="AD494" s="146"/>
      <c r="AE494" s="146"/>
      <c r="AF494" s="146"/>
      <c r="AG494" s="146"/>
      <c r="AH494" s="146"/>
      <c r="AI494" s="148"/>
      <c r="AJ494" s="1"/>
      <c r="AK494" s="1"/>
      <c r="AL494" s="54"/>
      <c r="AM494" s="1"/>
      <c r="AN494" s="43"/>
      <c r="AO494" s="1"/>
      <c r="AP494" s="1"/>
      <c r="AQ494" s="19"/>
      <c r="AR494" s="54"/>
      <c r="AS494" s="43"/>
      <c r="AT494" s="1"/>
      <c r="AU494" s="1"/>
      <c r="AV494" s="1"/>
      <c r="AW494" s="54"/>
      <c r="AX494" s="57"/>
      <c r="AY494" s="54"/>
      <c r="AZ494" s="54"/>
      <c r="BA494" s="54"/>
      <c r="BB494" s="54"/>
      <c r="BC494" s="57"/>
      <c r="BD494" s="1"/>
      <c r="BE494" s="1"/>
      <c r="BF494" s="1"/>
      <c r="BG494" s="54"/>
      <c r="BH494" s="43"/>
      <c r="BI494"/>
      <c r="BJ494" s="13"/>
      <c r="BK494" s="1"/>
      <c r="BL494"/>
      <c r="BM494"/>
      <c r="BN494"/>
      <c r="DY494" s="43"/>
      <c r="DZ494"/>
      <c r="EA494" s="19"/>
      <c r="EB494" s="19"/>
      <c r="EC494" s="9"/>
      <c r="ED494" s="9"/>
      <c r="EE494" s="9"/>
      <c r="EF494" s="9"/>
      <c r="EG494" s="9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3"/>
      <c r="FJ494" s="13"/>
      <c r="FK494" s="13"/>
      <c r="FL494" s="13"/>
      <c r="FM494" s="13"/>
      <c r="FN494" s="13"/>
      <c r="FO494" s="13"/>
      <c r="FP494" s="13"/>
      <c r="FQ494" s="13"/>
      <c r="FR494" s="13"/>
      <c r="FS494" s="13"/>
      <c r="FT494" s="13"/>
      <c r="FU494" s="13"/>
      <c r="FV494" s="13"/>
      <c r="FW494" s="13"/>
      <c r="FX494" s="13"/>
      <c r="FY494" s="13"/>
      <c r="FZ494" s="13"/>
      <c r="GA494" s="13"/>
    </row>
    <row r="495" spans="1:183" s="52" customFormat="1" ht="13.2" x14ac:dyDescent="0.25">
      <c r="A495" s="2"/>
      <c r="B495" s="2"/>
      <c r="C495" s="9">
        <v>9</v>
      </c>
      <c r="D495" s="9">
        <v>19</v>
      </c>
      <c r="E495" s="9">
        <v>26</v>
      </c>
      <c r="F495" s="9">
        <v>41</v>
      </c>
      <c r="G495" s="9">
        <v>77</v>
      </c>
      <c r="H495" s="9">
        <v>89</v>
      </c>
      <c r="I495" s="43"/>
      <c r="J495" s="9">
        <v>89</v>
      </c>
      <c r="K495" s="43"/>
      <c r="L495" s="39">
        <v>45549</v>
      </c>
      <c r="M495" s="43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55"/>
      <c r="Y495" s="146"/>
      <c r="Z495" s="146"/>
      <c r="AA495" s="146"/>
      <c r="AB495" s="146"/>
      <c r="AC495" s="146"/>
      <c r="AD495" s="146"/>
      <c r="AE495" s="146"/>
      <c r="AF495" s="146"/>
      <c r="AG495" s="146"/>
      <c r="AH495" s="146"/>
      <c r="AI495" s="148"/>
      <c r="AJ495" s="1"/>
      <c r="AK495" s="1"/>
      <c r="AL495" s="54"/>
      <c r="AM495" s="1"/>
      <c r="AN495" s="43"/>
      <c r="AO495" s="1"/>
      <c r="AP495" s="1"/>
      <c r="AQ495" s="19"/>
      <c r="AR495" s="54"/>
      <c r="AS495" s="43"/>
      <c r="AT495" s="1"/>
      <c r="AU495" s="1"/>
      <c r="AV495" s="1"/>
      <c r="AW495" s="54"/>
      <c r="AX495" s="57"/>
      <c r="AY495" s="54"/>
      <c r="AZ495" s="54"/>
      <c r="BA495" s="54"/>
      <c r="BB495" s="54"/>
      <c r="BC495" s="57"/>
      <c r="BD495" s="1"/>
      <c r="BE495" s="1"/>
      <c r="BF495" s="1"/>
      <c r="BG495" s="54"/>
      <c r="BH495" s="43"/>
      <c r="BI495"/>
      <c r="BJ495" s="13"/>
      <c r="BK495" s="1"/>
      <c r="BL495"/>
      <c r="BM495"/>
      <c r="BN495"/>
      <c r="DY495" s="43"/>
      <c r="DZ495"/>
      <c r="EA495" s="19"/>
      <c r="EB495" s="19"/>
      <c r="EC495" s="9"/>
      <c r="ED495" s="9"/>
      <c r="EE495" s="9"/>
      <c r="EF495" s="9"/>
      <c r="EG495" s="9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3"/>
      <c r="FH495" s="13"/>
      <c r="FI495" s="13"/>
      <c r="FJ495" s="13"/>
      <c r="FK495" s="13"/>
      <c r="FL495" s="13"/>
      <c r="FM495" s="13"/>
      <c r="FN495" s="13"/>
      <c r="FO495" s="13"/>
      <c r="FP495" s="13"/>
      <c r="FQ495" s="13"/>
      <c r="FR495" s="13"/>
      <c r="FS495" s="13"/>
      <c r="FT495" s="13"/>
      <c r="FU495" s="13"/>
      <c r="FV495" s="13"/>
      <c r="FW495" s="13"/>
      <c r="FX495" s="13"/>
      <c r="FY495" s="13"/>
      <c r="FZ495" s="13"/>
      <c r="GA495" s="13"/>
    </row>
    <row r="496" spans="1:183" s="52" customFormat="1" ht="13.2" x14ac:dyDescent="0.25">
      <c r="A496" s="2"/>
      <c r="B496" s="2"/>
      <c r="C496" s="9">
        <v>14</v>
      </c>
      <c r="D496" s="9">
        <v>35</v>
      </c>
      <c r="E496" s="9">
        <v>56</v>
      </c>
      <c r="F496" s="9">
        <v>60</v>
      </c>
      <c r="G496" s="9">
        <v>82</v>
      </c>
      <c r="H496" s="9">
        <v>87</v>
      </c>
      <c r="I496" s="43"/>
      <c r="J496" s="9">
        <v>87</v>
      </c>
      <c r="K496" s="43"/>
      <c r="L496" s="39">
        <v>45546</v>
      </c>
      <c r="M496" s="43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55"/>
      <c r="Y496" s="146"/>
      <c r="Z496" s="146"/>
      <c r="AA496" s="146"/>
      <c r="AB496" s="146"/>
      <c r="AC496" s="146"/>
      <c r="AD496" s="146"/>
      <c r="AE496" s="146"/>
      <c r="AF496" s="146"/>
      <c r="AG496" s="146"/>
      <c r="AH496" s="146"/>
      <c r="AI496" s="148"/>
      <c r="AJ496" s="1"/>
      <c r="AK496" s="1"/>
      <c r="AL496" s="54"/>
      <c r="AM496" s="1"/>
      <c r="AN496" s="43"/>
      <c r="AO496" s="1"/>
      <c r="AP496" s="1"/>
      <c r="AQ496" s="19"/>
      <c r="AR496" s="54"/>
      <c r="AS496" s="43"/>
      <c r="AT496" s="1"/>
      <c r="AU496" s="1"/>
      <c r="AV496" s="1"/>
      <c r="AW496" s="54"/>
      <c r="AX496" s="57"/>
      <c r="AY496" s="54"/>
      <c r="AZ496" s="54"/>
      <c r="BA496" s="54"/>
      <c r="BB496" s="54"/>
      <c r="BC496" s="57"/>
      <c r="BD496" s="1"/>
      <c r="BE496" s="1"/>
      <c r="BF496" s="1"/>
      <c r="BG496" s="54"/>
      <c r="BH496" s="43"/>
      <c r="BI496"/>
      <c r="BJ496" s="13"/>
      <c r="BK496" s="1"/>
      <c r="BL496"/>
      <c r="BM496"/>
      <c r="BN496"/>
      <c r="DY496" s="43"/>
      <c r="DZ496"/>
      <c r="EA496" s="19"/>
      <c r="EB496" s="19"/>
      <c r="EC496" s="9"/>
      <c r="ED496" s="9"/>
      <c r="EE496" s="9"/>
      <c r="EF496" s="9"/>
      <c r="EG496" s="9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3"/>
      <c r="FJ496" s="13"/>
      <c r="FK496" s="13"/>
      <c r="FL496" s="13"/>
      <c r="FM496" s="13"/>
      <c r="FN496" s="13"/>
      <c r="FO496" s="13"/>
      <c r="FP496" s="13"/>
      <c r="FQ496" s="13"/>
      <c r="FR496" s="13"/>
      <c r="FS496" s="13"/>
      <c r="FT496" s="13"/>
      <c r="FU496" s="13"/>
      <c r="FV496" s="13"/>
      <c r="FW496" s="13"/>
      <c r="FX496" s="13"/>
      <c r="FY496" s="13"/>
      <c r="FZ496" s="13"/>
      <c r="GA496" s="13"/>
    </row>
    <row r="497" spans="1:183" s="52" customFormat="1" ht="13.2" x14ac:dyDescent="0.25">
      <c r="A497" s="2"/>
      <c r="B497" s="2"/>
      <c r="C497" s="9">
        <v>4</v>
      </c>
      <c r="D497" s="9">
        <v>5</v>
      </c>
      <c r="E497" s="9">
        <v>13</v>
      </c>
      <c r="F497" s="9">
        <v>15</v>
      </c>
      <c r="G497" s="9">
        <v>48</v>
      </c>
      <c r="H497" s="9">
        <v>90</v>
      </c>
      <c r="I497" s="43"/>
      <c r="J497" s="9">
        <v>90</v>
      </c>
      <c r="K497" s="43"/>
      <c r="L497" s="39">
        <v>45544</v>
      </c>
      <c r="M497" s="43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55"/>
      <c r="Y497" s="146"/>
      <c r="Z497" s="146"/>
      <c r="AA497" s="146"/>
      <c r="AB497" s="146"/>
      <c r="AC497" s="146"/>
      <c r="AD497" s="146"/>
      <c r="AE497" s="146"/>
      <c r="AF497" s="146"/>
      <c r="AG497" s="146"/>
      <c r="AH497" s="146"/>
      <c r="AI497" s="148"/>
      <c r="AJ497" s="1"/>
      <c r="AK497" s="1"/>
      <c r="AL497" s="54"/>
      <c r="AM497" s="1"/>
      <c r="AN497" s="43"/>
      <c r="AO497" s="1"/>
      <c r="AP497" s="1"/>
      <c r="AQ497" s="19"/>
      <c r="AR497" s="54"/>
      <c r="AS497" s="43"/>
      <c r="AT497" s="1"/>
      <c r="AU497" s="1"/>
      <c r="AV497" s="1"/>
      <c r="AW497" s="54"/>
      <c r="AX497" s="57"/>
      <c r="AY497" s="54"/>
      <c r="AZ497" s="54"/>
      <c r="BA497" s="54"/>
      <c r="BB497" s="54"/>
      <c r="BC497" s="57"/>
      <c r="BD497" s="1"/>
      <c r="BE497" s="1"/>
      <c r="BF497" s="1"/>
      <c r="BG497" s="54"/>
      <c r="BH497" s="43"/>
      <c r="BI497"/>
      <c r="BJ497" s="13"/>
      <c r="BK497" s="1"/>
      <c r="BL497"/>
      <c r="BM497"/>
      <c r="BN497"/>
      <c r="DY497" s="43"/>
      <c r="DZ497"/>
      <c r="EA497" s="19"/>
      <c r="EB497" s="19"/>
      <c r="EC497" s="9"/>
      <c r="ED497" s="9"/>
      <c r="EE497" s="9"/>
      <c r="EF497" s="9"/>
      <c r="EG497" s="9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/>
      <c r="FL497" s="13"/>
      <c r="FM497" s="13"/>
      <c r="FN497" s="13"/>
      <c r="FO497" s="13"/>
      <c r="FP497" s="13"/>
      <c r="FQ497" s="13"/>
      <c r="FR497" s="13"/>
      <c r="FS497" s="13"/>
      <c r="FT497" s="13"/>
      <c r="FU497" s="13"/>
      <c r="FV497" s="13"/>
      <c r="FW497" s="13"/>
      <c r="FX497" s="13"/>
      <c r="FY497" s="13"/>
      <c r="FZ497" s="13"/>
      <c r="GA497" s="13"/>
    </row>
    <row r="498" spans="1:183" s="52" customFormat="1" ht="13.2" x14ac:dyDescent="0.25">
      <c r="A498" s="2"/>
      <c r="B498" s="2"/>
      <c r="C498" s="9">
        <v>8</v>
      </c>
      <c r="D498" s="9">
        <v>13</v>
      </c>
      <c r="E498" s="9">
        <v>16</v>
      </c>
      <c r="F498" s="9">
        <v>30</v>
      </c>
      <c r="G498" s="9">
        <v>38</v>
      </c>
      <c r="H498" s="9">
        <v>84</v>
      </c>
      <c r="I498" s="43"/>
      <c r="J498" s="9">
        <v>84</v>
      </c>
      <c r="K498" s="43"/>
      <c r="L498" s="39">
        <v>45542</v>
      </c>
      <c r="M498" s="43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55"/>
      <c r="Y498" s="146"/>
      <c r="Z498" s="146"/>
      <c r="AA498" s="146"/>
      <c r="AB498" s="146"/>
      <c r="AC498" s="146"/>
      <c r="AD498" s="146"/>
      <c r="AE498" s="146"/>
      <c r="AF498" s="146"/>
      <c r="AG498" s="146"/>
      <c r="AH498" s="146"/>
      <c r="AI498" s="148"/>
      <c r="AJ498" s="1"/>
      <c r="AK498" s="1"/>
      <c r="AL498" s="54"/>
      <c r="AM498" s="1"/>
      <c r="AN498" s="43"/>
      <c r="AO498" s="1"/>
      <c r="AP498" s="1"/>
      <c r="AQ498" s="19"/>
      <c r="AR498" s="54"/>
      <c r="AS498" s="43"/>
      <c r="AT498" s="1"/>
      <c r="AU498" s="1"/>
      <c r="AV498" s="1"/>
      <c r="AW498" s="54"/>
      <c r="AX498" s="57"/>
      <c r="AY498" s="54"/>
      <c r="AZ498" s="54"/>
      <c r="BA498" s="54"/>
      <c r="BB498" s="54"/>
      <c r="BC498" s="57"/>
      <c r="BD498" s="1"/>
      <c r="BE498" s="1"/>
      <c r="BF498" s="1"/>
      <c r="BG498" s="54"/>
      <c r="BH498" s="43"/>
      <c r="BI498"/>
      <c r="BJ498" s="13"/>
      <c r="BK498" s="1"/>
      <c r="BL498"/>
      <c r="BM498"/>
      <c r="BN498"/>
      <c r="DY498" s="43"/>
      <c r="DZ498"/>
      <c r="EA498" s="19"/>
      <c r="EB498" s="19"/>
      <c r="EC498" s="9"/>
      <c r="ED498" s="9"/>
      <c r="EE498" s="9"/>
      <c r="EF498" s="9"/>
      <c r="EG498" s="9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/>
      <c r="FL498" s="13"/>
      <c r="FM498" s="13"/>
      <c r="FN498" s="13"/>
      <c r="FO498" s="13"/>
      <c r="FP498" s="13"/>
      <c r="FQ498" s="13"/>
      <c r="FR498" s="13"/>
      <c r="FS498" s="13"/>
      <c r="FT498" s="13"/>
      <c r="FU498" s="13"/>
      <c r="FV498" s="13"/>
      <c r="FW498" s="13"/>
      <c r="FX498" s="13"/>
      <c r="FY498" s="13"/>
      <c r="FZ498" s="13"/>
      <c r="GA498" s="13"/>
    </row>
    <row r="499" spans="1:183" s="52" customFormat="1" ht="13.2" x14ac:dyDescent="0.25">
      <c r="A499" s="2"/>
      <c r="B499" s="2"/>
      <c r="C499" s="9">
        <v>57</v>
      </c>
      <c r="D499" s="9">
        <v>58</v>
      </c>
      <c r="E499" s="9">
        <v>62</v>
      </c>
      <c r="F499" s="9">
        <v>66</v>
      </c>
      <c r="G499" s="9">
        <v>84</v>
      </c>
      <c r="H499" s="9">
        <v>89</v>
      </c>
      <c r="I499" s="43"/>
      <c r="J499" s="9">
        <v>89</v>
      </c>
      <c r="K499" s="43"/>
      <c r="L499" s="39">
        <v>45539</v>
      </c>
      <c r="M499" s="43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55"/>
      <c r="Y499" s="146"/>
      <c r="Z499" s="146"/>
      <c r="AA499" s="146"/>
      <c r="AB499" s="146"/>
      <c r="AC499" s="146"/>
      <c r="AD499" s="146"/>
      <c r="AE499" s="146"/>
      <c r="AF499" s="146"/>
      <c r="AG499" s="146"/>
      <c r="AH499" s="146"/>
      <c r="AI499" s="148"/>
      <c r="AJ499" s="1"/>
      <c r="AK499" s="1"/>
      <c r="AL499" s="54"/>
      <c r="AM499" s="1"/>
      <c r="AN499" s="43"/>
      <c r="AO499" s="1"/>
      <c r="AP499" s="1"/>
      <c r="AQ499" s="19"/>
      <c r="AR499" s="54"/>
      <c r="AS499" s="43"/>
      <c r="AT499" s="1"/>
      <c r="AU499" s="1"/>
      <c r="AV499" s="1"/>
      <c r="AW499" s="54"/>
      <c r="AX499" s="57"/>
      <c r="AY499" s="54"/>
      <c r="AZ499" s="54"/>
      <c r="BA499" s="54"/>
      <c r="BB499" s="54"/>
      <c r="BC499" s="57"/>
      <c r="BD499" s="1"/>
      <c r="BE499" s="1"/>
      <c r="BF499" s="1"/>
      <c r="BG499" s="54"/>
      <c r="BH499" s="43"/>
      <c r="BI499"/>
      <c r="BJ499" s="13"/>
      <c r="BK499" s="1"/>
      <c r="BL499"/>
      <c r="BM499"/>
      <c r="BN499"/>
      <c r="DY499" s="43"/>
      <c r="DZ499"/>
      <c r="EA499" s="19"/>
      <c r="EB499" s="19"/>
      <c r="EC499" s="9"/>
      <c r="ED499" s="9"/>
      <c r="EE499" s="9"/>
      <c r="EF499" s="9"/>
      <c r="EG499" s="9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3"/>
      <c r="FD499" s="13"/>
      <c r="FE499" s="13"/>
      <c r="FF499" s="13"/>
      <c r="FG499" s="13"/>
      <c r="FH499" s="13"/>
      <c r="FI499" s="13"/>
      <c r="FJ499" s="13"/>
      <c r="FK499" s="13"/>
      <c r="FL499" s="13"/>
      <c r="FM499" s="13"/>
      <c r="FN499" s="13"/>
      <c r="FO499" s="13"/>
      <c r="FP499" s="13"/>
      <c r="FQ499" s="13"/>
      <c r="FR499" s="13"/>
      <c r="FS499" s="13"/>
      <c r="FT499" s="13"/>
      <c r="FU499" s="13"/>
      <c r="FV499" s="13"/>
      <c r="FW499" s="13"/>
      <c r="FX499" s="13"/>
      <c r="FY499" s="13"/>
      <c r="FZ499" s="13"/>
      <c r="GA499" s="13"/>
    </row>
    <row r="500" spans="1:183" s="52" customFormat="1" ht="13.2" x14ac:dyDescent="0.25">
      <c r="A500" s="2"/>
      <c r="B500" s="2"/>
      <c r="C500" s="9">
        <v>15</v>
      </c>
      <c r="D500" s="9">
        <v>30</v>
      </c>
      <c r="E500" s="9">
        <v>35</v>
      </c>
      <c r="F500" s="9">
        <v>45</v>
      </c>
      <c r="G500" s="9">
        <v>61</v>
      </c>
      <c r="H500" s="9">
        <v>68</v>
      </c>
      <c r="I500" s="43"/>
      <c r="J500" s="9">
        <v>68</v>
      </c>
      <c r="K500" s="43"/>
      <c r="L500" s="39">
        <v>45537</v>
      </c>
      <c r="M500" s="43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55"/>
      <c r="Y500" s="146"/>
      <c r="Z500" s="146"/>
      <c r="AA500" s="146"/>
      <c r="AB500" s="146"/>
      <c r="AC500" s="146"/>
      <c r="AD500" s="146"/>
      <c r="AE500" s="146"/>
      <c r="AF500" s="146"/>
      <c r="AG500" s="146"/>
      <c r="AH500" s="146"/>
      <c r="AI500" s="148"/>
      <c r="AJ500" s="1"/>
      <c r="AK500" s="1"/>
      <c r="AL500" s="54"/>
      <c r="AM500" s="1"/>
      <c r="AN500" s="43"/>
      <c r="AO500" s="1"/>
      <c r="AP500" s="1"/>
      <c r="AQ500" s="19"/>
      <c r="AR500" s="54"/>
      <c r="AS500" s="43"/>
      <c r="AT500" s="1"/>
      <c r="AU500" s="1"/>
      <c r="AV500" s="1"/>
      <c r="AW500" s="54"/>
      <c r="AX500" s="57"/>
      <c r="AY500" s="54"/>
      <c r="AZ500" s="54"/>
      <c r="BA500" s="54"/>
      <c r="BB500" s="54"/>
      <c r="BC500" s="57"/>
      <c r="BD500" s="1"/>
      <c r="BE500" s="1"/>
      <c r="BF500" s="1"/>
      <c r="BG500" s="54"/>
      <c r="BH500" s="43"/>
      <c r="BI500"/>
      <c r="BJ500" s="13"/>
      <c r="BK500" s="1"/>
      <c r="BL500"/>
      <c r="BM500"/>
      <c r="BN500"/>
      <c r="DY500" s="43"/>
      <c r="DZ500"/>
      <c r="EA500" s="19"/>
      <c r="EB500" s="19"/>
      <c r="EC500" s="9"/>
      <c r="ED500" s="9"/>
      <c r="EE500" s="9"/>
      <c r="EF500" s="9"/>
      <c r="EG500" s="9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  <c r="FT500" s="13"/>
      <c r="FU500" s="13"/>
      <c r="FV500" s="13"/>
      <c r="FW500" s="13"/>
      <c r="FX500" s="13"/>
      <c r="FY500" s="13"/>
      <c r="FZ500" s="13"/>
      <c r="GA500" s="13"/>
    </row>
    <row r="501" spans="1:183" s="52" customFormat="1" ht="13.2" x14ac:dyDescent="0.25">
      <c r="A501" s="2"/>
      <c r="B501" s="2"/>
      <c r="C501" s="9">
        <v>23</v>
      </c>
      <c r="D501" s="9">
        <v>45</v>
      </c>
      <c r="E501" s="9">
        <v>48</v>
      </c>
      <c r="F501" s="9">
        <v>51</v>
      </c>
      <c r="G501" s="9">
        <v>73</v>
      </c>
      <c r="H501" s="9">
        <v>90</v>
      </c>
      <c r="I501" s="43"/>
      <c r="J501" s="9">
        <v>90</v>
      </c>
      <c r="K501" s="43"/>
      <c r="L501" s="39">
        <v>45535</v>
      </c>
      <c r="M501" s="43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55"/>
      <c r="Y501" s="146"/>
      <c r="Z501" s="146"/>
      <c r="AA501" s="146"/>
      <c r="AB501" s="146"/>
      <c r="AC501" s="146"/>
      <c r="AD501" s="146"/>
      <c r="AE501" s="146"/>
      <c r="AF501" s="146"/>
      <c r="AG501" s="146"/>
      <c r="AH501" s="146"/>
      <c r="AI501" s="148"/>
      <c r="AJ501" s="1"/>
      <c r="AK501" s="1"/>
      <c r="AL501" s="54"/>
      <c r="AM501" s="1"/>
      <c r="AN501" s="43"/>
      <c r="AO501" s="1"/>
      <c r="AP501" s="1"/>
      <c r="AQ501" s="19"/>
      <c r="AR501" s="54"/>
      <c r="AS501" s="43"/>
      <c r="AT501" s="1"/>
      <c r="AU501" s="1"/>
      <c r="AV501" s="1"/>
      <c r="AW501" s="54"/>
      <c r="AX501" s="57"/>
      <c r="AY501" s="54"/>
      <c r="AZ501" s="54"/>
      <c r="BA501" s="54"/>
      <c r="BB501" s="54"/>
      <c r="BC501" s="57"/>
      <c r="BD501" s="1"/>
      <c r="BE501" s="1"/>
      <c r="BF501" s="1"/>
      <c r="BG501" s="54"/>
      <c r="BH501" s="43"/>
      <c r="BI501"/>
      <c r="BJ501" s="13"/>
      <c r="BK501" s="1"/>
      <c r="BL501"/>
      <c r="BM501"/>
      <c r="BN501"/>
      <c r="DY501" s="43"/>
      <c r="DZ501"/>
      <c r="EA501" s="19"/>
      <c r="EB501" s="19"/>
      <c r="EC501" s="9"/>
      <c r="ED501" s="9"/>
      <c r="EE501" s="9"/>
      <c r="EF501" s="9"/>
      <c r="EG501" s="9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  <c r="FI501" s="13"/>
      <c r="FJ501" s="13"/>
      <c r="FK501" s="13"/>
      <c r="FL501" s="13"/>
      <c r="FM501" s="13"/>
      <c r="FN501" s="13"/>
      <c r="FO501" s="13"/>
      <c r="FP501" s="13"/>
      <c r="FQ501" s="13"/>
      <c r="FR501" s="13"/>
      <c r="FS501" s="13"/>
      <c r="FT501" s="13"/>
      <c r="FU501" s="13"/>
      <c r="FV501" s="13"/>
      <c r="FW501" s="13"/>
      <c r="FX501" s="13"/>
      <c r="FY501" s="13"/>
      <c r="FZ501" s="13"/>
      <c r="GA501" s="13"/>
    </row>
    <row r="502" spans="1:183" s="52" customFormat="1" ht="13.2" x14ac:dyDescent="0.25">
      <c r="A502" s="2"/>
      <c r="B502" s="2"/>
      <c r="C502" s="9">
        <v>3</v>
      </c>
      <c r="D502" s="9">
        <v>20</v>
      </c>
      <c r="E502" s="9">
        <v>34</v>
      </c>
      <c r="F502" s="9">
        <v>45</v>
      </c>
      <c r="G502" s="9">
        <v>60</v>
      </c>
      <c r="H502" s="9">
        <v>71</v>
      </c>
      <c r="I502" s="43"/>
      <c r="J502" s="9">
        <v>71</v>
      </c>
      <c r="K502" s="43"/>
      <c r="L502" s="39">
        <v>45532</v>
      </c>
      <c r="M502" s="43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55"/>
      <c r="Y502" s="146"/>
      <c r="Z502" s="146"/>
      <c r="AA502" s="146"/>
      <c r="AB502" s="146"/>
      <c r="AC502" s="146"/>
      <c r="AD502" s="146"/>
      <c r="AE502" s="146"/>
      <c r="AF502" s="146"/>
      <c r="AG502" s="146"/>
      <c r="AH502" s="146"/>
      <c r="AI502" s="148"/>
      <c r="AJ502" s="1"/>
      <c r="AK502" s="1"/>
      <c r="AL502" s="54"/>
      <c r="AM502" s="1"/>
      <c r="AN502" s="43"/>
      <c r="AO502" s="1"/>
      <c r="AP502" s="1"/>
      <c r="AQ502" s="19"/>
      <c r="AR502" s="54"/>
      <c r="AS502" s="43"/>
      <c r="AT502" s="1"/>
      <c r="AU502" s="1"/>
      <c r="AV502" s="1"/>
      <c r="AW502" s="54"/>
      <c r="AX502" s="57"/>
      <c r="AY502" s="54"/>
      <c r="AZ502" s="54"/>
      <c r="BA502" s="54"/>
      <c r="BB502" s="54"/>
      <c r="BC502" s="57"/>
      <c r="BD502" s="1"/>
      <c r="BE502" s="1"/>
      <c r="BF502" s="1"/>
      <c r="BG502" s="54"/>
      <c r="BH502" s="43"/>
      <c r="BI502"/>
      <c r="BJ502" s="13"/>
      <c r="BK502" s="1"/>
      <c r="BL502"/>
      <c r="BM502"/>
      <c r="BN502"/>
      <c r="DY502" s="43"/>
      <c r="DZ502"/>
      <c r="EA502" s="19"/>
      <c r="EB502" s="19"/>
      <c r="EC502" s="9"/>
      <c r="ED502" s="9"/>
      <c r="EE502" s="9"/>
      <c r="EF502" s="9"/>
      <c r="EG502" s="9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3"/>
      <c r="FJ502" s="13"/>
      <c r="FK502" s="13"/>
      <c r="FL502" s="13"/>
      <c r="FM502" s="13"/>
      <c r="FN502" s="13"/>
      <c r="FO502" s="13"/>
      <c r="FP502" s="13"/>
      <c r="FQ502" s="13"/>
      <c r="FR502" s="13"/>
      <c r="FS502" s="13"/>
      <c r="FT502" s="13"/>
      <c r="FU502" s="13"/>
      <c r="FV502" s="13"/>
      <c r="FW502" s="13"/>
      <c r="FX502" s="13"/>
      <c r="FY502" s="13"/>
      <c r="FZ502" s="13"/>
      <c r="GA502" s="13"/>
    </row>
    <row r="503" spans="1:183" s="52" customFormat="1" ht="13.2" x14ac:dyDescent="0.25">
      <c r="A503" s="2"/>
      <c r="B503" s="2"/>
      <c r="C503" s="9">
        <v>35</v>
      </c>
      <c r="D503" s="9">
        <v>45</v>
      </c>
      <c r="E503" s="9">
        <v>48</v>
      </c>
      <c r="F503" s="9">
        <v>50</v>
      </c>
      <c r="G503" s="9">
        <v>63</v>
      </c>
      <c r="H503" s="9">
        <v>69</v>
      </c>
      <c r="I503" s="43"/>
      <c r="J503" s="9">
        <v>69</v>
      </c>
      <c r="K503" s="43"/>
      <c r="L503" s="39">
        <v>45530</v>
      </c>
      <c r="M503" s="43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55"/>
      <c r="Y503" s="146"/>
      <c r="Z503" s="146"/>
      <c r="AA503" s="146"/>
      <c r="AB503" s="146"/>
      <c r="AC503" s="146"/>
      <c r="AD503" s="146"/>
      <c r="AE503" s="146"/>
      <c r="AF503" s="146"/>
      <c r="AG503" s="146"/>
      <c r="AH503" s="146"/>
      <c r="AI503" s="148"/>
      <c r="AJ503" s="1"/>
      <c r="AK503" s="1"/>
      <c r="AL503" s="54"/>
      <c r="AM503" s="1"/>
      <c r="AN503" s="43"/>
      <c r="AO503" s="1"/>
      <c r="AP503" s="1"/>
      <c r="AQ503" s="19"/>
      <c r="AR503" s="54"/>
      <c r="AS503" s="43"/>
      <c r="AT503" s="1"/>
      <c r="AU503" s="1"/>
      <c r="AV503" s="1"/>
      <c r="AW503" s="54"/>
      <c r="AX503" s="57"/>
      <c r="AY503" s="54"/>
      <c r="AZ503" s="54"/>
      <c r="BA503" s="54"/>
      <c r="BB503" s="54"/>
      <c r="BC503" s="57"/>
      <c r="BD503" s="1"/>
      <c r="BE503" s="1"/>
      <c r="BF503" s="1"/>
      <c r="BG503" s="54"/>
      <c r="BH503" s="43"/>
      <c r="BI503"/>
      <c r="BJ503" s="13"/>
      <c r="BK503" s="1"/>
      <c r="BL503"/>
      <c r="BM503"/>
      <c r="BN503"/>
      <c r="DY503" s="43"/>
      <c r="DZ503"/>
      <c r="EA503" s="19"/>
      <c r="EB503" s="19"/>
      <c r="EC503" s="9"/>
      <c r="ED503" s="9"/>
      <c r="EE503" s="9"/>
      <c r="EF503" s="9"/>
      <c r="EG503" s="9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  <c r="FI503" s="13"/>
      <c r="FJ503" s="13"/>
      <c r="FK503" s="13"/>
      <c r="FL503" s="13"/>
      <c r="FM503" s="13"/>
      <c r="FN503" s="13"/>
      <c r="FO503" s="13"/>
      <c r="FP503" s="13"/>
      <c r="FQ503" s="13"/>
      <c r="FR503" s="13"/>
      <c r="FS503" s="13"/>
      <c r="FT503" s="13"/>
      <c r="FU503" s="13"/>
      <c r="FV503" s="13"/>
      <c r="FW503" s="13"/>
      <c r="FX503" s="13"/>
      <c r="FY503" s="13"/>
      <c r="FZ503" s="13"/>
      <c r="GA503" s="13"/>
    </row>
    <row r="504" spans="1:183" s="52" customFormat="1" ht="13.2" x14ac:dyDescent="0.25">
      <c r="A504" s="2"/>
      <c r="B504" s="2"/>
      <c r="C504" s="9">
        <v>10</v>
      </c>
      <c r="D504" s="9">
        <v>13</v>
      </c>
      <c r="E504" s="9">
        <v>19</v>
      </c>
      <c r="F504" s="9">
        <v>39</v>
      </c>
      <c r="G504" s="9">
        <v>87</v>
      </c>
      <c r="H504" s="9">
        <v>89</v>
      </c>
      <c r="I504" s="43"/>
      <c r="J504" s="9">
        <v>89</v>
      </c>
      <c r="K504" s="43"/>
      <c r="L504" s="39">
        <v>45528</v>
      </c>
      <c r="M504" s="43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55"/>
      <c r="Y504" s="146"/>
      <c r="Z504" s="146"/>
      <c r="AA504" s="146"/>
      <c r="AB504" s="146"/>
      <c r="AC504" s="146"/>
      <c r="AD504" s="146"/>
      <c r="AE504" s="146"/>
      <c r="AF504" s="146"/>
      <c r="AG504" s="146"/>
      <c r="AH504" s="146"/>
      <c r="AI504" s="148"/>
      <c r="AJ504" s="1"/>
      <c r="AK504" s="1"/>
      <c r="AL504" s="54"/>
      <c r="AM504" s="1"/>
      <c r="AN504" s="43"/>
      <c r="AO504" s="1"/>
      <c r="AP504" s="1"/>
      <c r="AQ504" s="19"/>
      <c r="AR504" s="54"/>
      <c r="AS504" s="43"/>
      <c r="AT504" s="1"/>
      <c r="AU504" s="1"/>
      <c r="AV504" s="1"/>
      <c r="AW504" s="54"/>
      <c r="AX504" s="57"/>
      <c r="AY504" s="54"/>
      <c r="AZ504" s="54"/>
      <c r="BA504" s="54"/>
      <c r="BB504" s="54"/>
      <c r="BC504" s="57"/>
      <c r="BD504" s="1"/>
      <c r="BE504" s="1"/>
      <c r="BF504" s="1"/>
      <c r="BG504" s="54"/>
      <c r="BH504" s="43"/>
      <c r="BI504"/>
      <c r="BJ504" s="13"/>
      <c r="BK504" s="1"/>
      <c r="BL504"/>
      <c r="BM504"/>
      <c r="BN504"/>
      <c r="DY504" s="43"/>
      <c r="DZ504"/>
      <c r="EA504" s="19"/>
      <c r="EB504" s="19"/>
      <c r="EC504" s="9"/>
      <c r="ED504" s="9"/>
      <c r="EE504" s="9"/>
      <c r="EF504" s="9"/>
      <c r="EG504" s="9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3"/>
      <c r="FJ504" s="13"/>
      <c r="FK504" s="13"/>
      <c r="FL504" s="13"/>
      <c r="FM504" s="13"/>
      <c r="FN504" s="13"/>
      <c r="FO504" s="13"/>
      <c r="FP504" s="13"/>
      <c r="FQ504" s="13"/>
      <c r="FR504" s="13"/>
      <c r="FS504" s="13"/>
      <c r="FT504" s="13"/>
      <c r="FU504" s="13"/>
      <c r="FV504" s="13"/>
      <c r="FW504" s="13"/>
      <c r="FX504" s="13"/>
      <c r="FY504" s="13"/>
      <c r="FZ504" s="13"/>
      <c r="GA504" s="13"/>
    </row>
    <row r="505" spans="1:183" s="52" customFormat="1" ht="13.2" x14ac:dyDescent="0.25">
      <c r="A505" s="2"/>
      <c r="B505" s="2"/>
      <c r="C505" s="9">
        <v>6</v>
      </c>
      <c r="D505" s="9">
        <v>12</v>
      </c>
      <c r="E505" s="9">
        <v>16</v>
      </c>
      <c r="F505" s="9">
        <v>29</v>
      </c>
      <c r="G505" s="9">
        <v>63</v>
      </c>
      <c r="H505" s="9">
        <v>72</v>
      </c>
      <c r="I505" s="43"/>
      <c r="J505" s="9">
        <v>72</v>
      </c>
      <c r="K505" s="43"/>
      <c r="L505" s="39">
        <v>45525</v>
      </c>
      <c r="M505" s="43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55"/>
      <c r="Y505" s="146"/>
      <c r="Z505" s="146"/>
      <c r="AA505" s="146"/>
      <c r="AB505" s="146"/>
      <c r="AC505" s="146"/>
      <c r="AD505" s="146"/>
      <c r="AE505" s="146"/>
      <c r="AF505" s="146"/>
      <c r="AG505" s="146"/>
      <c r="AH505" s="146"/>
      <c r="AI505" s="148"/>
      <c r="AJ505" s="1"/>
      <c r="AK505" s="1"/>
      <c r="AL505" s="54"/>
      <c r="AM505" s="1"/>
      <c r="AN505" s="43"/>
      <c r="AO505" s="1"/>
      <c r="AP505" s="1"/>
      <c r="AQ505" s="19"/>
      <c r="AR505" s="54"/>
      <c r="AS505" s="43"/>
      <c r="AT505" s="1"/>
      <c r="AU505" s="1"/>
      <c r="AV505" s="1"/>
      <c r="AW505" s="54"/>
      <c r="AX505" s="57"/>
      <c r="AY505" s="54"/>
      <c r="AZ505" s="54"/>
      <c r="BA505" s="54"/>
      <c r="BB505" s="54"/>
      <c r="BC505" s="57"/>
      <c r="BD505" s="1"/>
      <c r="BE505" s="1"/>
      <c r="BF505" s="1"/>
      <c r="BG505" s="54"/>
      <c r="BH505" s="43"/>
      <c r="BI505"/>
      <c r="BJ505" s="13"/>
      <c r="BK505" s="1"/>
      <c r="BL505"/>
      <c r="BM505"/>
      <c r="BN505"/>
      <c r="DY505" s="43"/>
      <c r="DZ505"/>
      <c r="EA505" s="19"/>
      <c r="EB505" s="19"/>
      <c r="EC505" s="9"/>
      <c r="ED505" s="9"/>
      <c r="EE505" s="9"/>
      <c r="EF505" s="9"/>
      <c r="EG505" s="9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  <c r="FI505" s="13"/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  <c r="FT505" s="13"/>
      <c r="FU505" s="13"/>
      <c r="FV505" s="13"/>
      <c r="FW505" s="13"/>
      <c r="FX505" s="13"/>
      <c r="FY505" s="13"/>
      <c r="FZ505" s="13"/>
      <c r="GA505" s="13"/>
    </row>
    <row r="506" spans="1:183" s="52" customFormat="1" ht="13.2" x14ac:dyDescent="0.25">
      <c r="A506" s="2"/>
      <c r="B506" s="2"/>
      <c r="C506" s="9">
        <v>3</v>
      </c>
      <c r="D506" s="9">
        <v>6</v>
      </c>
      <c r="E506" s="9">
        <v>36</v>
      </c>
      <c r="F506" s="9">
        <v>45</v>
      </c>
      <c r="G506" s="9">
        <v>67</v>
      </c>
      <c r="H506" s="9">
        <v>82</v>
      </c>
      <c r="I506" s="43"/>
      <c r="J506" s="9">
        <v>82</v>
      </c>
      <c r="K506" s="43"/>
      <c r="L506" s="39">
        <v>45523</v>
      </c>
      <c r="M506" s="43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55"/>
      <c r="Y506" s="146"/>
      <c r="Z506" s="146"/>
      <c r="AA506" s="146"/>
      <c r="AB506" s="146"/>
      <c r="AC506" s="146"/>
      <c r="AD506" s="146"/>
      <c r="AE506" s="146"/>
      <c r="AF506" s="146"/>
      <c r="AG506" s="146"/>
      <c r="AH506" s="146"/>
      <c r="AI506" s="148"/>
      <c r="AJ506" s="1"/>
      <c r="AK506" s="1"/>
      <c r="AL506" s="54"/>
      <c r="AM506" s="1"/>
      <c r="AN506" s="43"/>
      <c r="AO506" s="1"/>
      <c r="AP506" s="1"/>
      <c r="AQ506" s="19"/>
      <c r="AR506" s="54"/>
      <c r="AS506" s="43"/>
      <c r="AT506" s="1"/>
      <c r="AU506" s="1"/>
      <c r="AV506" s="1"/>
      <c r="AW506" s="54"/>
      <c r="AX506" s="57"/>
      <c r="AY506" s="54"/>
      <c r="AZ506" s="54"/>
      <c r="BA506" s="54"/>
      <c r="BB506" s="54"/>
      <c r="BC506" s="57"/>
      <c r="BD506" s="1"/>
      <c r="BE506" s="1"/>
      <c r="BF506" s="1"/>
      <c r="BG506" s="54"/>
      <c r="BH506" s="43"/>
      <c r="BI506"/>
      <c r="BJ506" s="13"/>
      <c r="BK506" s="1"/>
      <c r="BL506"/>
      <c r="BM506"/>
      <c r="BN506"/>
      <c r="DY506" s="43"/>
      <c r="DZ506"/>
      <c r="EA506" s="19"/>
      <c r="EB506" s="19"/>
      <c r="EC506" s="9"/>
      <c r="ED506" s="9"/>
      <c r="EE506" s="9"/>
      <c r="EF506" s="9"/>
      <c r="EG506" s="9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3"/>
      <c r="FJ506" s="13"/>
      <c r="FK506" s="13"/>
      <c r="FL506" s="13"/>
      <c r="FM506" s="13"/>
      <c r="FN506" s="13"/>
      <c r="FO506" s="13"/>
      <c r="FP506" s="13"/>
      <c r="FQ506" s="13"/>
      <c r="FR506" s="13"/>
      <c r="FS506" s="13"/>
      <c r="FT506" s="13"/>
      <c r="FU506" s="13"/>
      <c r="FV506" s="13"/>
      <c r="FW506" s="13"/>
      <c r="FX506" s="13"/>
      <c r="FY506" s="13"/>
      <c r="FZ506" s="13"/>
      <c r="GA506" s="13"/>
    </row>
    <row r="507" spans="1:183" s="52" customFormat="1" ht="13.2" x14ac:dyDescent="0.25">
      <c r="A507" s="2"/>
      <c r="B507" s="2"/>
      <c r="C507" s="9">
        <v>3</v>
      </c>
      <c r="D507" s="9">
        <v>19</v>
      </c>
      <c r="E507" s="9">
        <v>32</v>
      </c>
      <c r="F507" s="9">
        <v>66</v>
      </c>
      <c r="G507" s="9">
        <v>71</v>
      </c>
      <c r="H507" s="9">
        <v>81</v>
      </c>
      <c r="I507" s="43"/>
      <c r="J507" s="9">
        <v>81</v>
      </c>
      <c r="K507" s="43"/>
      <c r="L507" s="39">
        <v>45521</v>
      </c>
      <c r="M507" s="43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55"/>
      <c r="Y507" s="146"/>
      <c r="Z507" s="146"/>
      <c r="AA507" s="146"/>
      <c r="AB507" s="146"/>
      <c r="AC507" s="146"/>
      <c r="AD507" s="146"/>
      <c r="AE507" s="146"/>
      <c r="AF507" s="146"/>
      <c r="AG507" s="146"/>
      <c r="AH507" s="146"/>
      <c r="AI507" s="148"/>
      <c r="AJ507" s="1"/>
      <c r="AK507" s="1"/>
      <c r="AL507" s="54"/>
      <c r="AM507" s="1"/>
      <c r="AN507" s="43"/>
      <c r="AO507" s="1"/>
      <c r="AP507" s="1"/>
      <c r="AQ507" s="19"/>
      <c r="AR507" s="54"/>
      <c r="AS507" s="43"/>
      <c r="AT507" s="1"/>
      <c r="AU507" s="1"/>
      <c r="AV507" s="1"/>
      <c r="AW507" s="54"/>
      <c r="AX507" s="57"/>
      <c r="AY507" s="54"/>
      <c r="AZ507" s="54"/>
      <c r="BA507" s="54"/>
      <c r="BB507" s="54"/>
      <c r="BC507" s="57"/>
      <c r="BD507" s="1"/>
      <c r="BE507" s="1"/>
      <c r="BF507" s="1"/>
      <c r="BG507" s="54"/>
      <c r="BH507" s="43"/>
      <c r="BI507"/>
      <c r="BJ507" s="13"/>
      <c r="BK507" s="1"/>
      <c r="BL507"/>
      <c r="BM507"/>
      <c r="BN507"/>
      <c r="DY507" s="43"/>
      <c r="DZ507"/>
      <c r="EA507" s="19"/>
      <c r="EB507" s="19"/>
      <c r="EC507" s="9"/>
      <c r="ED507" s="9"/>
      <c r="EE507" s="9"/>
      <c r="EF507" s="9"/>
      <c r="EG507" s="9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  <c r="FT507" s="13"/>
      <c r="FU507" s="13"/>
      <c r="FV507" s="13"/>
      <c r="FW507" s="13"/>
      <c r="FX507" s="13"/>
      <c r="FY507" s="13"/>
      <c r="FZ507" s="13"/>
      <c r="GA507" s="13"/>
    </row>
    <row r="508" spans="1:183" s="52" customFormat="1" ht="13.2" x14ac:dyDescent="0.25">
      <c r="A508" s="2"/>
      <c r="B508" s="2"/>
      <c r="C508" s="9">
        <v>1</v>
      </c>
      <c r="D508" s="9">
        <v>8</v>
      </c>
      <c r="E508" s="9">
        <v>10</v>
      </c>
      <c r="F508" s="9">
        <v>37</v>
      </c>
      <c r="G508" s="9">
        <v>54</v>
      </c>
      <c r="H508" s="9">
        <v>77</v>
      </c>
      <c r="I508" s="43"/>
      <c r="J508" s="9">
        <v>77</v>
      </c>
      <c r="K508" s="43"/>
      <c r="L508" s="39">
        <v>45518</v>
      </c>
      <c r="M508" s="43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55"/>
      <c r="Y508" s="146"/>
      <c r="Z508" s="146"/>
      <c r="AA508" s="146"/>
      <c r="AB508" s="146"/>
      <c r="AC508" s="146"/>
      <c r="AD508" s="146"/>
      <c r="AE508" s="146"/>
      <c r="AF508" s="146"/>
      <c r="AG508" s="146"/>
      <c r="AH508" s="146"/>
      <c r="AI508" s="148"/>
      <c r="AJ508" s="1"/>
      <c r="AK508" s="1"/>
      <c r="AL508" s="54"/>
      <c r="AM508" s="1"/>
      <c r="AN508" s="43"/>
      <c r="AO508" s="1"/>
      <c r="AP508" s="1"/>
      <c r="AQ508" s="19"/>
      <c r="AR508" s="54"/>
      <c r="AS508" s="43"/>
      <c r="AT508" s="1"/>
      <c r="AU508" s="1"/>
      <c r="AV508" s="1"/>
      <c r="AW508" s="54"/>
      <c r="AX508" s="57"/>
      <c r="AY508" s="54"/>
      <c r="AZ508" s="54"/>
      <c r="BA508" s="54"/>
      <c r="BB508" s="54"/>
      <c r="BC508" s="57"/>
      <c r="BD508" s="1"/>
      <c r="BE508" s="1"/>
      <c r="BF508" s="1"/>
      <c r="BG508" s="54"/>
      <c r="BH508" s="43"/>
      <c r="BI508"/>
      <c r="BJ508" s="13"/>
      <c r="BK508" s="1"/>
      <c r="BL508"/>
      <c r="BM508"/>
      <c r="BN508"/>
      <c r="DY508" s="43"/>
      <c r="DZ508"/>
      <c r="EA508" s="19"/>
      <c r="EB508" s="19"/>
      <c r="EC508" s="9"/>
      <c r="ED508" s="9"/>
      <c r="EE508" s="9"/>
      <c r="EF508" s="9"/>
      <c r="EG508" s="9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  <c r="FT508" s="13"/>
      <c r="FU508" s="13"/>
      <c r="FV508" s="13"/>
      <c r="FW508" s="13"/>
      <c r="FX508" s="13"/>
      <c r="FY508" s="13"/>
      <c r="FZ508" s="13"/>
      <c r="GA508" s="13"/>
    </row>
    <row r="509" spans="1:183" s="52" customFormat="1" ht="13.2" x14ac:dyDescent="0.25">
      <c r="A509" s="2"/>
      <c r="B509" s="2"/>
      <c r="C509" s="9">
        <v>16</v>
      </c>
      <c r="D509" s="9">
        <v>24</v>
      </c>
      <c r="E509" s="9">
        <v>37</v>
      </c>
      <c r="F509" s="9">
        <v>73</v>
      </c>
      <c r="G509" s="9">
        <v>77</v>
      </c>
      <c r="H509" s="9">
        <v>85</v>
      </c>
      <c r="I509" s="43"/>
      <c r="J509" s="9">
        <v>85</v>
      </c>
      <c r="K509" s="43"/>
      <c r="L509" s="39">
        <v>45516</v>
      </c>
      <c r="M509" s="43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55"/>
      <c r="Y509" s="146"/>
      <c r="Z509" s="146"/>
      <c r="AA509" s="146"/>
      <c r="AB509" s="146"/>
      <c r="AC509" s="146"/>
      <c r="AD509" s="146"/>
      <c r="AE509" s="146"/>
      <c r="AF509" s="146"/>
      <c r="AG509" s="146"/>
      <c r="AH509" s="146"/>
      <c r="AI509" s="148"/>
      <c r="AJ509" s="1"/>
      <c r="AK509" s="1"/>
      <c r="AL509" s="54"/>
      <c r="AM509" s="1"/>
      <c r="AN509" s="43"/>
      <c r="AO509" s="1"/>
      <c r="AP509" s="1"/>
      <c r="AQ509" s="19"/>
      <c r="AR509" s="54"/>
      <c r="AS509" s="43"/>
      <c r="AT509" s="1"/>
      <c r="AU509" s="1"/>
      <c r="AV509" s="1"/>
      <c r="AW509" s="54"/>
      <c r="AX509" s="57"/>
      <c r="AY509" s="54"/>
      <c r="AZ509" s="54"/>
      <c r="BA509" s="54"/>
      <c r="BB509" s="54"/>
      <c r="BC509" s="57"/>
      <c r="BD509" s="1"/>
      <c r="BE509" s="1"/>
      <c r="BF509" s="1"/>
      <c r="BG509" s="54"/>
      <c r="BH509" s="43"/>
      <c r="BI509"/>
      <c r="BJ509" s="13"/>
      <c r="BK509" s="1"/>
      <c r="BL509"/>
      <c r="BM509"/>
      <c r="BN509"/>
      <c r="DY509" s="43"/>
      <c r="DZ509"/>
      <c r="EA509" s="19"/>
      <c r="EB509" s="19"/>
      <c r="EC509" s="9"/>
      <c r="ED509" s="9"/>
      <c r="EE509" s="9"/>
      <c r="EF509" s="9"/>
      <c r="EG509" s="9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  <c r="FT509" s="13"/>
      <c r="FU509" s="13"/>
      <c r="FV509" s="13"/>
      <c r="FW509" s="13"/>
      <c r="FX509" s="13"/>
      <c r="FY509" s="13"/>
      <c r="FZ509" s="13"/>
      <c r="GA509" s="13"/>
    </row>
    <row r="510" spans="1:183" s="52" customFormat="1" ht="13.2" x14ac:dyDescent="0.25">
      <c r="A510" s="2"/>
      <c r="B510" s="2"/>
      <c r="C510" s="9">
        <v>2</v>
      </c>
      <c r="D510" s="9">
        <v>19</v>
      </c>
      <c r="E510" s="9">
        <v>34</v>
      </c>
      <c r="F510" s="9">
        <v>35</v>
      </c>
      <c r="G510" s="9">
        <v>38</v>
      </c>
      <c r="H510" s="9">
        <v>61</v>
      </c>
      <c r="I510" s="43"/>
      <c r="J510" s="9">
        <v>61</v>
      </c>
      <c r="K510" s="43"/>
      <c r="L510" s="39">
        <v>45514</v>
      </c>
      <c r="M510" s="43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55"/>
      <c r="Y510" s="146"/>
      <c r="Z510" s="146"/>
      <c r="AA510" s="146"/>
      <c r="AB510" s="146"/>
      <c r="AC510" s="146"/>
      <c r="AD510" s="146"/>
      <c r="AE510" s="146"/>
      <c r="AF510" s="146"/>
      <c r="AG510" s="146"/>
      <c r="AH510" s="146"/>
      <c r="AI510" s="148"/>
      <c r="AJ510" s="1"/>
      <c r="AK510" s="1"/>
      <c r="AL510" s="54"/>
      <c r="AM510" s="1"/>
      <c r="AN510" s="43"/>
      <c r="AO510" s="1"/>
      <c r="AP510" s="1"/>
      <c r="AQ510" s="19"/>
      <c r="AR510" s="54"/>
      <c r="AS510" s="43"/>
      <c r="AT510" s="1"/>
      <c r="AU510" s="1"/>
      <c r="AV510" s="1"/>
      <c r="AW510" s="54"/>
      <c r="AX510" s="57"/>
      <c r="AY510" s="54"/>
      <c r="AZ510" s="54"/>
      <c r="BA510" s="54"/>
      <c r="BB510" s="54"/>
      <c r="BC510" s="57"/>
      <c r="BD510" s="1"/>
      <c r="BE510" s="1"/>
      <c r="BF510" s="1"/>
      <c r="BG510" s="54"/>
      <c r="BH510" s="43"/>
      <c r="BI510"/>
      <c r="BJ510" s="13"/>
      <c r="BK510" s="1"/>
      <c r="BL510"/>
      <c r="BM510"/>
      <c r="BN510"/>
      <c r="DY510" s="43"/>
      <c r="DZ510"/>
      <c r="EA510" s="19"/>
      <c r="EB510" s="19"/>
      <c r="EC510" s="9"/>
      <c r="ED510" s="9"/>
      <c r="EE510" s="9"/>
      <c r="EF510" s="9"/>
      <c r="EG510" s="9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  <c r="FU510" s="13"/>
      <c r="FV510" s="13"/>
      <c r="FW510" s="13"/>
      <c r="FX510" s="13"/>
      <c r="FY510" s="13"/>
      <c r="FZ510" s="13"/>
      <c r="GA510" s="13"/>
    </row>
    <row r="511" spans="1:183" s="52" customFormat="1" ht="13.2" x14ac:dyDescent="0.25">
      <c r="A511" s="2"/>
      <c r="B511" s="2"/>
      <c r="C511" s="9">
        <v>19</v>
      </c>
      <c r="D511" s="9">
        <v>46</v>
      </c>
      <c r="E511" s="9">
        <v>54</v>
      </c>
      <c r="F511" s="9">
        <v>56</v>
      </c>
      <c r="G511" s="9">
        <v>80</v>
      </c>
      <c r="H511" s="9">
        <v>82</v>
      </c>
      <c r="I511" s="43"/>
      <c r="J511" s="9">
        <v>82</v>
      </c>
      <c r="K511" s="43"/>
      <c r="L511" s="39">
        <v>45511</v>
      </c>
      <c r="M511" s="43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55"/>
      <c r="Y511" s="146"/>
      <c r="Z511" s="146"/>
      <c r="AA511" s="146"/>
      <c r="AB511" s="146"/>
      <c r="AC511" s="146"/>
      <c r="AD511" s="146"/>
      <c r="AE511" s="146"/>
      <c r="AF511" s="146"/>
      <c r="AG511" s="146"/>
      <c r="AH511" s="146"/>
      <c r="AI511" s="148"/>
      <c r="AJ511" s="1"/>
      <c r="AK511" s="1"/>
      <c r="AL511" s="54"/>
      <c r="AM511" s="1"/>
      <c r="AN511" s="43"/>
      <c r="AO511" s="1"/>
      <c r="AP511" s="1"/>
      <c r="AQ511" s="19"/>
      <c r="AR511" s="54"/>
      <c r="AS511" s="43"/>
      <c r="AT511" s="1"/>
      <c r="AU511" s="1"/>
      <c r="AV511" s="1"/>
      <c r="AW511" s="54"/>
      <c r="AX511" s="57"/>
      <c r="AY511" s="54"/>
      <c r="AZ511" s="54"/>
      <c r="BA511" s="54"/>
      <c r="BB511" s="54"/>
      <c r="BC511" s="57"/>
      <c r="BD511" s="1"/>
      <c r="BE511" s="1"/>
      <c r="BF511" s="1"/>
      <c r="BG511" s="54"/>
      <c r="BH511" s="43"/>
      <c r="BI511"/>
      <c r="BJ511" s="13"/>
      <c r="BK511" s="1"/>
      <c r="BL511"/>
      <c r="BM511"/>
      <c r="BN511"/>
      <c r="DY511" s="43"/>
      <c r="DZ511"/>
      <c r="EA511" s="19"/>
      <c r="EB511" s="19"/>
      <c r="EC511" s="9"/>
      <c r="ED511" s="9"/>
      <c r="EE511" s="9"/>
      <c r="EF511" s="9"/>
      <c r="EG511" s="9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3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  <c r="FT511" s="13"/>
      <c r="FU511" s="13"/>
      <c r="FV511" s="13"/>
      <c r="FW511" s="13"/>
      <c r="FX511" s="13"/>
      <c r="FY511" s="13"/>
      <c r="FZ511" s="13"/>
      <c r="GA511" s="13"/>
    </row>
    <row r="512" spans="1:183" s="52" customFormat="1" ht="13.2" x14ac:dyDescent="0.25">
      <c r="A512" s="2"/>
      <c r="B512" s="2"/>
      <c r="C512" s="9">
        <v>15</v>
      </c>
      <c r="D512" s="9">
        <v>17</v>
      </c>
      <c r="E512" s="9">
        <v>46</v>
      </c>
      <c r="F512" s="9">
        <v>51</v>
      </c>
      <c r="G512" s="9">
        <v>66</v>
      </c>
      <c r="H512" s="9">
        <v>72</v>
      </c>
      <c r="I512" s="43"/>
      <c r="J512" s="9">
        <v>72</v>
      </c>
      <c r="K512" s="43"/>
      <c r="L512" s="39">
        <v>45509</v>
      </c>
      <c r="M512" s="43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55"/>
      <c r="Y512" s="146"/>
      <c r="Z512" s="146"/>
      <c r="AA512" s="146"/>
      <c r="AB512" s="146"/>
      <c r="AC512" s="146"/>
      <c r="AD512" s="146"/>
      <c r="AE512" s="146"/>
      <c r="AF512" s="146"/>
      <c r="AG512" s="146"/>
      <c r="AH512" s="146"/>
      <c r="AI512" s="148"/>
      <c r="AJ512" s="1"/>
      <c r="AK512" s="1"/>
      <c r="AL512" s="54"/>
      <c r="AM512" s="1"/>
      <c r="AN512" s="43"/>
      <c r="AO512" s="1"/>
      <c r="AP512" s="1"/>
      <c r="AQ512" s="19"/>
      <c r="AR512" s="54"/>
      <c r="AS512" s="43"/>
      <c r="AT512" s="1"/>
      <c r="AU512" s="1"/>
      <c r="AV512" s="1"/>
      <c r="AW512" s="54"/>
      <c r="AX512" s="57"/>
      <c r="AY512" s="54"/>
      <c r="AZ512" s="54"/>
      <c r="BA512" s="54"/>
      <c r="BB512" s="54"/>
      <c r="BC512" s="57"/>
      <c r="BD512" s="1"/>
      <c r="BE512" s="1"/>
      <c r="BF512" s="1"/>
      <c r="BG512" s="54"/>
      <c r="BH512" s="43"/>
      <c r="BI512"/>
      <c r="BJ512" s="13"/>
      <c r="BK512" s="1"/>
      <c r="BL512"/>
      <c r="BM512"/>
      <c r="BN512"/>
      <c r="DY512" s="43"/>
      <c r="DZ512"/>
      <c r="EA512" s="19"/>
      <c r="EB512" s="19"/>
      <c r="EC512" s="9"/>
      <c r="ED512" s="9"/>
      <c r="EE512" s="9"/>
      <c r="EF512" s="9"/>
      <c r="EG512" s="9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3"/>
      <c r="FJ512" s="13"/>
      <c r="FK512" s="13"/>
      <c r="FL512" s="13"/>
      <c r="FM512" s="13"/>
      <c r="FN512" s="13"/>
      <c r="FO512" s="13"/>
      <c r="FP512" s="13"/>
      <c r="FQ512" s="13"/>
      <c r="FR512" s="13"/>
      <c r="FS512" s="13"/>
      <c r="FT512" s="13"/>
      <c r="FU512" s="13"/>
      <c r="FV512" s="13"/>
      <c r="FW512" s="13"/>
      <c r="FX512" s="13"/>
      <c r="FY512" s="13"/>
      <c r="FZ512" s="13"/>
      <c r="GA512" s="13"/>
    </row>
    <row r="513" spans="1:183" s="52" customFormat="1" ht="13.2" x14ac:dyDescent="0.25">
      <c r="A513" s="2"/>
      <c r="B513" s="2"/>
      <c r="C513" s="9">
        <v>10</v>
      </c>
      <c r="D513" s="9">
        <v>13</v>
      </c>
      <c r="E513" s="9">
        <v>35</v>
      </c>
      <c r="F513" s="9">
        <v>42</v>
      </c>
      <c r="G513" s="9">
        <v>60</v>
      </c>
      <c r="H513" s="9">
        <v>87</v>
      </c>
      <c r="I513" s="43"/>
      <c r="J513" s="9">
        <v>87</v>
      </c>
      <c r="K513" s="43"/>
      <c r="L513" s="39">
        <v>45507</v>
      </c>
      <c r="M513" s="43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55"/>
      <c r="Y513" s="146"/>
      <c r="Z513" s="146"/>
      <c r="AA513" s="146"/>
      <c r="AB513" s="146"/>
      <c r="AC513" s="146"/>
      <c r="AD513" s="146"/>
      <c r="AE513" s="146"/>
      <c r="AF513" s="146"/>
      <c r="AG513" s="146"/>
      <c r="AH513" s="146"/>
      <c r="AI513" s="148"/>
      <c r="AJ513" s="1"/>
      <c r="AK513" s="1"/>
      <c r="AL513" s="54"/>
      <c r="AM513" s="1"/>
      <c r="AN513" s="43"/>
      <c r="AO513" s="1"/>
      <c r="AP513" s="1"/>
      <c r="AQ513" s="19"/>
      <c r="AR513" s="54"/>
      <c r="AS513" s="43"/>
      <c r="AT513" s="1"/>
      <c r="AU513" s="1"/>
      <c r="AV513" s="1"/>
      <c r="AW513" s="54"/>
      <c r="AX513" s="57"/>
      <c r="AY513" s="54"/>
      <c r="AZ513" s="54"/>
      <c r="BA513" s="54"/>
      <c r="BB513" s="54"/>
      <c r="BC513" s="57"/>
      <c r="BD513" s="1"/>
      <c r="BE513" s="1"/>
      <c r="BF513" s="1"/>
      <c r="BG513" s="54"/>
      <c r="BH513" s="43"/>
      <c r="BI513"/>
      <c r="BJ513" s="13"/>
      <c r="BK513" s="1"/>
      <c r="BL513"/>
      <c r="BM513"/>
      <c r="BN513"/>
      <c r="DY513" s="43"/>
      <c r="DZ513"/>
      <c r="EA513" s="19"/>
      <c r="EB513" s="19"/>
      <c r="EC513" s="9"/>
      <c r="ED513" s="9"/>
      <c r="EE513" s="9"/>
      <c r="EF513" s="9"/>
      <c r="EG513" s="9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/>
      <c r="FH513" s="13"/>
      <c r="FI513" s="13"/>
      <c r="FJ513" s="13"/>
      <c r="FK513" s="13"/>
      <c r="FL513" s="13"/>
      <c r="FM513" s="13"/>
      <c r="FN513" s="13"/>
      <c r="FO513" s="13"/>
      <c r="FP513" s="13"/>
      <c r="FQ513" s="13"/>
      <c r="FR513" s="13"/>
      <c r="FS513" s="13"/>
      <c r="FT513" s="13"/>
      <c r="FU513" s="13"/>
      <c r="FV513" s="13"/>
      <c r="FW513" s="13"/>
      <c r="FX513" s="13"/>
      <c r="FY513" s="13"/>
      <c r="FZ513" s="13"/>
      <c r="GA513" s="13"/>
    </row>
    <row r="514" spans="1:183" s="52" customFormat="1" ht="13.2" x14ac:dyDescent="0.25">
      <c r="A514" s="2"/>
      <c r="B514" s="2"/>
      <c r="C514" s="9">
        <v>28</v>
      </c>
      <c r="D514" s="9">
        <v>50</v>
      </c>
      <c r="E514" s="9">
        <v>52</v>
      </c>
      <c r="F514" s="9">
        <v>61</v>
      </c>
      <c r="G514" s="9">
        <v>79</v>
      </c>
      <c r="H514" s="9">
        <v>89</v>
      </c>
      <c r="I514" s="43"/>
      <c r="J514" s="9">
        <v>89</v>
      </c>
      <c r="K514" s="43"/>
      <c r="L514" s="39">
        <v>45504</v>
      </c>
      <c r="M514" s="43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55"/>
      <c r="Y514" s="146"/>
      <c r="Z514" s="146"/>
      <c r="AA514" s="146"/>
      <c r="AB514" s="146"/>
      <c r="AC514" s="146"/>
      <c r="AD514" s="146"/>
      <c r="AE514" s="146"/>
      <c r="AF514" s="146"/>
      <c r="AG514" s="146"/>
      <c r="AH514" s="146"/>
      <c r="AI514" s="148"/>
      <c r="AJ514" s="1"/>
      <c r="AK514" s="1"/>
      <c r="AL514" s="54"/>
      <c r="AM514" s="1"/>
      <c r="AN514" s="43"/>
      <c r="AO514" s="1"/>
      <c r="AP514" s="1"/>
      <c r="AQ514" s="19"/>
      <c r="AR514" s="54"/>
      <c r="AS514" s="43"/>
      <c r="AT514" s="1"/>
      <c r="AU514" s="1"/>
      <c r="AV514" s="1"/>
      <c r="AW514" s="54"/>
      <c r="AX514" s="57"/>
      <c r="AY514" s="54"/>
      <c r="AZ514" s="54"/>
      <c r="BA514" s="54"/>
      <c r="BB514" s="54"/>
      <c r="BC514" s="57"/>
      <c r="BD514" s="1"/>
      <c r="BE514" s="1"/>
      <c r="BF514" s="1"/>
      <c r="BG514" s="54"/>
      <c r="BH514" s="43"/>
      <c r="BI514"/>
      <c r="BJ514" s="13"/>
      <c r="BK514" s="1"/>
      <c r="BL514"/>
      <c r="BM514"/>
      <c r="BN514"/>
      <c r="DY514" s="43"/>
      <c r="DZ514"/>
      <c r="EA514" s="19"/>
      <c r="EB514" s="19"/>
      <c r="EC514" s="9"/>
      <c r="ED514" s="9"/>
      <c r="EE514" s="9"/>
      <c r="EF514" s="9"/>
      <c r="EG514" s="9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3"/>
      <c r="FD514" s="13"/>
      <c r="FE514" s="13"/>
      <c r="FF514" s="13"/>
      <c r="FG514" s="13"/>
      <c r="FH514" s="13"/>
      <c r="FI514" s="13"/>
      <c r="FJ514" s="13"/>
      <c r="FK514" s="13"/>
      <c r="FL514" s="13"/>
      <c r="FM514" s="13"/>
      <c r="FN514" s="13"/>
      <c r="FO514" s="13"/>
      <c r="FP514" s="13"/>
      <c r="FQ514" s="13"/>
      <c r="FR514" s="13"/>
      <c r="FS514" s="13"/>
      <c r="FT514" s="13"/>
      <c r="FU514" s="13"/>
      <c r="FV514" s="13"/>
      <c r="FW514" s="13"/>
      <c r="FX514" s="13"/>
      <c r="FY514" s="13"/>
      <c r="FZ514" s="13"/>
      <c r="GA514" s="13"/>
    </row>
    <row r="515" spans="1:183" s="52" customFormat="1" ht="13.2" x14ac:dyDescent="0.25">
      <c r="A515" s="2"/>
      <c r="B515" s="2"/>
      <c r="C515" s="9">
        <v>3</v>
      </c>
      <c r="D515" s="9">
        <v>24</v>
      </c>
      <c r="E515" s="9">
        <v>54</v>
      </c>
      <c r="F515" s="9">
        <v>72</v>
      </c>
      <c r="G515" s="9">
        <v>75</v>
      </c>
      <c r="H515" s="9">
        <v>84</v>
      </c>
      <c r="I515" s="43"/>
      <c r="J515" s="9">
        <v>84</v>
      </c>
      <c r="K515" s="43"/>
      <c r="L515" s="39">
        <v>45502</v>
      </c>
      <c r="M515" s="43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55"/>
      <c r="Y515" s="146"/>
      <c r="Z515" s="146"/>
      <c r="AA515" s="146"/>
      <c r="AB515" s="146"/>
      <c r="AC515" s="146"/>
      <c r="AD515" s="146"/>
      <c r="AE515" s="146"/>
      <c r="AF515" s="146"/>
      <c r="AG515" s="146"/>
      <c r="AH515" s="146"/>
      <c r="AI515" s="148"/>
      <c r="AJ515" s="1"/>
      <c r="AK515" s="1"/>
      <c r="AL515" s="54"/>
      <c r="AM515" s="1"/>
      <c r="AN515" s="43"/>
      <c r="AO515" s="1"/>
      <c r="AP515" s="1"/>
      <c r="AQ515" s="19"/>
      <c r="AR515" s="54"/>
      <c r="AS515" s="43"/>
      <c r="AT515" s="1"/>
      <c r="AU515" s="1"/>
      <c r="AV515" s="1"/>
      <c r="AW515" s="54"/>
      <c r="AX515" s="57"/>
      <c r="AY515" s="54"/>
      <c r="AZ515" s="54"/>
      <c r="BA515" s="54"/>
      <c r="BB515" s="54"/>
      <c r="BC515" s="57"/>
      <c r="BD515" s="1"/>
      <c r="BE515" s="1"/>
      <c r="BF515" s="1"/>
      <c r="BG515" s="54"/>
      <c r="BH515" s="43"/>
      <c r="BI515"/>
      <c r="BJ515" s="13"/>
      <c r="BK515" s="1"/>
      <c r="BL515"/>
      <c r="BM515"/>
      <c r="BN515"/>
      <c r="DY515" s="43"/>
      <c r="DZ515"/>
      <c r="EA515" s="19"/>
      <c r="EB515" s="19"/>
      <c r="EC515" s="9"/>
      <c r="ED515" s="9"/>
      <c r="EE515" s="9"/>
      <c r="EF515" s="9"/>
      <c r="EG515" s="9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  <c r="FI515" s="13"/>
      <c r="FJ515" s="13"/>
      <c r="FK515" s="13"/>
      <c r="FL515" s="13"/>
      <c r="FM515" s="13"/>
      <c r="FN515" s="13"/>
      <c r="FO515" s="13"/>
      <c r="FP515" s="13"/>
      <c r="FQ515" s="13"/>
      <c r="FR515" s="13"/>
      <c r="FS515" s="13"/>
      <c r="FT515" s="13"/>
      <c r="FU515" s="13"/>
      <c r="FV515" s="13"/>
      <c r="FW515" s="13"/>
      <c r="FX515" s="13"/>
      <c r="FY515" s="13"/>
      <c r="FZ515" s="13"/>
      <c r="GA515" s="13"/>
    </row>
    <row r="516" spans="1:183" s="52" customFormat="1" ht="13.2" x14ac:dyDescent="0.25">
      <c r="A516" s="2"/>
      <c r="B516" s="2"/>
      <c r="C516" s="9">
        <v>14</v>
      </c>
      <c r="D516" s="9">
        <v>21</v>
      </c>
      <c r="E516" s="9">
        <v>45</v>
      </c>
      <c r="F516" s="9">
        <v>56</v>
      </c>
      <c r="G516" s="9">
        <v>70</v>
      </c>
      <c r="H516" s="9">
        <v>76</v>
      </c>
      <c r="I516" s="43"/>
      <c r="J516" s="9">
        <v>76</v>
      </c>
      <c r="K516" s="43"/>
      <c r="L516" s="39">
        <v>45500</v>
      </c>
      <c r="M516" s="43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55"/>
      <c r="Y516" s="146"/>
      <c r="Z516" s="146"/>
      <c r="AA516" s="146"/>
      <c r="AB516" s="146"/>
      <c r="AC516" s="146"/>
      <c r="AD516" s="146"/>
      <c r="AE516" s="146"/>
      <c r="AF516" s="146"/>
      <c r="AG516" s="146"/>
      <c r="AH516" s="146"/>
      <c r="AI516" s="148"/>
      <c r="AJ516" s="1"/>
      <c r="AK516" s="1"/>
      <c r="AL516" s="54"/>
      <c r="AM516" s="1"/>
      <c r="AN516" s="43"/>
      <c r="AO516" s="1"/>
      <c r="AP516" s="1"/>
      <c r="AQ516" s="19"/>
      <c r="AR516" s="54"/>
      <c r="AS516" s="43"/>
      <c r="AT516" s="1"/>
      <c r="AU516" s="1"/>
      <c r="AV516" s="1"/>
      <c r="AW516" s="54"/>
      <c r="AX516" s="57"/>
      <c r="AY516" s="54"/>
      <c r="AZ516" s="54"/>
      <c r="BA516" s="54"/>
      <c r="BB516" s="54"/>
      <c r="BC516" s="57"/>
      <c r="BD516" s="1"/>
      <c r="BE516" s="1"/>
      <c r="BF516" s="1"/>
      <c r="BG516" s="54"/>
      <c r="BH516" s="43"/>
      <c r="BI516"/>
      <c r="BJ516" s="13"/>
      <c r="BK516" s="1"/>
      <c r="BL516"/>
      <c r="BM516"/>
      <c r="BN516"/>
      <c r="DY516" s="43"/>
      <c r="DZ516"/>
      <c r="EA516" s="19"/>
      <c r="EB516" s="19"/>
      <c r="EC516" s="9"/>
      <c r="ED516" s="9"/>
      <c r="EE516" s="9"/>
      <c r="EF516" s="9"/>
      <c r="EG516" s="9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  <c r="FU516" s="13"/>
      <c r="FV516" s="13"/>
      <c r="FW516" s="13"/>
      <c r="FX516" s="13"/>
      <c r="FY516" s="13"/>
      <c r="FZ516" s="13"/>
      <c r="GA516" s="13"/>
    </row>
    <row r="517" spans="1:183" s="52" customFormat="1" ht="13.2" x14ac:dyDescent="0.25">
      <c r="A517" s="2"/>
      <c r="B517" s="2"/>
      <c r="C517" s="9">
        <v>1</v>
      </c>
      <c r="D517" s="9">
        <v>18</v>
      </c>
      <c r="E517" s="9">
        <v>31</v>
      </c>
      <c r="F517" s="9">
        <v>46</v>
      </c>
      <c r="G517" s="9">
        <v>61</v>
      </c>
      <c r="H517" s="9">
        <v>84</v>
      </c>
      <c r="I517" s="43"/>
      <c r="J517" s="9">
        <v>84</v>
      </c>
      <c r="K517" s="43"/>
      <c r="L517" s="39">
        <v>45497</v>
      </c>
      <c r="M517" s="43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55"/>
      <c r="Y517" s="146"/>
      <c r="Z517" s="146"/>
      <c r="AA517" s="146"/>
      <c r="AB517" s="146"/>
      <c r="AC517" s="146"/>
      <c r="AD517" s="146"/>
      <c r="AE517" s="146"/>
      <c r="AF517" s="146"/>
      <c r="AG517" s="146"/>
      <c r="AH517" s="146"/>
      <c r="AI517" s="148"/>
      <c r="AJ517" s="1"/>
      <c r="AK517" s="1"/>
      <c r="AL517" s="54"/>
      <c r="AM517" s="1"/>
      <c r="AN517" s="43"/>
      <c r="AO517" s="1"/>
      <c r="AP517" s="1"/>
      <c r="AQ517" s="19"/>
      <c r="AR517" s="54"/>
      <c r="AS517" s="43"/>
      <c r="AT517" s="1"/>
      <c r="AU517" s="1"/>
      <c r="AV517" s="1"/>
      <c r="AW517" s="54"/>
      <c r="AX517" s="57"/>
      <c r="AY517" s="54"/>
      <c r="AZ517" s="54"/>
      <c r="BA517" s="54"/>
      <c r="BB517" s="54"/>
      <c r="BC517" s="57"/>
      <c r="BD517" s="1"/>
      <c r="BE517" s="1"/>
      <c r="BF517" s="1"/>
      <c r="BG517" s="54"/>
      <c r="BH517" s="43"/>
      <c r="BI517"/>
      <c r="BJ517" s="13"/>
      <c r="BK517" s="1"/>
      <c r="BL517"/>
      <c r="BM517"/>
      <c r="BN517"/>
      <c r="DY517" s="43"/>
      <c r="DZ517"/>
      <c r="EA517" s="19"/>
      <c r="EB517" s="19"/>
      <c r="EC517" s="9"/>
      <c r="ED517" s="9"/>
      <c r="EE517" s="9"/>
      <c r="EF517" s="9"/>
      <c r="EG517" s="9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3"/>
      <c r="FJ517" s="13"/>
      <c r="FK517" s="13"/>
      <c r="FL517" s="13"/>
      <c r="FM517" s="13"/>
      <c r="FN517" s="13"/>
      <c r="FO517" s="13"/>
      <c r="FP517" s="13"/>
      <c r="FQ517" s="13"/>
      <c r="FR517" s="13"/>
      <c r="FS517" s="13"/>
      <c r="FT517" s="13"/>
      <c r="FU517" s="13"/>
      <c r="FV517" s="13"/>
      <c r="FW517" s="13"/>
      <c r="FX517" s="13"/>
      <c r="FY517" s="13"/>
      <c r="FZ517" s="13"/>
      <c r="GA517" s="13"/>
    </row>
    <row r="518" spans="1:183" s="52" customFormat="1" ht="13.2" x14ac:dyDescent="0.25">
      <c r="A518" s="2"/>
      <c r="B518" s="2"/>
      <c r="C518" s="9">
        <v>1</v>
      </c>
      <c r="D518" s="9">
        <v>38</v>
      </c>
      <c r="E518" s="9">
        <v>56</v>
      </c>
      <c r="F518" s="9">
        <v>60</v>
      </c>
      <c r="G518" s="9">
        <v>64</v>
      </c>
      <c r="H518" s="9">
        <v>87</v>
      </c>
      <c r="I518" s="43"/>
      <c r="J518" s="9">
        <v>87</v>
      </c>
      <c r="K518" s="43"/>
      <c r="L518" s="39">
        <v>45495</v>
      </c>
      <c r="M518" s="43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55"/>
      <c r="Y518" s="146"/>
      <c r="Z518" s="146"/>
      <c r="AA518" s="146"/>
      <c r="AB518" s="146"/>
      <c r="AC518" s="146"/>
      <c r="AD518" s="146"/>
      <c r="AE518" s="146"/>
      <c r="AF518" s="146"/>
      <c r="AG518" s="146"/>
      <c r="AH518" s="146"/>
      <c r="AI518" s="148"/>
      <c r="AJ518" s="1"/>
      <c r="AK518" s="1"/>
      <c r="AL518" s="54"/>
      <c r="AM518" s="1"/>
      <c r="AN518" s="43"/>
      <c r="AO518" s="1"/>
      <c r="AP518" s="1"/>
      <c r="AQ518" s="19"/>
      <c r="AR518" s="54"/>
      <c r="AS518" s="43"/>
      <c r="AT518" s="1"/>
      <c r="AU518" s="1"/>
      <c r="AV518" s="1"/>
      <c r="AW518" s="54"/>
      <c r="AX518" s="57"/>
      <c r="AY518" s="54"/>
      <c r="AZ518" s="54"/>
      <c r="BA518" s="54"/>
      <c r="BB518" s="54"/>
      <c r="BC518" s="57"/>
      <c r="BD518" s="1"/>
      <c r="BE518" s="1"/>
      <c r="BF518" s="1"/>
      <c r="BG518" s="54"/>
      <c r="BH518" s="43"/>
      <c r="BI518"/>
      <c r="BJ518" s="13"/>
      <c r="BK518" s="1"/>
      <c r="BL518"/>
      <c r="BM518"/>
      <c r="BN518"/>
      <c r="DY518" s="43"/>
      <c r="DZ518"/>
      <c r="EA518" s="19"/>
      <c r="EB518" s="19"/>
      <c r="EC518" s="9"/>
      <c r="ED518" s="9"/>
      <c r="EE518" s="9"/>
      <c r="EF518" s="9"/>
      <c r="EG518" s="9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/>
      <c r="FN518" s="13"/>
      <c r="FO518" s="13"/>
      <c r="FP518" s="13"/>
      <c r="FQ518" s="13"/>
      <c r="FR518" s="13"/>
      <c r="FS518" s="13"/>
      <c r="FT518" s="13"/>
      <c r="FU518" s="13"/>
      <c r="FV518" s="13"/>
      <c r="FW518" s="13"/>
      <c r="FX518" s="13"/>
      <c r="FY518" s="13"/>
      <c r="FZ518" s="13"/>
      <c r="GA518" s="13"/>
    </row>
    <row r="519" spans="1:183" s="52" customFormat="1" ht="13.2" x14ac:dyDescent="0.25">
      <c r="A519" s="2"/>
      <c r="B519" s="2"/>
      <c r="C519" s="9">
        <v>7</v>
      </c>
      <c r="D519" s="9">
        <v>23</v>
      </c>
      <c r="E519" s="9">
        <v>45</v>
      </c>
      <c r="F519" s="9">
        <v>58</v>
      </c>
      <c r="G519" s="9">
        <v>60</v>
      </c>
      <c r="H519" s="9">
        <v>73</v>
      </c>
      <c r="I519" s="43"/>
      <c r="J519" s="9">
        <v>73</v>
      </c>
      <c r="K519" s="43"/>
      <c r="L519" s="39">
        <v>45493</v>
      </c>
      <c r="M519" s="43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55"/>
      <c r="Y519" s="146"/>
      <c r="Z519" s="146"/>
      <c r="AA519" s="146"/>
      <c r="AB519" s="146"/>
      <c r="AC519" s="146"/>
      <c r="AD519" s="146"/>
      <c r="AE519" s="146"/>
      <c r="AF519" s="146"/>
      <c r="AG519" s="146"/>
      <c r="AH519" s="146"/>
      <c r="AI519" s="148"/>
      <c r="AJ519" s="1"/>
      <c r="AK519" s="1"/>
      <c r="AL519" s="54"/>
      <c r="AM519" s="1"/>
      <c r="AN519" s="43"/>
      <c r="AO519" s="1"/>
      <c r="AP519" s="1"/>
      <c r="AQ519" s="19"/>
      <c r="AR519" s="54"/>
      <c r="AS519" s="43"/>
      <c r="AT519" s="1"/>
      <c r="AU519" s="1"/>
      <c r="AV519" s="1"/>
      <c r="AW519" s="54"/>
      <c r="AX519" s="57"/>
      <c r="AY519" s="54"/>
      <c r="AZ519" s="54"/>
      <c r="BA519" s="54"/>
      <c r="BB519" s="54"/>
      <c r="BC519" s="57"/>
      <c r="BD519" s="1"/>
      <c r="BE519" s="1"/>
      <c r="BF519" s="1"/>
      <c r="BG519" s="54"/>
      <c r="BH519" s="43"/>
      <c r="BI519"/>
      <c r="BJ519" s="13"/>
      <c r="BK519" s="1"/>
      <c r="BL519"/>
      <c r="BM519"/>
      <c r="BN519"/>
      <c r="DY519" s="43"/>
      <c r="DZ519"/>
      <c r="EA519" s="19"/>
      <c r="EB519" s="19"/>
      <c r="EC519" s="9"/>
      <c r="ED519" s="9"/>
      <c r="EE519" s="9"/>
      <c r="EF519" s="9"/>
      <c r="EG519" s="9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  <c r="FT519" s="13"/>
      <c r="FU519" s="13"/>
      <c r="FV519" s="13"/>
      <c r="FW519" s="13"/>
      <c r="FX519" s="13"/>
      <c r="FY519" s="13"/>
      <c r="FZ519" s="13"/>
      <c r="GA519" s="13"/>
    </row>
    <row r="520" spans="1:183" s="52" customFormat="1" ht="13.2" x14ac:dyDescent="0.25">
      <c r="A520" s="2"/>
      <c r="B520" s="2"/>
      <c r="C520" s="9">
        <v>42</v>
      </c>
      <c r="D520" s="9">
        <v>52</v>
      </c>
      <c r="E520" s="9">
        <v>57</v>
      </c>
      <c r="F520" s="9">
        <v>60</v>
      </c>
      <c r="G520" s="9">
        <v>63</v>
      </c>
      <c r="H520" s="9">
        <v>73</v>
      </c>
      <c r="I520" s="43"/>
      <c r="J520" s="9">
        <v>73</v>
      </c>
      <c r="K520" s="43"/>
      <c r="L520" s="39">
        <v>45490</v>
      </c>
      <c r="M520" s="43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55"/>
      <c r="Y520" s="146"/>
      <c r="Z520" s="146"/>
      <c r="AA520" s="146"/>
      <c r="AB520" s="146"/>
      <c r="AC520" s="146"/>
      <c r="AD520" s="146"/>
      <c r="AE520" s="146"/>
      <c r="AF520" s="146"/>
      <c r="AG520" s="146"/>
      <c r="AH520" s="146"/>
      <c r="AI520" s="148"/>
      <c r="AJ520" s="1"/>
      <c r="AK520" s="1"/>
      <c r="AL520" s="54"/>
      <c r="AM520" s="1"/>
      <c r="AN520" s="43"/>
      <c r="AO520" s="1"/>
      <c r="AP520" s="1"/>
      <c r="AQ520" s="19"/>
      <c r="AR520" s="54"/>
      <c r="AS520" s="43"/>
      <c r="AT520" s="1"/>
      <c r="AU520" s="1"/>
      <c r="AV520" s="1"/>
      <c r="AW520" s="54"/>
      <c r="AX520" s="57"/>
      <c r="AY520" s="54"/>
      <c r="AZ520" s="54"/>
      <c r="BA520" s="54"/>
      <c r="BB520" s="54"/>
      <c r="BC520" s="57"/>
      <c r="BD520" s="1"/>
      <c r="BE520" s="1"/>
      <c r="BF520" s="1"/>
      <c r="BG520" s="54"/>
      <c r="BH520" s="43"/>
      <c r="BI520"/>
      <c r="BJ520" s="13"/>
      <c r="BK520" s="1"/>
      <c r="BL520"/>
      <c r="BM520"/>
      <c r="BN520"/>
      <c r="DY520" s="43"/>
      <c r="DZ520"/>
      <c r="EA520" s="19"/>
      <c r="EB520" s="19"/>
      <c r="EC520" s="9"/>
      <c r="ED520" s="9"/>
      <c r="EE520" s="9"/>
      <c r="EF520" s="9"/>
      <c r="EG520" s="9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3"/>
      <c r="FJ520" s="13"/>
      <c r="FK520" s="13"/>
      <c r="FL520" s="13"/>
      <c r="FM520" s="13"/>
      <c r="FN520" s="13"/>
      <c r="FO520" s="13"/>
      <c r="FP520" s="13"/>
      <c r="FQ520" s="13"/>
      <c r="FR520" s="13"/>
      <c r="FS520" s="13"/>
      <c r="FT520" s="13"/>
      <c r="FU520" s="13"/>
      <c r="FV520" s="13"/>
      <c r="FW520" s="13"/>
      <c r="FX520" s="13"/>
      <c r="FY520" s="13"/>
      <c r="FZ520" s="13"/>
      <c r="GA520" s="13"/>
    </row>
    <row r="521" spans="1:183" s="52" customFormat="1" ht="13.2" x14ac:dyDescent="0.25">
      <c r="A521" s="2"/>
      <c r="B521" s="2"/>
      <c r="C521" s="9">
        <v>2</v>
      </c>
      <c r="D521" s="9">
        <v>8</v>
      </c>
      <c r="E521" s="9">
        <v>23</v>
      </c>
      <c r="F521" s="9">
        <v>48</v>
      </c>
      <c r="G521" s="9">
        <v>63</v>
      </c>
      <c r="H521" s="9">
        <v>83</v>
      </c>
      <c r="I521" s="43"/>
      <c r="J521" s="9">
        <v>83</v>
      </c>
      <c r="K521" s="43"/>
      <c r="L521" s="39">
        <v>45488</v>
      </c>
      <c r="M521" s="43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55"/>
      <c r="Y521" s="146"/>
      <c r="Z521" s="146"/>
      <c r="AA521" s="146"/>
      <c r="AB521" s="146"/>
      <c r="AC521" s="146"/>
      <c r="AD521" s="146"/>
      <c r="AE521" s="146"/>
      <c r="AF521" s="146"/>
      <c r="AG521" s="146"/>
      <c r="AH521" s="146"/>
      <c r="AI521" s="148"/>
      <c r="AJ521" s="1"/>
      <c r="AK521" s="1"/>
      <c r="AL521" s="54"/>
      <c r="AM521" s="1"/>
      <c r="AN521" s="43"/>
      <c r="AO521" s="1"/>
      <c r="AP521" s="1"/>
      <c r="AQ521" s="19"/>
      <c r="AR521" s="54"/>
      <c r="AS521" s="43"/>
      <c r="AT521" s="1"/>
      <c r="AU521" s="1"/>
      <c r="AV521" s="1"/>
      <c r="AW521" s="54"/>
      <c r="AX521" s="57"/>
      <c r="AY521" s="54"/>
      <c r="AZ521" s="54"/>
      <c r="BA521" s="54"/>
      <c r="BB521" s="54"/>
      <c r="BC521" s="57"/>
      <c r="BD521" s="1"/>
      <c r="BE521" s="1"/>
      <c r="BF521" s="1"/>
      <c r="BG521" s="54"/>
      <c r="BH521" s="43"/>
      <c r="BI521"/>
      <c r="BJ521" s="13"/>
      <c r="BK521" s="1"/>
      <c r="BL521"/>
      <c r="BM521"/>
      <c r="BN521"/>
      <c r="DY521" s="43"/>
      <c r="DZ521"/>
      <c r="EA521" s="19"/>
      <c r="EB521" s="19"/>
      <c r="EC521" s="9"/>
      <c r="ED521" s="9"/>
      <c r="EE521" s="9"/>
      <c r="EF521" s="9"/>
      <c r="EG521" s="9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3"/>
      <c r="FJ521" s="13"/>
      <c r="FK521" s="13"/>
      <c r="FL521" s="13"/>
      <c r="FM521" s="13"/>
      <c r="FN521" s="13"/>
      <c r="FO521" s="13"/>
      <c r="FP521" s="13"/>
      <c r="FQ521" s="13"/>
      <c r="FR521" s="13"/>
      <c r="FS521" s="13"/>
      <c r="FT521" s="13"/>
      <c r="FU521" s="13"/>
      <c r="FV521" s="13"/>
      <c r="FW521" s="13"/>
      <c r="FX521" s="13"/>
      <c r="FY521" s="13"/>
      <c r="FZ521" s="13"/>
      <c r="GA521" s="13"/>
    </row>
    <row r="522" spans="1:183" s="52" customFormat="1" ht="13.2" x14ac:dyDescent="0.25">
      <c r="A522" s="2"/>
      <c r="B522" s="2"/>
      <c r="C522" s="9">
        <v>6</v>
      </c>
      <c r="D522" s="9">
        <v>29</v>
      </c>
      <c r="E522" s="9">
        <v>38</v>
      </c>
      <c r="F522" s="9">
        <v>69</v>
      </c>
      <c r="G522" s="9">
        <v>78</v>
      </c>
      <c r="H522" s="9">
        <v>79</v>
      </c>
      <c r="I522" s="43"/>
      <c r="J522" s="9">
        <v>79</v>
      </c>
      <c r="K522" s="43"/>
      <c r="L522" s="39">
        <v>45486</v>
      </c>
      <c r="M522" s="43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55"/>
      <c r="Y522" s="146"/>
      <c r="Z522" s="146"/>
      <c r="AA522" s="146"/>
      <c r="AB522" s="146"/>
      <c r="AC522" s="146"/>
      <c r="AD522" s="146"/>
      <c r="AE522" s="146"/>
      <c r="AF522" s="146"/>
      <c r="AG522" s="146"/>
      <c r="AH522" s="146"/>
      <c r="AI522" s="148"/>
      <c r="AJ522" s="1"/>
      <c r="AK522" s="1"/>
      <c r="AL522" s="54"/>
      <c r="AM522" s="1"/>
      <c r="AN522" s="43"/>
      <c r="AO522" s="1"/>
      <c r="AP522" s="1"/>
      <c r="AQ522" s="19"/>
      <c r="AR522" s="54"/>
      <c r="AS522" s="43"/>
      <c r="AT522" s="1"/>
      <c r="AU522" s="1"/>
      <c r="AV522" s="1"/>
      <c r="AW522" s="54"/>
      <c r="AX522" s="57"/>
      <c r="AY522" s="54"/>
      <c r="AZ522" s="54"/>
      <c r="BA522" s="54"/>
      <c r="BB522" s="54"/>
      <c r="BC522" s="57"/>
      <c r="BD522" s="1"/>
      <c r="BE522" s="1"/>
      <c r="BF522" s="1"/>
      <c r="BG522" s="54"/>
      <c r="BH522" s="43"/>
      <c r="BI522"/>
      <c r="BJ522" s="13"/>
      <c r="BK522" s="1"/>
      <c r="BL522"/>
      <c r="BM522"/>
      <c r="BN522"/>
      <c r="DY522" s="43"/>
      <c r="DZ522"/>
      <c r="EA522" s="19"/>
      <c r="EB522" s="19"/>
      <c r="EC522" s="9"/>
      <c r="ED522" s="9"/>
      <c r="EE522" s="9"/>
      <c r="EF522" s="9"/>
      <c r="EG522" s="9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  <c r="FU522" s="13"/>
      <c r="FV522" s="13"/>
      <c r="FW522" s="13"/>
      <c r="FX522" s="13"/>
      <c r="FY522" s="13"/>
      <c r="FZ522" s="13"/>
      <c r="GA522" s="13"/>
    </row>
    <row r="523" spans="1:183" s="52" customFormat="1" ht="13.2" x14ac:dyDescent="0.25">
      <c r="A523" s="2"/>
      <c r="B523" s="2"/>
      <c r="C523" s="9">
        <v>15</v>
      </c>
      <c r="D523" s="9">
        <v>24</v>
      </c>
      <c r="E523" s="9">
        <v>31</v>
      </c>
      <c r="F523" s="9">
        <v>40</v>
      </c>
      <c r="G523" s="9">
        <v>48</v>
      </c>
      <c r="H523" s="9">
        <v>90</v>
      </c>
      <c r="I523" s="43"/>
      <c r="J523" s="9">
        <v>90</v>
      </c>
      <c r="K523" s="43"/>
      <c r="L523" s="39">
        <v>45483</v>
      </c>
      <c r="M523" s="43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55"/>
      <c r="Y523" s="146"/>
      <c r="Z523" s="146"/>
      <c r="AA523" s="146"/>
      <c r="AB523" s="146"/>
      <c r="AC523" s="146"/>
      <c r="AD523" s="146"/>
      <c r="AE523" s="146"/>
      <c r="AF523" s="146"/>
      <c r="AG523" s="146"/>
      <c r="AH523" s="146"/>
      <c r="AI523" s="148"/>
      <c r="AJ523" s="1"/>
      <c r="AK523" s="1"/>
      <c r="AL523" s="54"/>
      <c r="AM523" s="1"/>
      <c r="AN523" s="43"/>
      <c r="AO523" s="1"/>
      <c r="AP523" s="1"/>
      <c r="AQ523" s="19"/>
      <c r="AR523" s="54"/>
      <c r="AS523" s="43"/>
      <c r="AT523" s="1"/>
      <c r="AU523" s="1"/>
      <c r="AV523" s="1"/>
      <c r="AW523" s="54"/>
      <c r="AX523" s="57"/>
      <c r="AY523" s="54"/>
      <c r="AZ523" s="54"/>
      <c r="BA523" s="54"/>
      <c r="BB523" s="54"/>
      <c r="BC523" s="57"/>
      <c r="BD523" s="1"/>
      <c r="BE523" s="1"/>
      <c r="BF523" s="1"/>
      <c r="BG523" s="54"/>
      <c r="BH523" s="43"/>
      <c r="BI523"/>
      <c r="BJ523" s="13"/>
      <c r="BK523" s="1"/>
      <c r="BL523"/>
      <c r="BM523"/>
      <c r="BN523"/>
      <c r="DY523" s="43"/>
      <c r="DZ523"/>
      <c r="EA523" s="19"/>
      <c r="EB523" s="19"/>
      <c r="EC523" s="9"/>
      <c r="ED523" s="9"/>
      <c r="EE523" s="9"/>
      <c r="EF523" s="9"/>
      <c r="EG523" s="9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3"/>
      <c r="FJ523" s="13"/>
      <c r="FK523" s="13"/>
      <c r="FL523" s="13"/>
      <c r="FM523" s="13"/>
      <c r="FN523" s="13"/>
      <c r="FO523" s="13"/>
      <c r="FP523" s="13"/>
      <c r="FQ523" s="13"/>
      <c r="FR523" s="13"/>
      <c r="FS523" s="13"/>
      <c r="FT523" s="13"/>
      <c r="FU523" s="13"/>
      <c r="FV523" s="13"/>
      <c r="FW523" s="13"/>
      <c r="FX523" s="13"/>
      <c r="FY523" s="13"/>
      <c r="FZ523" s="13"/>
      <c r="GA523" s="13"/>
    </row>
    <row r="524" spans="1:183" s="52" customFormat="1" ht="13.2" x14ac:dyDescent="0.25">
      <c r="A524" s="2"/>
      <c r="B524" s="2"/>
      <c r="C524" s="9">
        <v>6</v>
      </c>
      <c r="D524" s="9">
        <v>35</v>
      </c>
      <c r="E524" s="9">
        <v>44</v>
      </c>
      <c r="F524" s="9">
        <v>53</v>
      </c>
      <c r="G524" s="9">
        <v>57</v>
      </c>
      <c r="H524" s="9">
        <v>85</v>
      </c>
      <c r="I524" s="43"/>
      <c r="J524" s="9">
        <v>85</v>
      </c>
      <c r="K524" s="43"/>
      <c r="L524" s="39">
        <v>45481</v>
      </c>
      <c r="M524" s="43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55"/>
      <c r="Y524" s="146"/>
      <c r="Z524" s="146"/>
      <c r="AA524" s="146"/>
      <c r="AB524" s="146"/>
      <c r="AC524" s="146"/>
      <c r="AD524" s="146"/>
      <c r="AE524" s="146"/>
      <c r="AF524" s="146"/>
      <c r="AG524" s="146"/>
      <c r="AH524" s="146"/>
      <c r="AI524" s="148"/>
      <c r="AJ524" s="1"/>
      <c r="AK524" s="1"/>
      <c r="AL524" s="54"/>
      <c r="AM524" s="1"/>
      <c r="AN524" s="43"/>
      <c r="AO524" s="1"/>
      <c r="AP524" s="1"/>
      <c r="AQ524" s="19"/>
      <c r="AR524" s="54"/>
      <c r="AS524" s="43"/>
      <c r="AT524" s="1"/>
      <c r="AU524" s="1"/>
      <c r="AV524" s="1"/>
      <c r="AW524" s="54"/>
      <c r="AX524" s="57"/>
      <c r="AY524" s="54"/>
      <c r="AZ524" s="54"/>
      <c r="BA524" s="54"/>
      <c r="BB524" s="54"/>
      <c r="BC524" s="57"/>
      <c r="BD524" s="1"/>
      <c r="BE524" s="1"/>
      <c r="BF524" s="1"/>
      <c r="BG524" s="54"/>
      <c r="BH524" s="43"/>
      <c r="BI524"/>
      <c r="BJ524" s="13"/>
      <c r="BK524" s="1"/>
      <c r="BL524"/>
      <c r="BM524"/>
      <c r="BN524"/>
      <c r="DY524" s="43"/>
      <c r="DZ524"/>
      <c r="EA524" s="19"/>
      <c r="EB524" s="19"/>
      <c r="EC524" s="9"/>
      <c r="ED524" s="9"/>
      <c r="EE524" s="9"/>
      <c r="EF524" s="9"/>
      <c r="EG524" s="9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  <c r="FI524" s="13"/>
      <c r="FJ524" s="13"/>
      <c r="FK524" s="13"/>
      <c r="FL524" s="13"/>
      <c r="FM524" s="13"/>
      <c r="FN524" s="13"/>
      <c r="FO524" s="13"/>
      <c r="FP524" s="13"/>
      <c r="FQ524" s="13"/>
      <c r="FR524" s="13"/>
      <c r="FS524" s="13"/>
      <c r="FT524" s="13"/>
      <c r="FU524" s="13"/>
      <c r="FV524" s="13"/>
      <c r="FW524" s="13"/>
      <c r="FX524" s="13"/>
      <c r="FY524" s="13"/>
      <c r="FZ524" s="13"/>
      <c r="GA524" s="13"/>
    </row>
    <row r="525" spans="1:183" s="52" customFormat="1" ht="13.2" x14ac:dyDescent="0.25">
      <c r="A525" s="2"/>
      <c r="B525" s="2"/>
      <c r="C525" s="9">
        <v>26</v>
      </c>
      <c r="D525" s="9">
        <v>32</v>
      </c>
      <c r="E525" s="9">
        <v>35</v>
      </c>
      <c r="F525" s="9">
        <v>43</v>
      </c>
      <c r="G525" s="9">
        <v>56</v>
      </c>
      <c r="H525" s="9">
        <v>81</v>
      </c>
      <c r="I525" s="43"/>
      <c r="J525" s="9">
        <v>81</v>
      </c>
      <c r="K525" s="43"/>
      <c r="L525" s="39">
        <v>45479</v>
      </c>
      <c r="M525" s="43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55"/>
      <c r="Y525" s="146"/>
      <c r="Z525" s="146"/>
      <c r="AA525" s="146"/>
      <c r="AB525" s="146"/>
      <c r="AC525" s="146"/>
      <c r="AD525" s="146"/>
      <c r="AE525" s="146"/>
      <c r="AF525" s="146"/>
      <c r="AG525" s="146"/>
      <c r="AH525" s="146"/>
      <c r="AI525" s="148"/>
      <c r="AJ525" s="1"/>
      <c r="AK525" s="1"/>
      <c r="AL525" s="54"/>
      <c r="AM525" s="1"/>
      <c r="AN525" s="43"/>
      <c r="AO525" s="1"/>
      <c r="AP525" s="1"/>
      <c r="AQ525" s="19"/>
      <c r="AR525" s="54"/>
      <c r="AS525" s="43"/>
      <c r="AT525" s="1"/>
      <c r="AU525" s="1"/>
      <c r="AV525" s="1"/>
      <c r="AW525" s="54"/>
      <c r="AX525" s="57"/>
      <c r="AY525" s="54"/>
      <c r="AZ525" s="54"/>
      <c r="BA525" s="54"/>
      <c r="BB525" s="54"/>
      <c r="BC525" s="57"/>
      <c r="BD525" s="1"/>
      <c r="BE525" s="1"/>
      <c r="BF525" s="1"/>
      <c r="BG525" s="54"/>
      <c r="BH525" s="43"/>
      <c r="BI525"/>
      <c r="BJ525" s="13"/>
      <c r="BK525" s="1"/>
      <c r="BL525"/>
      <c r="BM525"/>
      <c r="BN525"/>
      <c r="DY525" s="43"/>
      <c r="DZ525"/>
      <c r="EA525" s="19"/>
      <c r="EB525" s="19"/>
      <c r="EC525" s="9"/>
      <c r="ED525" s="9"/>
      <c r="EE525" s="9"/>
      <c r="EF525" s="9"/>
      <c r="EG525" s="9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  <c r="FI525" s="13"/>
      <c r="FJ525" s="13"/>
      <c r="FK525" s="13"/>
      <c r="FL525" s="13"/>
      <c r="FM525" s="13"/>
      <c r="FN525" s="13"/>
      <c r="FO525" s="13"/>
      <c r="FP525" s="13"/>
      <c r="FQ525" s="13"/>
      <c r="FR525" s="13"/>
      <c r="FS525" s="13"/>
      <c r="FT525" s="13"/>
      <c r="FU525" s="13"/>
      <c r="FV525" s="13"/>
      <c r="FW525" s="13"/>
      <c r="FX525" s="13"/>
      <c r="FY525" s="13"/>
      <c r="FZ525" s="13"/>
      <c r="GA525" s="13"/>
    </row>
    <row r="526" spans="1:183" s="52" customFormat="1" ht="13.2" x14ac:dyDescent="0.25">
      <c r="A526" s="2"/>
      <c r="B526" s="2"/>
      <c r="C526" s="9">
        <v>10</v>
      </c>
      <c r="D526" s="9">
        <v>12</v>
      </c>
      <c r="E526" s="9">
        <v>32</v>
      </c>
      <c r="F526" s="9">
        <v>60</v>
      </c>
      <c r="G526" s="9">
        <v>77</v>
      </c>
      <c r="H526" s="9">
        <v>87</v>
      </c>
      <c r="I526" s="43"/>
      <c r="J526" s="9">
        <v>87</v>
      </c>
      <c r="K526" s="43"/>
      <c r="L526" s="39">
        <v>45476</v>
      </c>
      <c r="M526" s="43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55"/>
      <c r="Y526" s="146"/>
      <c r="Z526" s="146"/>
      <c r="AA526" s="146"/>
      <c r="AB526" s="146"/>
      <c r="AC526" s="146"/>
      <c r="AD526" s="146"/>
      <c r="AE526" s="146"/>
      <c r="AF526" s="146"/>
      <c r="AG526" s="146"/>
      <c r="AH526" s="146"/>
      <c r="AI526" s="148"/>
      <c r="AJ526" s="1"/>
      <c r="AK526" s="1"/>
      <c r="AL526" s="54"/>
      <c r="AM526" s="1"/>
      <c r="AN526" s="43"/>
      <c r="AO526" s="1"/>
      <c r="AP526" s="1"/>
      <c r="AQ526" s="19"/>
      <c r="AR526" s="54"/>
      <c r="AS526" s="43"/>
      <c r="AT526" s="1"/>
      <c r="AU526" s="1"/>
      <c r="AV526" s="1"/>
      <c r="AW526" s="54"/>
      <c r="AX526" s="57"/>
      <c r="AY526" s="54"/>
      <c r="AZ526" s="54"/>
      <c r="BA526" s="54"/>
      <c r="BB526" s="54"/>
      <c r="BC526" s="57"/>
      <c r="BD526" s="1"/>
      <c r="BE526" s="1"/>
      <c r="BF526" s="1"/>
      <c r="BG526" s="54"/>
      <c r="BH526" s="43"/>
      <c r="BI526"/>
      <c r="BJ526" s="13"/>
      <c r="BK526" s="1"/>
      <c r="BL526"/>
      <c r="BM526"/>
      <c r="BN526"/>
      <c r="DY526" s="43"/>
      <c r="DZ526"/>
      <c r="EA526" s="19"/>
      <c r="EB526" s="19"/>
      <c r="EC526" s="9"/>
      <c r="ED526" s="9"/>
      <c r="EE526" s="9"/>
      <c r="EF526" s="9"/>
      <c r="EG526" s="9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  <c r="FI526" s="13"/>
      <c r="FJ526" s="13"/>
      <c r="FK526" s="13"/>
      <c r="FL526" s="13"/>
      <c r="FM526" s="13"/>
      <c r="FN526" s="13"/>
      <c r="FO526" s="13"/>
      <c r="FP526" s="13"/>
      <c r="FQ526" s="13"/>
      <c r="FR526" s="13"/>
      <c r="FS526" s="13"/>
      <c r="FT526" s="13"/>
      <c r="FU526" s="13"/>
      <c r="FV526" s="13"/>
      <c r="FW526" s="13"/>
      <c r="FX526" s="13"/>
      <c r="FY526" s="13"/>
      <c r="FZ526" s="13"/>
      <c r="GA526" s="13"/>
    </row>
    <row r="527" spans="1:183" s="52" customFormat="1" ht="13.2" x14ac:dyDescent="0.25">
      <c r="A527" s="2"/>
      <c r="B527" s="2"/>
      <c r="C527" s="9">
        <v>13</v>
      </c>
      <c r="D527" s="9">
        <v>36</v>
      </c>
      <c r="E527" s="9">
        <v>40</v>
      </c>
      <c r="F527" s="9">
        <v>44</v>
      </c>
      <c r="G527" s="9">
        <v>53</v>
      </c>
      <c r="H527" s="9">
        <v>75</v>
      </c>
      <c r="I527" s="43"/>
      <c r="J527" s="9">
        <v>75</v>
      </c>
      <c r="K527" s="43"/>
      <c r="L527" s="39">
        <v>45474</v>
      </c>
      <c r="M527" s="43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55"/>
      <c r="Y527" s="146"/>
      <c r="Z527" s="146"/>
      <c r="AA527" s="146"/>
      <c r="AB527" s="146"/>
      <c r="AC527" s="146"/>
      <c r="AD527" s="146"/>
      <c r="AE527" s="146"/>
      <c r="AF527" s="146"/>
      <c r="AG527" s="146"/>
      <c r="AH527" s="146"/>
      <c r="AI527" s="148"/>
      <c r="AJ527" s="1"/>
      <c r="AK527" s="1"/>
      <c r="AL527" s="54"/>
      <c r="AM527" s="1"/>
      <c r="AN527" s="43"/>
      <c r="AO527" s="1"/>
      <c r="AP527" s="1"/>
      <c r="AQ527" s="19"/>
      <c r="AR527" s="54"/>
      <c r="AS527" s="43"/>
      <c r="AT527" s="1"/>
      <c r="AU527" s="1"/>
      <c r="AV527" s="1"/>
      <c r="AW527" s="54"/>
      <c r="AX527" s="57"/>
      <c r="AY527" s="54"/>
      <c r="AZ527" s="54"/>
      <c r="BA527" s="54"/>
      <c r="BB527" s="54"/>
      <c r="BC527" s="57"/>
      <c r="BD527" s="1"/>
      <c r="BE527" s="1"/>
      <c r="BF527" s="1"/>
      <c r="BG527" s="54"/>
      <c r="BH527" s="43"/>
      <c r="BI527"/>
      <c r="BJ527" s="13"/>
      <c r="BK527" s="1"/>
      <c r="BL527"/>
      <c r="BM527"/>
      <c r="BN527"/>
      <c r="DY527" s="43"/>
      <c r="DZ527"/>
      <c r="EA527" s="19"/>
      <c r="EB527" s="19"/>
      <c r="EC527" s="9"/>
      <c r="ED527" s="9"/>
      <c r="EE527" s="9"/>
      <c r="EF527" s="9"/>
      <c r="EG527" s="9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  <c r="FI527" s="13"/>
      <c r="FJ527" s="13"/>
      <c r="FK527" s="13"/>
      <c r="FL527" s="13"/>
      <c r="FM527" s="13"/>
      <c r="FN527" s="13"/>
      <c r="FO527" s="13"/>
      <c r="FP527" s="13"/>
      <c r="FQ527" s="13"/>
      <c r="FR527" s="13"/>
      <c r="FS527" s="13"/>
      <c r="FT527" s="13"/>
      <c r="FU527" s="13"/>
      <c r="FV527" s="13"/>
      <c r="FW527" s="13"/>
      <c r="FX527" s="13"/>
      <c r="FY527" s="13"/>
      <c r="FZ527" s="13"/>
      <c r="GA527" s="13"/>
    </row>
    <row r="528" spans="1:183" s="52" customFormat="1" ht="13.2" x14ac:dyDescent="0.25">
      <c r="A528" s="2"/>
      <c r="B528" s="2"/>
      <c r="C528" s="9">
        <v>8</v>
      </c>
      <c r="D528" s="9">
        <v>40</v>
      </c>
      <c r="E528" s="9">
        <v>46</v>
      </c>
      <c r="F528" s="9">
        <v>47</v>
      </c>
      <c r="G528" s="9">
        <v>57</v>
      </c>
      <c r="H528" s="9">
        <v>84</v>
      </c>
      <c r="I528" s="43"/>
      <c r="J528" s="9">
        <v>84</v>
      </c>
      <c r="K528" s="43"/>
      <c r="L528" s="39">
        <v>45472</v>
      </c>
      <c r="M528" s="43"/>
      <c r="N528"/>
      <c r="O528"/>
      <c r="P528"/>
      <c r="Q528"/>
      <c r="R528"/>
      <c r="S528"/>
      <c r="T528"/>
      <c r="U528"/>
      <c r="V528"/>
      <c r="X528" s="43"/>
      <c r="Y528"/>
      <c r="Z528"/>
      <c r="AA528"/>
      <c r="AB528"/>
      <c r="AC528"/>
      <c r="AD528"/>
      <c r="AE528"/>
      <c r="AF528"/>
      <c r="AG528"/>
      <c r="AI528" s="148"/>
      <c r="AJ528" s="1"/>
      <c r="AK528" s="1"/>
      <c r="AL528" s="54"/>
      <c r="AM528" s="1"/>
      <c r="AN528" s="43"/>
      <c r="AO528" s="1"/>
      <c r="AP528" s="1"/>
      <c r="AQ528" s="19"/>
      <c r="AR528" s="54"/>
      <c r="AS528" s="43"/>
      <c r="AT528" s="1"/>
      <c r="AU528" s="1"/>
      <c r="AV528" s="1"/>
      <c r="AW528" s="54"/>
      <c r="AX528" s="57"/>
      <c r="AY528" s="54"/>
      <c r="AZ528" s="54"/>
      <c r="BA528" s="54"/>
      <c r="BB528" s="54"/>
      <c r="BC528" s="57"/>
      <c r="BD528" s="1"/>
      <c r="BE528" s="1"/>
      <c r="BF528" s="1"/>
      <c r="BG528" s="54"/>
      <c r="BH528" s="43"/>
      <c r="BI528"/>
      <c r="BJ528" s="13"/>
      <c r="BK528" s="1"/>
      <c r="BL528"/>
      <c r="BM528"/>
      <c r="BN528"/>
      <c r="DY528" s="43"/>
      <c r="DZ528"/>
      <c r="EA528" s="19"/>
      <c r="EB528" s="19"/>
      <c r="EC528" s="9"/>
      <c r="ED528" s="9"/>
      <c r="EE528" s="9"/>
      <c r="EF528" s="9"/>
      <c r="EG528" s="9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/>
      <c r="FQ528" s="13"/>
      <c r="FR528" s="13"/>
      <c r="FS528" s="13"/>
      <c r="FT528" s="13"/>
      <c r="FU528" s="13"/>
      <c r="FV528" s="13"/>
      <c r="FW528" s="13"/>
      <c r="FX528" s="13"/>
      <c r="FY528" s="13"/>
      <c r="FZ528" s="13"/>
      <c r="GA528" s="13"/>
    </row>
    <row r="529" spans="1:183" s="52" customFormat="1" ht="13.2" x14ac:dyDescent="0.25">
      <c r="A529" s="2"/>
      <c r="B529" s="2"/>
      <c r="C529" s="9">
        <v>18</v>
      </c>
      <c r="D529" s="9">
        <v>33</v>
      </c>
      <c r="E529" s="9">
        <v>38</v>
      </c>
      <c r="F529" s="9">
        <v>48</v>
      </c>
      <c r="G529" s="9">
        <v>52</v>
      </c>
      <c r="H529" s="9">
        <v>75</v>
      </c>
      <c r="I529" s="43"/>
      <c r="J529" s="9">
        <v>75</v>
      </c>
      <c r="K529" s="43"/>
      <c r="L529" s="39">
        <v>45469</v>
      </c>
      <c r="M529" s="43"/>
      <c r="N529"/>
      <c r="O529"/>
      <c r="P529"/>
      <c r="Q529"/>
      <c r="R529"/>
      <c r="S529"/>
      <c r="T529"/>
      <c r="U529"/>
      <c r="V529"/>
      <c r="X529" s="43"/>
      <c r="Y529"/>
      <c r="Z529"/>
      <c r="AA529"/>
      <c r="AB529"/>
      <c r="AC529"/>
      <c r="AD529"/>
      <c r="AE529"/>
      <c r="AF529"/>
      <c r="AG529"/>
      <c r="AI529" s="148"/>
      <c r="AJ529" s="1"/>
      <c r="AK529" s="1"/>
      <c r="AL529" s="54"/>
      <c r="AM529" s="1"/>
      <c r="AN529" s="43"/>
      <c r="AO529" s="1"/>
      <c r="AP529" s="1"/>
      <c r="AQ529" s="19"/>
      <c r="AR529" s="54"/>
      <c r="AS529" s="43"/>
      <c r="AT529" s="1"/>
      <c r="AU529" s="1"/>
      <c r="AV529" s="1"/>
      <c r="AW529" s="54"/>
      <c r="AX529" s="57"/>
      <c r="AY529" s="54"/>
      <c r="AZ529" s="54"/>
      <c r="BA529" s="54"/>
      <c r="BB529" s="54"/>
      <c r="BC529" s="57"/>
      <c r="BD529" s="1"/>
      <c r="BE529" s="1"/>
      <c r="BF529" s="1"/>
      <c r="BG529" s="54"/>
      <c r="BH529" s="43"/>
      <c r="BI529"/>
      <c r="BJ529" s="13"/>
      <c r="BK529" s="1"/>
      <c r="BL529"/>
      <c r="BM529"/>
      <c r="BN529"/>
      <c r="DY529" s="43"/>
      <c r="DZ529"/>
      <c r="EA529" s="19"/>
      <c r="EB529" s="19"/>
      <c r="EC529" s="9"/>
      <c r="ED529" s="9"/>
      <c r="EE529" s="9"/>
      <c r="EF529" s="9"/>
      <c r="EG529" s="9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/>
      <c r="FG529" s="13"/>
      <c r="FH529" s="13"/>
      <c r="FI529" s="13"/>
      <c r="FJ529" s="13"/>
      <c r="FK529" s="13"/>
      <c r="FL529" s="13"/>
      <c r="FM529" s="13"/>
      <c r="FN529" s="13"/>
      <c r="FO529" s="13"/>
      <c r="FP529" s="13"/>
      <c r="FQ529" s="13"/>
      <c r="FR529" s="13"/>
      <c r="FS529" s="13"/>
      <c r="FT529" s="13"/>
      <c r="FU529" s="13"/>
      <c r="FV529" s="13"/>
      <c r="FW529" s="13"/>
      <c r="FX529" s="13"/>
      <c r="FY529" s="13"/>
      <c r="FZ529" s="13"/>
      <c r="GA529" s="13"/>
    </row>
    <row r="530" spans="1:183" s="52" customFormat="1" ht="13.2" x14ac:dyDescent="0.25">
      <c r="A530" s="2"/>
      <c r="B530" s="2"/>
      <c r="C530" s="9">
        <v>18</v>
      </c>
      <c r="D530" s="9">
        <v>26</v>
      </c>
      <c r="E530" s="9">
        <v>44</v>
      </c>
      <c r="F530" s="9">
        <v>63</v>
      </c>
      <c r="G530" s="9">
        <v>64</v>
      </c>
      <c r="H530" s="9">
        <v>72</v>
      </c>
      <c r="I530" s="43"/>
      <c r="J530" s="9">
        <v>72</v>
      </c>
      <c r="K530" s="43"/>
      <c r="L530" s="39">
        <v>45467</v>
      </c>
      <c r="M530" s="43"/>
      <c r="N530"/>
      <c r="O530"/>
      <c r="P530"/>
      <c r="Q530"/>
      <c r="R530"/>
      <c r="S530"/>
      <c r="T530"/>
      <c r="U530"/>
      <c r="V530"/>
      <c r="X530" s="43"/>
      <c r="Y530"/>
      <c r="Z530"/>
      <c r="AA530"/>
      <c r="AB530"/>
      <c r="AC530"/>
      <c r="AD530"/>
      <c r="AE530"/>
      <c r="AF530"/>
      <c r="AG530"/>
      <c r="AI530" s="148"/>
      <c r="AJ530" s="1"/>
      <c r="AK530" s="1"/>
      <c r="AL530" s="54"/>
      <c r="AM530" s="1"/>
      <c r="AN530" s="43"/>
      <c r="AO530" s="1"/>
      <c r="AP530" s="1"/>
      <c r="AQ530" s="19"/>
      <c r="AR530" s="54"/>
      <c r="AS530" s="43"/>
      <c r="AT530" s="1"/>
      <c r="AU530" s="1"/>
      <c r="AV530" s="1"/>
      <c r="AW530" s="54"/>
      <c r="AX530" s="57"/>
      <c r="AY530" s="54"/>
      <c r="AZ530" s="54"/>
      <c r="BA530" s="54"/>
      <c r="BB530" s="54"/>
      <c r="BC530" s="57"/>
      <c r="BD530" s="1"/>
      <c r="BE530" s="1"/>
      <c r="BF530" s="1"/>
      <c r="BG530" s="54"/>
      <c r="BH530" s="43"/>
      <c r="BI530"/>
      <c r="BJ530" s="13"/>
      <c r="BK530" s="1"/>
      <c r="BL530"/>
      <c r="BM530"/>
      <c r="BN530"/>
      <c r="DY530" s="43"/>
      <c r="DZ530"/>
      <c r="EA530" s="19"/>
      <c r="EB530" s="19"/>
      <c r="EC530" s="9"/>
      <c r="ED530" s="9"/>
      <c r="EE530" s="9"/>
      <c r="EF530" s="9"/>
      <c r="EG530" s="9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  <c r="FY530" s="13"/>
      <c r="FZ530" s="13"/>
      <c r="GA530" s="13"/>
    </row>
    <row r="531" spans="1:183" s="52" customFormat="1" ht="13.2" x14ac:dyDescent="0.25">
      <c r="A531" s="2"/>
      <c r="B531" s="2"/>
      <c r="C531" s="9">
        <v>19</v>
      </c>
      <c r="D531" s="9">
        <v>30</v>
      </c>
      <c r="E531" s="9">
        <v>45</v>
      </c>
      <c r="F531" s="9">
        <v>57</v>
      </c>
      <c r="G531" s="9">
        <v>78</v>
      </c>
      <c r="H531" s="9">
        <v>87</v>
      </c>
      <c r="I531" s="43"/>
      <c r="J531" s="9">
        <v>87</v>
      </c>
      <c r="K531" s="43"/>
      <c r="L531" s="39">
        <v>45465</v>
      </c>
      <c r="M531" s="43"/>
      <c r="N531"/>
      <c r="O531"/>
      <c r="P531"/>
      <c r="Q531"/>
      <c r="R531"/>
      <c r="S531"/>
      <c r="T531"/>
      <c r="U531"/>
      <c r="V531"/>
      <c r="X531" s="43"/>
      <c r="Y531"/>
      <c r="Z531"/>
      <c r="AA531"/>
      <c r="AB531"/>
      <c r="AC531"/>
      <c r="AD531"/>
      <c r="AE531"/>
      <c r="AF531"/>
      <c r="AG531"/>
      <c r="AI531" s="148"/>
      <c r="AJ531" s="1"/>
      <c r="AK531" s="1"/>
      <c r="AL531" s="54"/>
      <c r="AM531" s="1"/>
      <c r="AN531" s="43"/>
      <c r="AO531" s="1"/>
      <c r="AP531" s="1"/>
      <c r="AQ531" s="19"/>
      <c r="AR531" s="54"/>
      <c r="AS531" s="43"/>
      <c r="AT531" s="1"/>
      <c r="AU531" s="1"/>
      <c r="AV531" s="1"/>
      <c r="AW531" s="54"/>
      <c r="AX531" s="57"/>
      <c r="AY531" s="54"/>
      <c r="AZ531" s="54"/>
      <c r="BA531" s="54"/>
      <c r="BB531" s="54"/>
      <c r="BC531" s="57"/>
      <c r="BD531" s="1"/>
      <c r="BE531" s="1"/>
      <c r="BF531" s="1"/>
      <c r="BG531" s="54"/>
      <c r="BH531" s="43"/>
      <c r="BI531"/>
      <c r="BJ531" s="13"/>
      <c r="BK531" s="1"/>
      <c r="BL531"/>
      <c r="BM531"/>
      <c r="BN531"/>
      <c r="DY531" s="43"/>
      <c r="DZ531"/>
      <c r="EA531" s="19"/>
      <c r="EB531" s="19"/>
      <c r="EC531" s="9"/>
      <c r="ED531" s="9"/>
      <c r="EE531" s="9"/>
      <c r="EF531" s="9"/>
      <c r="EG531" s="9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  <c r="FT531" s="13"/>
      <c r="FU531" s="13"/>
      <c r="FV531" s="13"/>
      <c r="FW531" s="13"/>
      <c r="FX531" s="13"/>
      <c r="FY531" s="13"/>
      <c r="FZ531" s="13"/>
      <c r="GA531" s="13"/>
    </row>
    <row r="532" spans="1:183" s="52" customFormat="1" ht="13.2" x14ac:dyDescent="0.25">
      <c r="A532" s="2"/>
      <c r="B532" s="2"/>
      <c r="C532" s="9">
        <v>12</v>
      </c>
      <c r="D532" s="9">
        <v>16</v>
      </c>
      <c r="E532" s="9">
        <v>33</v>
      </c>
      <c r="F532" s="9">
        <v>62</v>
      </c>
      <c r="G532" s="9">
        <v>80</v>
      </c>
      <c r="H532" s="9">
        <v>84</v>
      </c>
      <c r="I532" s="43"/>
      <c r="J532" s="9">
        <v>84</v>
      </c>
      <c r="K532" s="43"/>
      <c r="L532" s="39">
        <v>45462</v>
      </c>
      <c r="M532" s="43"/>
      <c r="N532"/>
      <c r="O532"/>
      <c r="P532"/>
      <c r="Q532"/>
      <c r="R532"/>
      <c r="S532"/>
      <c r="T532"/>
      <c r="U532"/>
      <c r="V532"/>
      <c r="X532" s="43"/>
      <c r="Y532"/>
      <c r="Z532"/>
      <c r="AA532"/>
      <c r="AB532"/>
      <c r="AC532"/>
      <c r="AD532"/>
      <c r="AE532"/>
      <c r="AF532"/>
      <c r="AG532"/>
      <c r="AI532" s="148"/>
      <c r="AJ532" s="1"/>
      <c r="AK532" s="1"/>
      <c r="AL532" s="54"/>
      <c r="AM532" s="1"/>
      <c r="AN532" s="43"/>
      <c r="AO532" s="1"/>
      <c r="AP532" s="1"/>
      <c r="AQ532" s="19"/>
      <c r="AR532" s="54"/>
      <c r="AS532" s="43"/>
      <c r="AT532" s="1"/>
      <c r="AU532" s="1"/>
      <c r="AV532" s="1"/>
      <c r="AW532" s="54"/>
      <c r="AX532" s="57"/>
      <c r="AY532" s="54"/>
      <c r="AZ532" s="54"/>
      <c r="BA532" s="54"/>
      <c r="BB532" s="54"/>
      <c r="BC532" s="57"/>
      <c r="BD532" s="1"/>
      <c r="BE532" s="1"/>
      <c r="BF532" s="1"/>
      <c r="BG532" s="54"/>
      <c r="BH532" s="43"/>
      <c r="BI532"/>
      <c r="BJ532" s="13"/>
      <c r="BK532" s="1"/>
      <c r="BL532"/>
      <c r="BM532"/>
      <c r="BN532"/>
      <c r="DY532" s="43"/>
      <c r="DZ532"/>
      <c r="EA532" s="19"/>
      <c r="EB532" s="19"/>
      <c r="EC532" s="9"/>
      <c r="ED532" s="9"/>
      <c r="EE532" s="9"/>
      <c r="EF532" s="9"/>
      <c r="EG532" s="9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  <c r="FT532" s="13"/>
      <c r="FU532" s="13"/>
      <c r="FV532" s="13"/>
      <c r="FW532" s="13"/>
      <c r="FX532" s="13"/>
      <c r="FY532" s="13"/>
      <c r="FZ532" s="13"/>
      <c r="GA532" s="13"/>
    </row>
    <row r="533" spans="1:183" s="52" customFormat="1" ht="13.2" x14ac:dyDescent="0.25">
      <c r="A533" s="2"/>
      <c r="B533" s="2"/>
      <c r="C533" s="9">
        <v>23</v>
      </c>
      <c r="D533" s="9">
        <v>32</v>
      </c>
      <c r="E533" s="9">
        <v>48</v>
      </c>
      <c r="F533" s="9">
        <v>51</v>
      </c>
      <c r="G533" s="9">
        <v>58</v>
      </c>
      <c r="H533" s="9">
        <v>89</v>
      </c>
      <c r="I533" s="43"/>
      <c r="J533" s="9">
        <v>89</v>
      </c>
      <c r="K533" s="43"/>
      <c r="L533" s="39">
        <v>45460</v>
      </c>
      <c r="M533" s="43"/>
      <c r="N533"/>
      <c r="O533"/>
      <c r="P533"/>
      <c r="Q533"/>
      <c r="R533"/>
      <c r="S533"/>
      <c r="T533"/>
      <c r="U533"/>
      <c r="V533"/>
      <c r="X533" s="43"/>
      <c r="Y533"/>
      <c r="Z533"/>
      <c r="AA533"/>
      <c r="AB533"/>
      <c r="AC533"/>
      <c r="AD533"/>
      <c r="AE533"/>
      <c r="AF533"/>
      <c r="AG533"/>
      <c r="AI533" s="148"/>
      <c r="AJ533" s="1"/>
      <c r="AK533" s="1"/>
      <c r="AL533" s="54"/>
      <c r="AM533" s="1"/>
      <c r="AN533" s="43"/>
      <c r="AO533" s="1"/>
      <c r="AP533" s="1"/>
      <c r="AQ533" s="19"/>
      <c r="AR533" s="54"/>
      <c r="AS533" s="43"/>
      <c r="AT533" s="1"/>
      <c r="AU533" s="1"/>
      <c r="AV533" s="1"/>
      <c r="AW533" s="54"/>
      <c r="AX533" s="57"/>
      <c r="AY533" s="54"/>
      <c r="AZ533" s="54"/>
      <c r="BA533" s="54"/>
      <c r="BB533" s="54"/>
      <c r="BC533" s="57"/>
      <c r="BD533" s="1"/>
      <c r="BE533" s="1"/>
      <c r="BF533" s="1"/>
      <c r="BG533" s="54"/>
      <c r="BH533" s="43"/>
      <c r="BI533"/>
      <c r="BJ533" s="13"/>
      <c r="BK533" s="1"/>
      <c r="BL533"/>
      <c r="BM533"/>
      <c r="BN533"/>
      <c r="DY533" s="43"/>
      <c r="DZ533"/>
      <c r="EA533" s="19"/>
      <c r="EB533" s="19"/>
      <c r="EC533" s="9"/>
      <c r="ED533" s="9"/>
      <c r="EE533" s="9"/>
      <c r="EF533" s="9"/>
      <c r="EG533" s="9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  <c r="FT533" s="13"/>
      <c r="FU533" s="13"/>
      <c r="FV533" s="13"/>
      <c r="FW533" s="13"/>
      <c r="FX533" s="13"/>
      <c r="FY533" s="13"/>
      <c r="FZ533" s="13"/>
      <c r="GA533" s="13"/>
    </row>
    <row r="534" spans="1:183" s="52" customFormat="1" ht="13.2" x14ac:dyDescent="0.25">
      <c r="A534" s="2"/>
      <c r="B534" s="2"/>
      <c r="C534" s="9">
        <v>18</v>
      </c>
      <c r="D534" s="9">
        <v>20</v>
      </c>
      <c r="E534" s="9">
        <v>47</v>
      </c>
      <c r="F534" s="9">
        <v>63</v>
      </c>
      <c r="G534" s="9">
        <v>64</v>
      </c>
      <c r="H534" s="9">
        <v>77</v>
      </c>
      <c r="I534" s="43"/>
      <c r="J534" s="9">
        <v>77</v>
      </c>
      <c r="K534" s="43"/>
      <c r="L534" s="39">
        <v>45458</v>
      </c>
      <c r="M534" s="43"/>
      <c r="N534"/>
      <c r="O534"/>
      <c r="P534"/>
      <c r="Q534"/>
      <c r="R534"/>
      <c r="S534"/>
      <c r="T534"/>
      <c r="U534"/>
      <c r="V534"/>
      <c r="X534" s="43"/>
      <c r="Y534"/>
      <c r="Z534"/>
      <c r="AA534"/>
      <c r="AB534"/>
      <c r="AC534"/>
      <c r="AD534"/>
      <c r="AE534"/>
      <c r="AF534"/>
      <c r="AG534"/>
      <c r="AI534" s="148"/>
      <c r="AJ534" s="1"/>
      <c r="AK534" s="1"/>
      <c r="AL534" s="54"/>
      <c r="AM534" s="1"/>
      <c r="AN534" s="43"/>
      <c r="AO534" s="1"/>
      <c r="AP534" s="1"/>
      <c r="AQ534" s="19"/>
      <c r="AR534" s="54"/>
      <c r="AS534" s="43"/>
      <c r="AT534" s="1"/>
      <c r="AU534" s="1"/>
      <c r="AV534" s="1"/>
      <c r="AW534" s="54"/>
      <c r="AX534" s="57"/>
      <c r="AY534" s="54"/>
      <c r="AZ534" s="54"/>
      <c r="BA534" s="54"/>
      <c r="BB534" s="54"/>
      <c r="BC534" s="57"/>
      <c r="BD534" s="1"/>
      <c r="BE534" s="1"/>
      <c r="BF534" s="1"/>
      <c r="BG534" s="54"/>
      <c r="BH534" s="43"/>
      <c r="BI534"/>
      <c r="BJ534" s="13"/>
      <c r="BK534" s="1"/>
      <c r="BL534"/>
      <c r="BM534"/>
      <c r="BN534"/>
      <c r="DY534" s="43"/>
      <c r="DZ534"/>
      <c r="EA534" s="19"/>
      <c r="EB534" s="19"/>
      <c r="EC534" s="9"/>
      <c r="ED534" s="9"/>
      <c r="EE534" s="9"/>
      <c r="EF534" s="9"/>
      <c r="EG534" s="9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  <c r="FT534" s="13"/>
      <c r="FU534" s="13"/>
      <c r="FV534" s="13"/>
      <c r="FW534" s="13"/>
      <c r="FX534" s="13"/>
      <c r="FY534" s="13"/>
      <c r="FZ534" s="13"/>
      <c r="GA534" s="13"/>
    </row>
    <row r="535" spans="1:183" s="52" customFormat="1" ht="13.2" x14ac:dyDescent="0.25">
      <c r="A535" s="2"/>
      <c r="B535" s="2"/>
      <c r="C535" s="9">
        <v>2</v>
      </c>
      <c r="D535" s="9">
        <v>12</v>
      </c>
      <c r="E535" s="9">
        <v>13</v>
      </c>
      <c r="F535" s="9">
        <v>51</v>
      </c>
      <c r="G535" s="9">
        <v>75</v>
      </c>
      <c r="H535" s="9">
        <v>89</v>
      </c>
      <c r="I535" s="43"/>
      <c r="J535" s="9">
        <v>89</v>
      </c>
      <c r="K535" s="43"/>
      <c r="L535" s="39">
        <v>45455</v>
      </c>
      <c r="M535" s="43"/>
      <c r="N535"/>
      <c r="O535"/>
      <c r="P535"/>
      <c r="Q535"/>
      <c r="R535"/>
      <c r="S535"/>
      <c r="T535"/>
      <c r="U535"/>
      <c r="V535"/>
      <c r="X535" s="43"/>
      <c r="Y535"/>
      <c r="Z535"/>
      <c r="AA535"/>
      <c r="AB535"/>
      <c r="AC535"/>
      <c r="AD535"/>
      <c r="AE535"/>
      <c r="AF535"/>
      <c r="AG535"/>
      <c r="AI535" s="148"/>
      <c r="AJ535" s="1"/>
      <c r="AK535" s="1"/>
      <c r="AL535" s="54"/>
      <c r="AM535" s="1"/>
      <c r="AN535" s="43"/>
      <c r="AO535" s="1"/>
      <c r="AP535" s="1"/>
      <c r="AQ535" s="19"/>
      <c r="AR535" s="54"/>
      <c r="AS535" s="43"/>
      <c r="AT535" s="1"/>
      <c r="AU535" s="1"/>
      <c r="AV535" s="1"/>
      <c r="AW535" s="54"/>
      <c r="AX535" s="57"/>
      <c r="AY535" s="54"/>
      <c r="AZ535" s="54"/>
      <c r="BA535" s="54"/>
      <c r="BB535" s="54"/>
      <c r="BC535" s="57"/>
      <c r="BD535" s="1"/>
      <c r="BE535" s="1"/>
      <c r="BF535" s="1"/>
      <c r="BG535" s="54"/>
      <c r="BH535" s="43"/>
      <c r="BI535"/>
      <c r="BJ535" s="13"/>
      <c r="BK535" s="1"/>
      <c r="BL535"/>
      <c r="BM535"/>
      <c r="BN535"/>
      <c r="DY535" s="43"/>
      <c r="DZ535"/>
      <c r="EA535" s="19"/>
      <c r="EB535" s="19"/>
      <c r="EC535" s="9"/>
      <c r="ED535" s="9"/>
      <c r="EE535" s="9"/>
      <c r="EF535" s="9"/>
      <c r="EG535" s="9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  <c r="FT535" s="13"/>
      <c r="FU535" s="13"/>
      <c r="FV535" s="13"/>
      <c r="FW535" s="13"/>
      <c r="FX535" s="13"/>
      <c r="FY535" s="13"/>
      <c r="FZ535" s="13"/>
      <c r="GA535" s="13"/>
    </row>
    <row r="536" spans="1:183" s="52" customFormat="1" ht="13.2" x14ac:dyDescent="0.25">
      <c r="A536" s="2"/>
      <c r="B536" s="2"/>
      <c r="C536" s="9">
        <v>3</v>
      </c>
      <c r="D536" s="9">
        <v>11</v>
      </c>
      <c r="E536" s="9">
        <v>24</v>
      </c>
      <c r="F536" s="9">
        <v>33</v>
      </c>
      <c r="G536" s="9">
        <v>61</v>
      </c>
      <c r="H536" s="9">
        <v>82</v>
      </c>
      <c r="I536" s="43"/>
      <c r="J536" s="9">
        <v>82</v>
      </c>
      <c r="K536" s="43"/>
      <c r="L536" s="39">
        <v>45453</v>
      </c>
      <c r="M536" s="43"/>
      <c r="N536"/>
      <c r="O536"/>
      <c r="P536"/>
      <c r="Q536"/>
      <c r="R536"/>
      <c r="S536"/>
      <c r="T536"/>
      <c r="U536"/>
      <c r="V536"/>
      <c r="X536" s="43"/>
      <c r="Y536"/>
      <c r="Z536"/>
      <c r="AA536"/>
      <c r="AB536"/>
      <c r="AC536"/>
      <c r="AD536"/>
      <c r="AE536"/>
      <c r="AF536"/>
      <c r="AG536"/>
      <c r="AI536" s="148"/>
      <c r="AJ536" s="1"/>
      <c r="AK536" s="1"/>
      <c r="AL536" s="54"/>
      <c r="AM536" s="1"/>
      <c r="AN536" s="43"/>
      <c r="AO536" s="1"/>
      <c r="AP536" s="1"/>
      <c r="AQ536" s="19"/>
      <c r="AR536" s="54"/>
      <c r="AS536" s="43"/>
      <c r="AT536" s="1"/>
      <c r="AU536" s="1"/>
      <c r="AV536" s="1"/>
      <c r="AW536" s="54"/>
      <c r="AX536" s="57"/>
      <c r="AY536" s="54"/>
      <c r="AZ536" s="54"/>
      <c r="BA536" s="54"/>
      <c r="BB536" s="54"/>
      <c r="BC536" s="57"/>
      <c r="BD536" s="1"/>
      <c r="BE536" s="1"/>
      <c r="BF536" s="1"/>
      <c r="BG536" s="54"/>
      <c r="BH536" s="43"/>
      <c r="BI536"/>
      <c r="BJ536" s="13"/>
      <c r="BK536" s="1"/>
      <c r="BL536"/>
      <c r="BM536"/>
      <c r="BN536"/>
      <c r="DY536" s="43"/>
      <c r="DZ536"/>
      <c r="EA536" s="19"/>
      <c r="EB536" s="19"/>
      <c r="EC536" s="9"/>
      <c r="ED536" s="9"/>
      <c r="EE536" s="9"/>
      <c r="EF536" s="9"/>
      <c r="EG536" s="9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3"/>
      <c r="FJ536" s="13"/>
      <c r="FK536" s="13"/>
      <c r="FL536" s="13"/>
      <c r="FM536" s="13"/>
      <c r="FN536" s="13"/>
      <c r="FO536" s="13"/>
      <c r="FP536" s="13"/>
      <c r="FQ536" s="13"/>
      <c r="FR536" s="13"/>
      <c r="FS536" s="13"/>
      <c r="FT536" s="13"/>
      <c r="FU536" s="13"/>
      <c r="FV536" s="13"/>
      <c r="FW536" s="13"/>
      <c r="FX536" s="13"/>
      <c r="FY536" s="13"/>
      <c r="FZ536" s="13"/>
      <c r="GA536" s="13"/>
    </row>
    <row r="537" spans="1:183" s="52" customFormat="1" ht="13.2" x14ac:dyDescent="0.25">
      <c r="A537" s="2"/>
      <c r="B537" s="2"/>
      <c r="C537" s="9">
        <v>6</v>
      </c>
      <c r="D537" s="9">
        <v>7</v>
      </c>
      <c r="E537" s="9">
        <v>24</v>
      </c>
      <c r="F537" s="9">
        <v>33</v>
      </c>
      <c r="G537" s="9">
        <v>35</v>
      </c>
      <c r="H537" s="9">
        <v>96</v>
      </c>
      <c r="I537" s="43"/>
      <c r="J537" s="9">
        <v>96</v>
      </c>
      <c r="K537" s="43"/>
      <c r="L537" s="39">
        <v>45451</v>
      </c>
      <c r="M537" s="43"/>
      <c r="N537"/>
      <c r="O537"/>
      <c r="P537"/>
      <c r="Q537"/>
      <c r="R537"/>
      <c r="S537"/>
      <c r="T537"/>
      <c r="U537"/>
      <c r="V537"/>
      <c r="X537" s="43"/>
      <c r="Y537"/>
      <c r="Z537"/>
      <c r="AA537"/>
      <c r="AB537"/>
      <c r="AC537"/>
      <c r="AD537"/>
      <c r="AE537"/>
      <c r="AF537"/>
      <c r="AG537"/>
      <c r="AI537" s="148"/>
      <c r="AJ537" s="1"/>
      <c r="AK537" s="1"/>
      <c r="AL537" s="54"/>
      <c r="AM537" s="1"/>
      <c r="AN537" s="43"/>
      <c r="AO537" s="1"/>
      <c r="AP537" s="1"/>
      <c r="AQ537" s="19"/>
      <c r="AR537" s="54"/>
      <c r="AS537" s="43"/>
      <c r="AT537" s="1"/>
      <c r="AU537" s="1"/>
      <c r="AV537" s="1"/>
      <c r="AW537" s="54"/>
      <c r="AX537" s="57"/>
      <c r="AY537" s="54"/>
      <c r="AZ537" s="54"/>
      <c r="BA537" s="54"/>
      <c r="BB537" s="54"/>
      <c r="BC537" s="57"/>
      <c r="BD537" s="1"/>
      <c r="BE537" s="1"/>
      <c r="BF537" s="1"/>
      <c r="BG537" s="54"/>
      <c r="BH537" s="43"/>
      <c r="BI537"/>
      <c r="BJ537" s="13"/>
      <c r="BK537" s="1"/>
      <c r="BL537"/>
      <c r="BM537"/>
      <c r="BN537"/>
      <c r="DY537" s="43"/>
      <c r="DZ537"/>
      <c r="EA537" s="19"/>
      <c r="EB537" s="19"/>
      <c r="EC537" s="9"/>
      <c r="ED537" s="9"/>
      <c r="EE537" s="9"/>
      <c r="EF537" s="9"/>
      <c r="EG537" s="9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  <c r="FT537" s="13"/>
      <c r="FU537" s="13"/>
      <c r="FV537" s="13"/>
      <c r="FW537" s="13"/>
      <c r="FX537" s="13"/>
      <c r="FY537" s="13"/>
      <c r="FZ537" s="13"/>
      <c r="GA537" s="13"/>
    </row>
    <row r="538" spans="1:183" s="52" customFormat="1" ht="13.2" x14ac:dyDescent="0.25">
      <c r="A538" s="2"/>
      <c r="B538" s="2"/>
      <c r="C538" s="9">
        <v>12</v>
      </c>
      <c r="D538" s="9">
        <v>16</v>
      </c>
      <c r="E538" s="9">
        <v>45</v>
      </c>
      <c r="F538" s="9">
        <v>55</v>
      </c>
      <c r="G538" s="9">
        <v>88</v>
      </c>
      <c r="H538" s="9">
        <v>90</v>
      </c>
      <c r="I538" s="43"/>
      <c r="J538" s="9">
        <v>90</v>
      </c>
      <c r="K538" s="43"/>
      <c r="L538" s="39">
        <v>45448</v>
      </c>
      <c r="M538" s="43"/>
      <c r="N538"/>
      <c r="O538"/>
      <c r="P538"/>
      <c r="Q538"/>
      <c r="R538"/>
      <c r="S538"/>
      <c r="T538"/>
      <c r="U538"/>
      <c r="V538"/>
      <c r="X538" s="43"/>
      <c r="Y538"/>
      <c r="Z538"/>
      <c r="AA538"/>
      <c r="AB538"/>
      <c r="AC538"/>
      <c r="AD538"/>
      <c r="AE538"/>
      <c r="AF538"/>
      <c r="AG538"/>
      <c r="AI538" s="148"/>
      <c r="AJ538" s="1"/>
      <c r="AK538" s="1"/>
      <c r="AL538" s="54"/>
      <c r="AM538" s="1"/>
      <c r="AN538" s="43"/>
      <c r="AO538" s="1"/>
      <c r="AP538" s="1"/>
      <c r="AQ538" s="19"/>
      <c r="AR538" s="54"/>
      <c r="AS538" s="43"/>
      <c r="AT538" s="1"/>
      <c r="AU538" s="1"/>
      <c r="AV538" s="1"/>
      <c r="AW538" s="54"/>
      <c r="AX538" s="57"/>
      <c r="AY538" s="54"/>
      <c r="AZ538" s="54"/>
      <c r="BA538" s="54"/>
      <c r="BB538" s="54"/>
      <c r="BC538" s="57"/>
      <c r="BD538" s="1"/>
      <c r="BE538" s="1"/>
      <c r="BF538" s="1"/>
      <c r="BG538" s="54"/>
      <c r="BH538" s="43"/>
      <c r="BI538"/>
      <c r="BJ538" s="13"/>
      <c r="BK538" s="1"/>
      <c r="BL538"/>
      <c r="BM538"/>
      <c r="BN538"/>
      <c r="DY538" s="43"/>
      <c r="DZ538"/>
      <c r="EA538" s="19"/>
      <c r="EB538" s="19"/>
      <c r="EC538" s="9"/>
      <c r="ED538" s="9"/>
      <c r="EE538" s="9"/>
      <c r="EF538" s="9"/>
      <c r="EG538" s="9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3"/>
      <c r="FJ538" s="13"/>
      <c r="FK538" s="13"/>
      <c r="FL538" s="13"/>
      <c r="FM538" s="13"/>
      <c r="FN538" s="13"/>
      <c r="FO538" s="13"/>
      <c r="FP538" s="13"/>
      <c r="FQ538" s="13"/>
      <c r="FR538" s="13"/>
      <c r="FS538" s="13"/>
      <c r="FT538" s="13"/>
      <c r="FU538" s="13"/>
      <c r="FV538" s="13"/>
      <c r="FW538" s="13"/>
      <c r="FX538" s="13"/>
      <c r="FY538" s="13"/>
      <c r="FZ538" s="13"/>
      <c r="GA538" s="13"/>
    </row>
    <row r="539" spans="1:183" s="52" customFormat="1" ht="13.2" x14ac:dyDescent="0.25">
      <c r="A539" s="2"/>
      <c r="B539" s="2"/>
      <c r="C539" s="9">
        <v>6</v>
      </c>
      <c r="D539" s="9">
        <v>34</v>
      </c>
      <c r="E539" s="9">
        <v>49</v>
      </c>
      <c r="F539" s="9">
        <v>61</v>
      </c>
      <c r="G539" s="9">
        <v>69</v>
      </c>
      <c r="H539" s="9">
        <v>86</v>
      </c>
      <c r="I539" s="43"/>
      <c r="J539" s="9">
        <v>86</v>
      </c>
      <c r="K539" s="43"/>
      <c r="L539" s="39">
        <v>45446</v>
      </c>
      <c r="M539" s="43"/>
      <c r="N539"/>
      <c r="O539"/>
      <c r="P539"/>
      <c r="Q539"/>
      <c r="R539"/>
      <c r="S539"/>
      <c r="T539"/>
      <c r="U539"/>
      <c r="V539"/>
      <c r="X539" s="43"/>
      <c r="Y539"/>
      <c r="Z539"/>
      <c r="AA539"/>
      <c r="AB539"/>
      <c r="AC539"/>
      <c r="AD539"/>
      <c r="AE539"/>
      <c r="AF539"/>
      <c r="AG539"/>
      <c r="AI539" s="148"/>
      <c r="AJ539" s="1"/>
      <c r="AK539" s="1"/>
      <c r="AL539" s="54"/>
      <c r="AM539" s="1"/>
      <c r="AN539" s="43"/>
      <c r="AO539" s="1"/>
      <c r="AP539" s="1"/>
      <c r="AQ539" s="19"/>
      <c r="AR539" s="54"/>
      <c r="AS539" s="43"/>
      <c r="AT539" s="1"/>
      <c r="AU539" s="1"/>
      <c r="AV539" s="1"/>
      <c r="AW539" s="54"/>
      <c r="AX539" s="57"/>
      <c r="AY539" s="54"/>
      <c r="AZ539" s="54"/>
      <c r="BA539" s="54"/>
      <c r="BB539" s="54"/>
      <c r="BC539" s="57"/>
      <c r="BD539" s="1"/>
      <c r="BE539" s="1"/>
      <c r="BF539" s="1"/>
      <c r="BG539" s="54"/>
      <c r="BH539" s="43"/>
      <c r="BI539"/>
      <c r="BJ539" s="13"/>
      <c r="BK539" s="1"/>
      <c r="BL539"/>
      <c r="BM539"/>
      <c r="BN539"/>
      <c r="DY539" s="43"/>
      <c r="DZ539"/>
      <c r="EA539" s="19"/>
      <c r="EB539" s="19"/>
      <c r="EC539" s="9"/>
      <c r="ED539" s="9"/>
      <c r="EE539" s="9"/>
      <c r="EF539" s="9"/>
      <c r="EG539" s="9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  <c r="FI539" s="13"/>
      <c r="FJ539" s="13"/>
      <c r="FK539" s="13"/>
      <c r="FL539" s="13"/>
      <c r="FM539" s="13"/>
      <c r="FN539" s="13"/>
      <c r="FO539" s="13"/>
      <c r="FP539" s="13"/>
      <c r="FQ539" s="13"/>
      <c r="FR539" s="13"/>
      <c r="FS539" s="13"/>
      <c r="FT539" s="13"/>
      <c r="FU539" s="13"/>
      <c r="FV539" s="13"/>
      <c r="FW539" s="13"/>
      <c r="FX539" s="13"/>
      <c r="FY539" s="13"/>
      <c r="FZ539" s="13"/>
      <c r="GA539" s="13"/>
    </row>
    <row r="540" spans="1:183" s="52" customFormat="1" ht="13.2" x14ac:dyDescent="0.25">
      <c r="A540" s="2"/>
      <c r="B540" s="2"/>
      <c r="C540" s="9">
        <v>6</v>
      </c>
      <c r="D540" s="9">
        <v>34</v>
      </c>
      <c r="E540" s="9">
        <v>55</v>
      </c>
      <c r="F540" s="9">
        <v>65</v>
      </c>
      <c r="G540" s="9">
        <v>74</v>
      </c>
      <c r="H540" s="9">
        <v>86</v>
      </c>
      <c r="I540" s="43"/>
      <c r="J540" s="9">
        <v>86</v>
      </c>
      <c r="K540" s="43"/>
      <c r="L540" s="39">
        <v>45444</v>
      </c>
      <c r="M540" s="43"/>
      <c r="N540"/>
      <c r="O540"/>
      <c r="P540"/>
      <c r="Q540"/>
      <c r="R540"/>
      <c r="S540"/>
      <c r="T540"/>
      <c r="U540"/>
      <c r="V540"/>
      <c r="X540" s="43"/>
      <c r="Y540"/>
      <c r="Z540"/>
      <c r="AA540"/>
      <c r="AB540"/>
      <c r="AC540"/>
      <c r="AD540"/>
      <c r="AE540"/>
      <c r="AF540"/>
      <c r="AG540"/>
      <c r="AI540" s="148"/>
      <c r="AJ540" s="1"/>
      <c r="AK540" s="1"/>
      <c r="AL540" s="54"/>
      <c r="AM540" s="1"/>
      <c r="AN540" s="43"/>
      <c r="AO540" s="1"/>
      <c r="AP540" s="1"/>
      <c r="AQ540" s="19"/>
      <c r="AR540" s="54"/>
      <c r="AS540" s="43"/>
      <c r="AT540" s="1"/>
      <c r="AU540" s="1"/>
      <c r="AV540" s="1"/>
      <c r="AW540" s="54"/>
      <c r="AX540" s="57"/>
      <c r="AY540" s="54"/>
      <c r="AZ540" s="54"/>
      <c r="BA540" s="54"/>
      <c r="BB540" s="54"/>
      <c r="BC540" s="57"/>
      <c r="BD540" s="1"/>
      <c r="BE540" s="1"/>
      <c r="BF540" s="1"/>
      <c r="BG540" s="54"/>
      <c r="BH540" s="43"/>
      <c r="BI540"/>
      <c r="BJ540" s="13"/>
      <c r="BK540" s="1"/>
      <c r="BL540"/>
      <c r="BM540"/>
      <c r="BN540"/>
      <c r="DY540" s="43"/>
      <c r="DZ540"/>
      <c r="EA540" s="19"/>
      <c r="EB540" s="19"/>
      <c r="EC540" s="9"/>
      <c r="ED540" s="9"/>
      <c r="EE540" s="9"/>
      <c r="EF540" s="9"/>
      <c r="EG540" s="9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3"/>
      <c r="FJ540" s="13"/>
      <c r="FK540" s="13"/>
      <c r="FL540" s="13"/>
      <c r="FM540" s="13"/>
      <c r="FN540" s="13"/>
      <c r="FO540" s="13"/>
      <c r="FP540" s="13"/>
      <c r="FQ540" s="13"/>
      <c r="FR540" s="13"/>
      <c r="FS540" s="13"/>
      <c r="FT540" s="13"/>
      <c r="FU540" s="13"/>
      <c r="FV540" s="13"/>
      <c r="FW540" s="13"/>
      <c r="FX540" s="13"/>
      <c r="FY540" s="13"/>
      <c r="FZ540" s="13"/>
      <c r="GA540" s="13"/>
    </row>
    <row r="541" spans="1:183" s="52" customFormat="1" ht="13.2" x14ac:dyDescent="0.25">
      <c r="A541" s="2"/>
      <c r="B541" s="2"/>
      <c r="C541" s="9">
        <v>23</v>
      </c>
      <c r="D541" s="9">
        <v>28</v>
      </c>
      <c r="E541" s="9">
        <v>44</v>
      </c>
      <c r="F541" s="9">
        <v>58</v>
      </c>
      <c r="G541" s="9">
        <v>69</v>
      </c>
      <c r="H541" s="9">
        <v>78</v>
      </c>
      <c r="I541" s="43"/>
      <c r="J541" s="9">
        <v>78</v>
      </c>
      <c r="K541" s="43"/>
      <c r="L541" s="39">
        <v>45441</v>
      </c>
      <c r="M541" s="43"/>
      <c r="N541"/>
      <c r="O541"/>
      <c r="P541"/>
      <c r="Q541"/>
      <c r="R541"/>
      <c r="S541"/>
      <c r="T541"/>
      <c r="U541"/>
      <c r="V541"/>
      <c r="X541" s="43"/>
      <c r="Y541"/>
      <c r="Z541"/>
      <c r="AA541"/>
      <c r="AB541"/>
      <c r="AC541"/>
      <c r="AD541"/>
      <c r="AE541"/>
      <c r="AF541"/>
      <c r="AG541"/>
      <c r="AI541" s="148"/>
      <c r="AJ541" s="1"/>
      <c r="AK541" s="1"/>
      <c r="AL541" s="54"/>
      <c r="AM541" s="1"/>
      <c r="AN541" s="43"/>
      <c r="AO541" s="1"/>
      <c r="AP541" s="1"/>
      <c r="AQ541" s="19"/>
      <c r="AR541" s="54"/>
      <c r="AS541" s="43"/>
      <c r="AT541" s="1"/>
      <c r="AU541" s="1"/>
      <c r="AV541" s="1"/>
      <c r="AW541" s="54"/>
      <c r="AX541" s="57"/>
      <c r="AY541" s="54"/>
      <c r="AZ541" s="54"/>
      <c r="BA541" s="54"/>
      <c r="BB541" s="54"/>
      <c r="BC541" s="57"/>
      <c r="BD541" s="1"/>
      <c r="BE541" s="1"/>
      <c r="BF541" s="1"/>
      <c r="BG541" s="54"/>
      <c r="BH541" s="43"/>
      <c r="BI541"/>
      <c r="BJ541" s="13"/>
      <c r="BK541" s="1"/>
      <c r="BL541"/>
      <c r="BM541"/>
      <c r="BN541"/>
      <c r="DY541" s="43"/>
      <c r="DZ541"/>
      <c r="EA541" s="19"/>
      <c r="EB541" s="19"/>
      <c r="EC541" s="9"/>
      <c r="ED541" s="9"/>
      <c r="EE541" s="9"/>
      <c r="EF541" s="9"/>
      <c r="EG541" s="9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3"/>
      <c r="FJ541" s="13"/>
      <c r="FK541" s="13"/>
      <c r="FL541" s="13"/>
      <c r="FM541" s="13"/>
      <c r="FN541" s="13"/>
      <c r="FO541" s="13"/>
      <c r="FP541" s="13"/>
      <c r="FQ541" s="13"/>
      <c r="FR541" s="13"/>
      <c r="FS541" s="13"/>
      <c r="FT541" s="13"/>
      <c r="FU541" s="13"/>
      <c r="FV541" s="13"/>
      <c r="FW541" s="13"/>
      <c r="FX541" s="13"/>
      <c r="FY541" s="13"/>
      <c r="FZ541" s="13"/>
      <c r="GA541" s="13"/>
    </row>
    <row r="542" spans="1:183" s="52" customFormat="1" ht="13.2" x14ac:dyDescent="0.25">
      <c r="A542" s="2"/>
      <c r="B542" s="2"/>
      <c r="C542" s="9">
        <v>18</v>
      </c>
      <c r="D542" s="9">
        <v>28</v>
      </c>
      <c r="E542" s="9">
        <v>38</v>
      </c>
      <c r="F542" s="9">
        <v>41</v>
      </c>
      <c r="G542" s="9">
        <v>43</v>
      </c>
      <c r="H542" s="9">
        <v>73</v>
      </c>
      <c r="I542" s="43"/>
      <c r="J542" s="9">
        <v>73</v>
      </c>
      <c r="K542" s="43"/>
      <c r="L542" s="39">
        <v>45439</v>
      </c>
      <c r="M542" s="43"/>
      <c r="N542"/>
      <c r="O542"/>
      <c r="P542"/>
      <c r="Q542"/>
      <c r="R542"/>
      <c r="S542"/>
      <c r="T542"/>
      <c r="U542"/>
      <c r="V542"/>
      <c r="X542" s="43"/>
      <c r="Y542"/>
      <c r="Z542"/>
      <c r="AA542"/>
      <c r="AB542"/>
      <c r="AC542"/>
      <c r="AD542"/>
      <c r="AE542"/>
      <c r="AF542"/>
      <c r="AG542"/>
      <c r="AI542" s="148"/>
      <c r="AJ542" s="1"/>
      <c r="AK542" s="1"/>
      <c r="AL542" s="54"/>
      <c r="AM542" s="1"/>
      <c r="AN542" s="43"/>
      <c r="AO542" s="1"/>
      <c r="AP542" s="1"/>
      <c r="AQ542" s="19"/>
      <c r="AR542" s="54"/>
      <c r="AS542" s="43"/>
      <c r="AT542" s="1"/>
      <c r="AU542" s="1"/>
      <c r="AV542" s="1"/>
      <c r="AW542" s="54"/>
      <c r="AX542" s="57"/>
      <c r="AY542" s="54"/>
      <c r="AZ542" s="54"/>
      <c r="BA542" s="54"/>
      <c r="BB542" s="54"/>
      <c r="BC542" s="57"/>
      <c r="BD542" s="1"/>
      <c r="BE542" s="1"/>
      <c r="BF542" s="1"/>
      <c r="BG542" s="54"/>
      <c r="BH542" s="43"/>
      <c r="BI542"/>
      <c r="BJ542" s="13"/>
      <c r="BK542" s="1"/>
      <c r="BL542"/>
      <c r="BM542"/>
      <c r="BN542"/>
      <c r="DY542" s="43"/>
      <c r="DZ542"/>
      <c r="EA542" s="19"/>
      <c r="EB542" s="19"/>
      <c r="EC542" s="9"/>
      <c r="ED542" s="9"/>
      <c r="EE542" s="9"/>
      <c r="EF542" s="9"/>
      <c r="EG542" s="9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3"/>
      <c r="FJ542" s="13"/>
      <c r="FK542" s="13"/>
      <c r="FL542" s="13"/>
      <c r="FM542" s="13"/>
      <c r="FN542" s="13"/>
      <c r="FO542" s="13"/>
      <c r="FP542" s="13"/>
      <c r="FQ542" s="13"/>
      <c r="FR542" s="13"/>
      <c r="FS542" s="13"/>
      <c r="FT542" s="13"/>
      <c r="FU542" s="13"/>
      <c r="FV542" s="13"/>
      <c r="FW542" s="13"/>
      <c r="FX542" s="13"/>
      <c r="FY542" s="13"/>
      <c r="FZ542" s="13"/>
      <c r="GA542" s="13"/>
    </row>
    <row r="543" spans="1:183" s="52" customFormat="1" ht="13.2" x14ac:dyDescent="0.25">
      <c r="A543" s="2"/>
      <c r="B543" s="2"/>
      <c r="C543" s="9">
        <v>19</v>
      </c>
      <c r="D543" s="9">
        <v>28</v>
      </c>
      <c r="E543" s="9">
        <v>44</v>
      </c>
      <c r="F543" s="9">
        <v>62</v>
      </c>
      <c r="G543" s="9">
        <v>73</v>
      </c>
      <c r="H543" s="9">
        <v>81</v>
      </c>
      <c r="I543" s="43"/>
      <c r="J543" s="9">
        <v>81</v>
      </c>
      <c r="K543" s="43"/>
      <c r="L543" s="39">
        <v>45437</v>
      </c>
      <c r="M543" s="43"/>
      <c r="N543"/>
      <c r="O543"/>
      <c r="P543"/>
      <c r="Q543"/>
      <c r="R543"/>
      <c r="S543"/>
      <c r="T543"/>
      <c r="U543"/>
      <c r="V543"/>
      <c r="X543" s="43"/>
      <c r="Y543"/>
      <c r="Z543"/>
      <c r="AA543"/>
      <c r="AB543"/>
      <c r="AC543"/>
      <c r="AD543"/>
      <c r="AE543"/>
      <c r="AF543"/>
      <c r="AG543"/>
      <c r="AI543" s="148"/>
      <c r="AJ543" s="1"/>
      <c r="AK543" s="1"/>
      <c r="AL543" s="54"/>
      <c r="AM543" s="1"/>
      <c r="AN543" s="43"/>
      <c r="AO543" s="1"/>
      <c r="AP543" s="1"/>
      <c r="AQ543" s="19"/>
      <c r="AR543" s="54"/>
      <c r="AS543" s="43"/>
      <c r="AT543" s="1"/>
      <c r="AU543" s="1"/>
      <c r="AV543" s="1"/>
      <c r="AW543" s="54"/>
      <c r="AX543" s="57"/>
      <c r="AY543" s="54"/>
      <c r="AZ543" s="54"/>
      <c r="BA543" s="54"/>
      <c r="BB543" s="54"/>
      <c r="BC543" s="57"/>
      <c r="BD543" s="1"/>
      <c r="BE543" s="1"/>
      <c r="BF543" s="1"/>
      <c r="BG543" s="54"/>
      <c r="BH543" s="43"/>
      <c r="BI543"/>
      <c r="BJ543" s="13"/>
      <c r="BK543" s="1"/>
      <c r="BL543"/>
      <c r="BM543"/>
      <c r="BN543"/>
      <c r="DY543" s="43"/>
      <c r="DZ543"/>
      <c r="EA543" s="19"/>
      <c r="EB543" s="19"/>
      <c r="EC543" s="9"/>
      <c r="ED543" s="9"/>
      <c r="EE543" s="9"/>
      <c r="EF543" s="9"/>
      <c r="EG543" s="9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  <c r="FT543" s="13"/>
      <c r="FU543" s="13"/>
      <c r="FV543" s="13"/>
      <c r="FW543" s="13"/>
      <c r="FX543" s="13"/>
      <c r="FY543" s="13"/>
      <c r="FZ543" s="13"/>
      <c r="GA543" s="13"/>
    </row>
    <row r="544" spans="1:183" s="52" customFormat="1" ht="13.2" x14ac:dyDescent="0.25">
      <c r="A544" s="2"/>
      <c r="B544" s="2"/>
      <c r="C544" s="9">
        <v>13</v>
      </c>
      <c r="D544" s="9">
        <v>26</v>
      </c>
      <c r="E544" s="9">
        <v>30</v>
      </c>
      <c r="F544" s="9">
        <v>34</v>
      </c>
      <c r="G544" s="9">
        <v>37</v>
      </c>
      <c r="H544" s="9">
        <v>56</v>
      </c>
      <c r="I544" s="43"/>
      <c r="J544" s="9">
        <v>56</v>
      </c>
      <c r="K544" s="43"/>
      <c r="L544" s="39">
        <v>45434</v>
      </c>
      <c r="M544" s="43"/>
      <c r="N544"/>
      <c r="O544"/>
      <c r="P544"/>
      <c r="Q544"/>
      <c r="R544"/>
      <c r="S544"/>
      <c r="T544"/>
      <c r="U544"/>
      <c r="V544"/>
      <c r="X544" s="43"/>
      <c r="Y544"/>
      <c r="Z544"/>
      <c r="AA544"/>
      <c r="AB544"/>
      <c r="AC544"/>
      <c r="AD544"/>
      <c r="AE544"/>
      <c r="AF544"/>
      <c r="AG544"/>
      <c r="AI544" s="148"/>
      <c r="AJ544" s="1"/>
      <c r="AK544" s="1"/>
      <c r="AL544" s="54"/>
      <c r="AM544" s="1"/>
      <c r="AN544" s="43"/>
      <c r="AO544" s="1"/>
      <c r="AP544" s="1"/>
      <c r="AQ544" s="19"/>
      <c r="AR544" s="54"/>
      <c r="AS544" s="43"/>
      <c r="AT544" s="1"/>
      <c r="AU544" s="1"/>
      <c r="AV544" s="1"/>
      <c r="AW544" s="54"/>
      <c r="AX544" s="57"/>
      <c r="AY544" s="54"/>
      <c r="AZ544" s="54"/>
      <c r="BA544" s="54"/>
      <c r="BB544" s="54"/>
      <c r="BC544" s="57"/>
      <c r="BD544" s="1"/>
      <c r="BE544" s="1"/>
      <c r="BF544" s="1"/>
      <c r="BG544" s="54"/>
      <c r="BH544" s="43"/>
      <c r="BI544"/>
      <c r="BJ544" s="13"/>
      <c r="BK544" s="1"/>
      <c r="BL544"/>
      <c r="BM544"/>
      <c r="BN544"/>
      <c r="DY544" s="43"/>
      <c r="DZ544"/>
      <c r="EA544" s="19"/>
      <c r="EB544" s="19"/>
      <c r="EC544" s="9"/>
      <c r="ED544" s="9"/>
      <c r="EE544" s="9"/>
      <c r="EF544" s="9"/>
      <c r="EG544" s="9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  <c r="FU544" s="13"/>
      <c r="FV544" s="13"/>
      <c r="FW544" s="13"/>
      <c r="FX544" s="13"/>
      <c r="FY544" s="13"/>
      <c r="FZ544" s="13"/>
      <c r="GA544" s="13"/>
    </row>
    <row r="545" spans="1:183" s="52" customFormat="1" ht="13.2" x14ac:dyDescent="0.25">
      <c r="A545" s="2"/>
      <c r="B545" s="2"/>
      <c r="C545" s="9">
        <v>6</v>
      </c>
      <c r="D545" s="9">
        <v>7</v>
      </c>
      <c r="E545" s="9">
        <v>24</v>
      </c>
      <c r="F545" s="9">
        <v>51</v>
      </c>
      <c r="G545" s="9">
        <v>52</v>
      </c>
      <c r="H545" s="9">
        <v>86</v>
      </c>
      <c r="I545" s="43"/>
      <c r="J545" s="9">
        <v>86</v>
      </c>
      <c r="K545" s="43"/>
      <c r="L545" s="39">
        <v>45432</v>
      </c>
      <c r="M545" s="43"/>
      <c r="N545"/>
      <c r="O545"/>
      <c r="P545"/>
      <c r="Q545"/>
      <c r="R545"/>
      <c r="S545"/>
      <c r="T545"/>
      <c r="U545"/>
      <c r="V545"/>
      <c r="X545" s="43"/>
      <c r="Y545"/>
      <c r="Z545"/>
      <c r="AA545"/>
      <c r="AB545"/>
      <c r="AC545"/>
      <c r="AD545"/>
      <c r="AE545"/>
      <c r="AF545"/>
      <c r="AG545"/>
      <c r="AI545" s="148"/>
      <c r="AJ545" s="1"/>
      <c r="AK545" s="1"/>
      <c r="AL545" s="54"/>
      <c r="AM545" s="1"/>
      <c r="AN545" s="43"/>
      <c r="AO545" s="1"/>
      <c r="AP545" s="1"/>
      <c r="AQ545" s="19"/>
      <c r="AR545" s="54"/>
      <c r="AS545" s="43"/>
      <c r="AT545" s="1"/>
      <c r="AU545" s="1"/>
      <c r="AV545" s="1"/>
      <c r="AW545" s="54"/>
      <c r="AX545" s="57"/>
      <c r="AY545" s="54"/>
      <c r="AZ545" s="54"/>
      <c r="BA545" s="54"/>
      <c r="BB545" s="54"/>
      <c r="BC545" s="57"/>
      <c r="BD545" s="1"/>
      <c r="BE545" s="1"/>
      <c r="BF545" s="1"/>
      <c r="BG545" s="54"/>
      <c r="BH545" s="43"/>
      <c r="BI545"/>
      <c r="BJ545" s="13"/>
      <c r="BK545" s="1"/>
      <c r="BL545"/>
      <c r="BM545"/>
      <c r="BN545"/>
      <c r="DY545" s="43"/>
      <c r="DZ545"/>
      <c r="EA545" s="19"/>
      <c r="EB545" s="19"/>
      <c r="EC545" s="9"/>
      <c r="ED545" s="9"/>
      <c r="EE545" s="9"/>
      <c r="EF545" s="9"/>
      <c r="EG545" s="9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  <c r="FU545" s="13"/>
      <c r="FV545" s="13"/>
      <c r="FW545" s="13"/>
      <c r="FX545" s="13"/>
      <c r="FY545" s="13"/>
      <c r="FZ545" s="13"/>
      <c r="GA545" s="13"/>
    </row>
    <row r="546" spans="1:183" s="52" customFormat="1" ht="13.2" x14ac:dyDescent="0.25">
      <c r="A546" s="2"/>
      <c r="B546" s="2"/>
      <c r="C546" s="9">
        <v>30</v>
      </c>
      <c r="D546" s="9">
        <v>42</v>
      </c>
      <c r="E546" s="9">
        <v>53</v>
      </c>
      <c r="F546" s="9">
        <v>65</v>
      </c>
      <c r="G546" s="9">
        <v>79</v>
      </c>
      <c r="H546" s="9">
        <v>80</v>
      </c>
      <c r="I546" s="43"/>
      <c r="J546" s="9">
        <v>80</v>
      </c>
      <c r="K546" s="43"/>
      <c r="L546" s="39">
        <v>45430</v>
      </c>
      <c r="M546" s="43"/>
      <c r="N546"/>
      <c r="O546"/>
      <c r="P546"/>
      <c r="Q546"/>
      <c r="R546"/>
      <c r="S546"/>
      <c r="T546"/>
      <c r="U546"/>
      <c r="V546"/>
      <c r="X546" s="43"/>
      <c r="Y546"/>
      <c r="Z546"/>
      <c r="AA546"/>
      <c r="AB546"/>
      <c r="AC546"/>
      <c r="AD546"/>
      <c r="AE546"/>
      <c r="AF546"/>
      <c r="AG546"/>
      <c r="AI546" s="148"/>
      <c r="AJ546" s="1"/>
      <c r="AK546" s="1"/>
      <c r="AL546" s="54"/>
      <c r="AM546" s="1"/>
      <c r="AN546" s="43"/>
      <c r="AO546" s="1"/>
      <c r="AP546" s="1"/>
      <c r="AQ546" s="19"/>
      <c r="AR546" s="54"/>
      <c r="AS546" s="43"/>
      <c r="AT546" s="1"/>
      <c r="AU546" s="1"/>
      <c r="AV546" s="1"/>
      <c r="AW546" s="54"/>
      <c r="AX546" s="57"/>
      <c r="AY546" s="54"/>
      <c r="AZ546" s="54"/>
      <c r="BA546" s="54"/>
      <c r="BB546" s="54"/>
      <c r="BC546" s="57"/>
      <c r="BD546" s="1"/>
      <c r="BE546" s="1"/>
      <c r="BF546" s="1"/>
      <c r="BG546" s="54"/>
      <c r="BH546" s="43"/>
      <c r="BI546"/>
      <c r="BJ546" s="13"/>
      <c r="BK546" s="1"/>
      <c r="BL546"/>
      <c r="BM546"/>
      <c r="BN546"/>
      <c r="DY546" s="43"/>
      <c r="DZ546"/>
      <c r="EA546" s="19"/>
      <c r="EB546" s="19"/>
      <c r="EC546" s="9"/>
      <c r="ED546" s="9"/>
      <c r="EE546" s="9"/>
      <c r="EF546" s="9"/>
      <c r="EG546" s="9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3"/>
      <c r="FD546" s="13"/>
      <c r="FE546" s="13"/>
      <c r="FF546" s="13"/>
      <c r="FG546" s="13"/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/>
      <c r="FY546" s="13"/>
      <c r="FZ546" s="13"/>
      <c r="GA546" s="13"/>
    </row>
    <row r="547" spans="1:183" s="52" customFormat="1" ht="13.2" x14ac:dyDescent="0.25">
      <c r="A547" s="2"/>
      <c r="B547" s="2"/>
      <c r="C547" s="9">
        <v>21</v>
      </c>
      <c r="D547" s="9">
        <v>30</v>
      </c>
      <c r="E547" s="9">
        <v>42</v>
      </c>
      <c r="F547" s="9">
        <v>43</v>
      </c>
      <c r="G547" s="9">
        <v>48</v>
      </c>
      <c r="H547" s="9">
        <v>50</v>
      </c>
      <c r="I547" s="43"/>
      <c r="J547" s="9">
        <v>50</v>
      </c>
      <c r="K547" s="43"/>
      <c r="L547" s="39">
        <v>45427</v>
      </c>
      <c r="M547" s="43"/>
      <c r="N547"/>
      <c r="O547"/>
      <c r="P547"/>
      <c r="Q547"/>
      <c r="R547"/>
      <c r="S547"/>
      <c r="T547"/>
      <c r="U547"/>
      <c r="V547"/>
      <c r="X547" s="43"/>
      <c r="Y547"/>
      <c r="Z547"/>
      <c r="AA547"/>
      <c r="AB547"/>
      <c r="AC547"/>
      <c r="AD547"/>
      <c r="AE547"/>
      <c r="AF547"/>
      <c r="AG547"/>
      <c r="AI547" s="148"/>
      <c r="AJ547" s="1"/>
      <c r="AK547" s="1"/>
      <c r="AL547" s="54"/>
      <c r="AM547" s="1"/>
      <c r="AN547" s="43"/>
      <c r="AO547" s="1"/>
      <c r="AP547" s="1"/>
      <c r="AQ547" s="19"/>
      <c r="AR547" s="54"/>
      <c r="AS547" s="43"/>
      <c r="AT547" s="1"/>
      <c r="AU547" s="1"/>
      <c r="AV547" s="1"/>
      <c r="AW547" s="54"/>
      <c r="AX547" s="57"/>
      <c r="AY547" s="54"/>
      <c r="AZ547" s="54"/>
      <c r="BA547" s="54"/>
      <c r="BB547" s="54"/>
      <c r="BC547" s="57"/>
      <c r="BD547" s="1"/>
      <c r="BE547" s="1"/>
      <c r="BF547" s="1"/>
      <c r="BG547" s="54"/>
      <c r="BH547" s="43"/>
      <c r="BI547"/>
      <c r="BJ547" s="13"/>
      <c r="BK547" s="1"/>
      <c r="BL547"/>
      <c r="BM547"/>
      <c r="BN547"/>
      <c r="DY547" s="43"/>
      <c r="DZ547"/>
      <c r="EA547" s="19"/>
      <c r="EB547" s="19"/>
      <c r="EC547" s="9"/>
      <c r="ED547" s="9"/>
      <c r="EE547" s="9"/>
      <c r="EF547" s="9"/>
      <c r="EG547" s="9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  <c r="FT547" s="13"/>
      <c r="FU547" s="13"/>
      <c r="FV547" s="13"/>
      <c r="FW547" s="13"/>
      <c r="FX547" s="13"/>
      <c r="FY547" s="13"/>
      <c r="FZ547" s="13"/>
      <c r="GA547" s="13"/>
    </row>
    <row r="548" spans="1:183" s="52" customFormat="1" ht="13.2" x14ac:dyDescent="0.25">
      <c r="A548" s="2"/>
      <c r="B548" s="2"/>
      <c r="C548" s="9">
        <v>25</v>
      </c>
      <c r="D548" s="9">
        <v>36</v>
      </c>
      <c r="E548" s="9">
        <v>55</v>
      </c>
      <c r="F548" s="9">
        <v>61</v>
      </c>
      <c r="G548" s="9">
        <v>64</v>
      </c>
      <c r="H548" s="9">
        <v>87</v>
      </c>
      <c r="I548" s="43"/>
      <c r="J548" s="9">
        <v>87</v>
      </c>
      <c r="K548" s="43"/>
      <c r="L548" s="39">
        <v>45425</v>
      </c>
      <c r="M548" s="43"/>
      <c r="N548"/>
      <c r="O548"/>
      <c r="P548"/>
      <c r="Q548"/>
      <c r="R548"/>
      <c r="S548"/>
      <c r="T548"/>
      <c r="U548"/>
      <c r="V548"/>
      <c r="X548" s="43"/>
      <c r="Y548"/>
      <c r="Z548"/>
      <c r="AA548"/>
      <c r="AB548"/>
      <c r="AC548"/>
      <c r="AD548"/>
      <c r="AE548"/>
      <c r="AF548"/>
      <c r="AG548"/>
      <c r="AI548" s="148"/>
      <c r="AJ548" s="1"/>
      <c r="AK548" s="1"/>
      <c r="AL548" s="54"/>
      <c r="AM548" s="1"/>
      <c r="AN548" s="43"/>
      <c r="AO548" s="1"/>
      <c r="AP548" s="1"/>
      <c r="AQ548" s="19"/>
      <c r="AR548" s="54"/>
      <c r="AS548" s="43"/>
      <c r="AT548" s="1"/>
      <c r="AU548" s="1"/>
      <c r="AV548" s="1"/>
      <c r="AW548" s="54"/>
      <c r="AX548" s="57"/>
      <c r="AY548" s="54"/>
      <c r="AZ548" s="54"/>
      <c r="BA548" s="54"/>
      <c r="BB548" s="54"/>
      <c r="BC548" s="57"/>
      <c r="BD548" s="1"/>
      <c r="BE548" s="1"/>
      <c r="BF548" s="1"/>
      <c r="BG548" s="54"/>
      <c r="BH548" s="43"/>
      <c r="BI548"/>
      <c r="BJ548" s="13"/>
      <c r="BK548" s="1"/>
      <c r="BL548"/>
      <c r="BM548"/>
      <c r="BN548"/>
      <c r="DY548" s="43"/>
      <c r="DZ548"/>
      <c r="EA548" s="19"/>
      <c r="EB548" s="19"/>
      <c r="EC548" s="9"/>
      <c r="ED548" s="9"/>
      <c r="EE548" s="9"/>
      <c r="EF548" s="9"/>
      <c r="EG548" s="9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3"/>
      <c r="FJ548" s="13"/>
      <c r="FK548" s="13"/>
      <c r="FL548" s="13"/>
      <c r="FM548" s="13"/>
      <c r="FN548" s="13"/>
      <c r="FO548" s="13"/>
      <c r="FP548" s="13"/>
      <c r="FQ548" s="13"/>
      <c r="FR548" s="13"/>
      <c r="FS548" s="13"/>
      <c r="FT548" s="13"/>
      <c r="FU548" s="13"/>
      <c r="FV548" s="13"/>
      <c r="FW548" s="13"/>
      <c r="FX548" s="13"/>
      <c r="FY548" s="13"/>
      <c r="FZ548" s="13"/>
      <c r="GA548" s="13"/>
    </row>
    <row r="549" spans="1:183" s="52" customFormat="1" ht="13.2" x14ac:dyDescent="0.25">
      <c r="A549" s="2"/>
      <c r="B549" s="2"/>
      <c r="C549" s="9">
        <v>13</v>
      </c>
      <c r="D549" s="9">
        <v>32</v>
      </c>
      <c r="E549" s="9">
        <v>44</v>
      </c>
      <c r="F549" s="9">
        <v>55</v>
      </c>
      <c r="G549" s="9">
        <v>57</v>
      </c>
      <c r="H549" s="9">
        <v>90</v>
      </c>
      <c r="I549" s="43"/>
      <c r="J549" s="9">
        <v>90</v>
      </c>
      <c r="K549" s="43"/>
      <c r="L549" s="39">
        <v>45423</v>
      </c>
      <c r="M549" s="43"/>
      <c r="N549"/>
      <c r="O549"/>
      <c r="P549"/>
      <c r="Q549"/>
      <c r="R549"/>
      <c r="S549"/>
      <c r="T549"/>
      <c r="U549"/>
      <c r="V549"/>
      <c r="X549" s="43"/>
      <c r="Y549"/>
      <c r="Z549"/>
      <c r="AA549"/>
      <c r="AB549"/>
      <c r="AC549"/>
      <c r="AD549"/>
      <c r="AE549"/>
      <c r="AF549"/>
      <c r="AG549"/>
      <c r="AI549" s="148"/>
      <c r="AJ549" s="1"/>
      <c r="AK549" s="1"/>
      <c r="AL549" s="54"/>
      <c r="AM549" s="1"/>
      <c r="AN549" s="43"/>
      <c r="AO549" s="1"/>
      <c r="AP549" s="1"/>
      <c r="AQ549" s="19"/>
      <c r="AR549" s="54"/>
      <c r="AS549" s="43"/>
      <c r="AT549" s="1"/>
      <c r="AU549" s="1"/>
      <c r="AV549" s="1"/>
      <c r="AW549" s="54"/>
      <c r="AX549" s="57"/>
      <c r="AY549" s="54"/>
      <c r="AZ549" s="54"/>
      <c r="BA549" s="54"/>
      <c r="BB549" s="54"/>
      <c r="BC549" s="57"/>
      <c r="BD549" s="1"/>
      <c r="BE549" s="1"/>
      <c r="BF549" s="1"/>
      <c r="BG549" s="54"/>
      <c r="BH549" s="43"/>
      <c r="BI549"/>
      <c r="BJ549" s="13"/>
      <c r="BK549" s="1"/>
      <c r="BL549"/>
      <c r="BM549"/>
      <c r="BN549"/>
      <c r="DY549" s="43"/>
      <c r="DZ549"/>
      <c r="EA549" s="19"/>
      <c r="EB549" s="19"/>
      <c r="EC549" s="9"/>
      <c r="ED549" s="9"/>
      <c r="EE549" s="9"/>
      <c r="EF549" s="9"/>
      <c r="EG549" s="9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  <c r="FT549" s="13"/>
      <c r="FU549" s="13"/>
      <c r="FV549" s="13"/>
      <c r="FW549" s="13"/>
      <c r="FX549" s="13"/>
      <c r="FY549" s="13"/>
      <c r="FZ549" s="13"/>
      <c r="GA549" s="13"/>
    </row>
    <row r="550" spans="1:183" s="52" customFormat="1" ht="13.2" x14ac:dyDescent="0.25">
      <c r="A550" s="2"/>
      <c r="B550" s="2"/>
      <c r="C550" s="9">
        <v>2</v>
      </c>
      <c r="D550" s="9">
        <v>7</v>
      </c>
      <c r="E550" s="9">
        <v>19</v>
      </c>
      <c r="F550" s="9">
        <v>50</v>
      </c>
      <c r="G550" s="9">
        <v>53</v>
      </c>
      <c r="H550" s="9">
        <v>54</v>
      </c>
      <c r="I550" s="43"/>
      <c r="J550" s="9">
        <v>54</v>
      </c>
      <c r="K550" s="43"/>
      <c r="L550" s="39">
        <v>45420</v>
      </c>
      <c r="M550" s="43"/>
      <c r="N550"/>
      <c r="O550"/>
      <c r="P550"/>
      <c r="Q550"/>
      <c r="R550"/>
      <c r="S550"/>
      <c r="T550"/>
      <c r="U550"/>
      <c r="V550"/>
      <c r="X550" s="43"/>
      <c r="Y550"/>
      <c r="Z550"/>
      <c r="AA550"/>
      <c r="AB550"/>
      <c r="AC550"/>
      <c r="AD550"/>
      <c r="AE550"/>
      <c r="AF550"/>
      <c r="AG550"/>
      <c r="AI550" s="148"/>
      <c r="AJ550" s="1"/>
      <c r="AK550" s="1"/>
      <c r="AL550" s="54"/>
      <c r="AM550" s="1"/>
      <c r="AN550" s="43"/>
      <c r="AO550" s="1"/>
      <c r="AP550" s="1"/>
      <c r="AQ550" s="19"/>
      <c r="AR550" s="54"/>
      <c r="AS550" s="43"/>
      <c r="AT550" s="1"/>
      <c r="AU550" s="1"/>
      <c r="AV550" s="1"/>
      <c r="AW550" s="54"/>
      <c r="AX550" s="57"/>
      <c r="AY550" s="54"/>
      <c r="AZ550" s="54"/>
      <c r="BA550" s="54"/>
      <c r="BB550" s="54"/>
      <c r="BC550" s="57"/>
      <c r="BD550" s="1"/>
      <c r="BE550" s="1"/>
      <c r="BF550" s="1"/>
      <c r="BG550" s="54"/>
      <c r="BH550" s="43"/>
      <c r="BI550"/>
      <c r="BJ550" s="13"/>
      <c r="BK550" s="1"/>
      <c r="BL550"/>
      <c r="BM550"/>
      <c r="BN550"/>
      <c r="DY550" s="43"/>
      <c r="DZ550"/>
      <c r="EA550" s="19"/>
      <c r="EB550" s="19"/>
      <c r="EC550" s="9"/>
      <c r="ED550" s="9"/>
      <c r="EE550" s="9"/>
      <c r="EF550" s="9"/>
      <c r="EG550" s="9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  <c r="FT550" s="13"/>
      <c r="FU550" s="13"/>
      <c r="FV550" s="13"/>
      <c r="FW550" s="13"/>
      <c r="FX550" s="13"/>
      <c r="FY550" s="13"/>
      <c r="FZ550" s="13"/>
      <c r="GA550" s="13"/>
    </row>
    <row r="551" spans="1:183" s="52" customFormat="1" ht="13.2" x14ac:dyDescent="0.25">
      <c r="A551" s="2"/>
      <c r="B551" s="2"/>
      <c r="C551" s="9">
        <v>5</v>
      </c>
      <c r="D551" s="9">
        <v>17</v>
      </c>
      <c r="E551" s="9">
        <v>21</v>
      </c>
      <c r="F551" s="9">
        <v>52</v>
      </c>
      <c r="G551" s="9">
        <v>56</v>
      </c>
      <c r="H551" s="9">
        <v>85</v>
      </c>
      <c r="I551" s="43"/>
      <c r="J551" s="9">
        <v>85</v>
      </c>
      <c r="K551" s="43"/>
      <c r="L551" s="39">
        <v>45418</v>
      </c>
      <c r="M551" s="43"/>
      <c r="N551"/>
      <c r="O551"/>
      <c r="P551"/>
      <c r="Q551"/>
      <c r="R551"/>
      <c r="S551"/>
      <c r="T551"/>
      <c r="U551"/>
      <c r="V551"/>
      <c r="X551" s="43"/>
      <c r="Y551"/>
      <c r="Z551"/>
      <c r="AA551"/>
      <c r="AB551"/>
      <c r="AC551"/>
      <c r="AD551"/>
      <c r="AE551"/>
      <c r="AF551"/>
      <c r="AG551"/>
      <c r="AI551" s="148"/>
      <c r="AJ551" s="1"/>
      <c r="AK551" s="1"/>
      <c r="AL551" s="54"/>
      <c r="AM551" s="1"/>
      <c r="AN551" s="43"/>
      <c r="AO551" s="1"/>
      <c r="AP551" s="1"/>
      <c r="AQ551" s="19"/>
      <c r="AR551" s="54"/>
      <c r="AS551" s="43"/>
      <c r="AT551" s="1"/>
      <c r="AU551" s="1"/>
      <c r="AV551" s="1"/>
      <c r="AW551" s="54"/>
      <c r="AX551" s="57"/>
      <c r="AY551" s="54"/>
      <c r="AZ551" s="54"/>
      <c r="BA551" s="54"/>
      <c r="BB551" s="54"/>
      <c r="BC551" s="57"/>
      <c r="BD551" s="1"/>
      <c r="BE551" s="1"/>
      <c r="BF551" s="1"/>
      <c r="BG551" s="54"/>
      <c r="BH551" s="43"/>
      <c r="BI551"/>
      <c r="BJ551" s="13"/>
      <c r="BK551" s="1"/>
      <c r="BL551"/>
      <c r="BM551"/>
      <c r="BN551"/>
      <c r="DY551" s="43"/>
      <c r="DZ551"/>
      <c r="EA551" s="19"/>
      <c r="EB551" s="19"/>
      <c r="EC551" s="9"/>
      <c r="ED551" s="9"/>
      <c r="EE551" s="9"/>
      <c r="EF551" s="9"/>
      <c r="EG551" s="9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/>
      <c r="FF551" s="13"/>
      <c r="FG551" s="13"/>
      <c r="FH551" s="13"/>
      <c r="FI551" s="13"/>
      <c r="FJ551" s="13"/>
      <c r="FK551" s="13"/>
      <c r="FL551" s="13"/>
      <c r="FM551" s="13"/>
      <c r="FN551" s="13"/>
      <c r="FO551" s="13"/>
      <c r="FP551" s="13"/>
      <c r="FQ551" s="13"/>
      <c r="FR551" s="13"/>
      <c r="FS551" s="13"/>
      <c r="FT551" s="13"/>
      <c r="FU551" s="13"/>
      <c r="FV551" s="13"/>
      <c r="FW551" s="13"/>
      <c r="FX551" s="13"/>
      <c r="FY551" s="13"/>
      <c r="FZ551" s="13"/>
      <c r="GA551" s="13"/>
    </row>
    <row r="552" spans="1:183" s="52" customFormat="1" ht="13.2" x14ac:dyDescent="0.25">
      <c r="A552" s="2"/>
      <c r="B552" s="2"/>
      <c r="C552" s="9">
        <v>3</v>
      </c>
      <c r="D552" s="9">
        <v>26</v>
      </c>
      <c r="E552" s="9">
        <v>32</v>
      </c>
      <c r="F552" s="9">
        <v>61</v>
      </c>
      <c r="G552" s="9">
        <v>82</v>
      </c>
      <c r="H552" s="9">
        <v>83</v>
      </c>
      <c r="I552" s="43"/>
      <c r="J552" s="9">
        <v>83</v>
      </c>
      <c r="K552" s="43"/>
      <c r="L552" s="39">
        <v>45416</v>
      </c>
      <c r="M552" s="43"/>
      <c r="N552"/>
      <c r="O552"/>
      <c r="P552"/>
      <c r="Q552"/>
      <c r="R552"/>
      <c r="S552"/>
      <c r="T552"/>
      <c r="U552"/>
      <c r="V552"/>
      <c r="X552" s="43"/>
      <c r="Y552"/>
      <c r="Z552"/>
      <c r="AA552"/>
      <c r="AB552"/>
      <c r="AC552"/>
      <c r="AD552"/>
      <c r="AE552"/>
      <c r="AF552"/>
      <c r="AG552"/>
      <c r="AI552" s="148"/>
      <c r="AJ552" s="1"/>
      <c r="AK552" s="1"/>
      <c r="AL552" s="54"/>
      <c r="AM552" s="1"/>
      <c r="AN552" s="43"/>
      <c r="AO552" s="1"/>
      <c r="AP552" s="1"/>
      <c r="AQ552" s="19"/>
      <c r="AR552" s="54"/>
      <c r="AS552" s="43"/>
      <c r="AT552" s="1"/>
      <c r="AU552" s="1"/>
      <c r="AV552" s="1"/>
      <c r="AW552" s="54"/>
      <c r="AX552" s="57"/>
      <c r="AY552" s="54"/>
      <c r="AZ552" s="54"/>
      <c r="BA552" s="54"/>
      <c r="BB552" s="54"/>
      <c r="BC552" s="57"/>
      <c r="BD552" s="1"/>
      <c r="BE552" s="1"/>
      <c r="BF552" s="1"/>
      <c r="BG552" s="54"/>
      <c r="BH552" s="43"/>
      <c r="BI552"/>
      <c r="BJ552" s="13"/>
      <c r="BK552" s="1"/>
      <c r="BL552"/>
      <c r="BM552"/>
      <c r="BN552"/>
      <c r="DY552" s="43"/>
      <c r="DZ552"/>
      <c r="EA552" s="19"/>
      <c r="EB552" s="19"/>
      <c r="EC552" s="9"/>
      <c r="ED552" s="9"/>
      <c r="EE552" s="9"/>
      <c r="EF552" s="9"/>
      <c r="EG552" s="9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3"/>
      <c r="FJ552" s="13"/>
      <c r="FK552" s="13"/>
      <c r="FL552" s="13"/>
      <c r="FM552" s="13"/>
      <c r="FN552" s="13"/>
      <c r="FO552" s="13"/>
      <c r="FP552" s="13"/>
      <c r="FQ552" s="13"/>
      <c r="FR552" s="13"/>
      <c r="FS552" s="13"/>
      <c r="FT552" s="13"/>
      <c r="FU552" s="13"/>
      <c r="FV552" s="13"/>
      <c r="FW552" s="13"/>
      <c r="FX552" s="13"/>
      <c r="FY552" s="13"/>
      <c r="FZ552" s="13"/>
      <c r="GA552" s="13"/>
    </row>
    <row r="553" spans="1:183" s="52" customFormat="1" ht="13.2" x14ac:dyDescent="0.25">
      <c r="A553" s="2"/>
      <c r="B553" s="2"/>
      <c r="C553" s="9">
        <v>8</v>
      </c>
      <c r="D553" s="9">
        <v>23</v>
      </c>
      <c r="E553" s="9">
        <v>44</v>
      </c>
      <c r="F553" s="9">
        <v>77</v>
      </c>
      <c r="G553" s="9">
        <v>84</v>
      </c>
      <c r="H553" s="9">
        <v>86</v>
      </c>
      <c r="I553" s="43"/>
      <c r="J553" s="9">
        <v>86</v>
      </c>
      <c r="K553" s="43"/>
      <c r="L553" s="39">
        <v>45413</v>
      </c>
      <c r="M553" s="43"/>
      <c r="N553"/>
      <c r="O553"/>
      <c r="P553"/>
      <c r="Q553"/>
      <c r="R553"/>
      <c r="S553"/>
      <c r="T553"/>
      <c r="U553"/>
      <c r="V553"/>
      <c r="X553" s="43"/>
      <c r="Y553"/>
      <c r="Z553"/>
      <c r="AA553"/>
      <c r="AB553"/>
      <c r="AC553"/>
      <c r="AD553"/>
      <c r="AE553"/>
      <c r="AF553"/>
      <c r="AG553"/>
      <c r="AI553" s="148"/>
      <c r="AJ553" s="1"/>
      <c r="AK553" s="1"/>
      <c r="AL553" s="54"/>
      <c r="AM553" s="1"/>
      <c r="AN553" s="43"/>
      <c r="AO553" s="1"/>
      <c r="AP553" s="1"/>
      <c r="AQ553" s="19"/>
      <c r="AR553" s="54"/>
      <c r="AS553" s="43"/>
      <c r="AT553" s="1"/>
      <c r="AU553" s="1"/>
      <c r="AV553" s="1"/>
      <c r="AW553" s="54"/>
      <c r="AX553" s="57"/>
      <c r="AY553" s="54"/>
      <c r="AZ553" s="54"/>
      <c r="BA553" s="54"/>
      <c r="BB553" s="54"/>
      <c r="BC553" s="57"/>
      <c r="BD553" s="1"/>
      <c r="BE553" s="1"/>
      <c r="BF553" s="1"/>
      <c r="BG553" s="54"/>
      <c r="BH553" s="43"/>
      <c r="BI553"/>
      <c r="BJ553" s="13"/>
      <c r="BK553" s="1"/>
      <c r="BL553"/>
      <c r="BM553"/>
      <c r="BN553"/>
      <c r="DY553" s="43"/>
      <c r="DZ553"/>
      <c r="EA553" s="19"/>
      <c r="EB553" s="19"/>
      <c r="EC553" s="9"/>
      <c r="ED553" s="9"/>
      <c r="EE553" s="9"/>
      <c r="EF553" s="9"/>
      <c r="EG553" s="9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  <c r="FU553" s="13"/>
      <c r="FV553" s="13"/>
      <c r="FW553" s="13"/>
      <c r="FX553" s="13"/>
      <c r="FY553" s="13"/>
      <c r="FZ553" s="13"/>
      <c r="GA553" s="13"/>
    </row>
    <row r="554" spans="1:183" s="52" customFormat="1" ht="13.2" x14ac:dyDescent="0.25">
      <c r="A554" s="2"/>
      <c r="B554" s="2"/>
      <c r="C554" s="9">
        <v>10</v>
      </c>
      <c r="D554" s="9">
        <v>20</v>
      </c>
      <c r="E554" s="9">
        <v>23</v>
      </c>
      <c r="F554" s="9">
        <v>47</v>
      </c>
      <c r="G554" s="9">
        <v>64</v>
      </c>
      <c r="H554" s="9">
        <v>68</v>
      </c>
      <c r="I554" s="43"/>
      <c r="J554" s="9">
        <v>68</v>
      </c>
      <c r="K554" s="43"/>
      <c r="L554" s="39">
        <v>45411</v>
      </c>
      <c r="M554" s="43"/>
      <c r="N554"/>
      <c r="O554"/>
      <c r="P554"/>
      <c r="Q554"/>
      <c r="R554"/>
      <c r="S554"/>
      <c r="T554"/>
      <c r="U554"/>
      <c r="V554"/>
      <c r="X554" s="43"/>
      <c r="Y554"/>
      <c r="Z554"/>
      <c r="AA554"/>
      <c r="AB554"/>
      <c r="AC554"/>
      <c r="AD554"/>
      <c r="AE554"/>
      <c r="AF554"/>
      <c r="AG554"/>
      <c r="AI554" s="148"/>
      <c r="AJ554" s="1"/>
      <c r="AK554" s="1"/>
      <c r="AL554" s="54"/>
      <c r="AM554" s="1"/>
      <c r="AN554" s="43"/>
      <c r="AO554" s="1"/>
      <c r="AP554" s="1"/>
      <c r="AQ554" s="19"/>
      <c r="AR554" s="54"/>
      <c r="AS554" s="43"/>
      <c r="AT554" s="1"/>
      <c r="AU554" s="1"/>
      <c r="AV554" s="1"/>
      <c r="AW554" s="54"/>
      <c r="AX554" s="57"/>
      <c r="AY554" s="54"/>
      <c r="AZ554" s="54"/>
      <c r="BA554" s="54"/>
      <c r="BB554" s="54"/>
      <c r="BC554" s="57"/>
      <c r="BD554" s="1"/>
      <c r="BE554" s="1"/>
      <c r="BF554" s="1"/>
      <c r="BG554" s="54"/>
      <c r="BH554" s="43"/>
      <c r="BI554"/>
      <c r="BJ554" s="13"/>
      <c r="BK554" s="1"/>
      <c r="BL554"/>
      <c r="BM554"/>
      <c r="BN554"/>
      <c r="DY554" s="43"/>
      <c r="DZ554"/>
      <c r="EA554" s="19"/>
      <c r="EB554" s="19"/>
      <c r="EC554" s="9"/>
      <c r="ED554" s="9"/>
      <c r="EE554" s="9"/>
      <c r="EF554" s="9"/>
      <c r="EG554" s="9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/>
      <c r="FV554" s="13"/>
      <c r="FW554" s="13"/>
      <c r="FX554" s="13"/>
      <c r="FY554" s="13"/>
      <c r="FZ554" s="13"/>
      <c r="GA554" s="13"/>
    </row>
    <row r="555" spans="1:183" s="52" customFormat="1" ht="13.2" x14ac:dyDescent="0.25">
      <c r="A555" s="2"/>
      <c r="B555" s="2"/>
      <c r="C555" s="9">
        <v>28</v>
      </c>
      <c r="D555" s="9">
        <v>47</v>
      </c>
      <c r="E555" s="9">
        <v>71</v>
      </c>
      <c r="F555" s="9">
        <v>77</v>
      </c>
      <c r="G555" s="9">
        <v>81</v>
      </c>
      <c r="H555" s="9">
        <v>85</v>
      </c>
      <c r="I555" s="43"/>
      <c r="J555" s="9">
        <v>85</v>
      </c>
      <c r="K555" s="43"/>
      <c r="L555" s="39">
        <v>45409</v>
      </c>
      <c r="M555" s="43"/>
      <c r="N555"/>
      <c r="O555"/>
      <c r="P555"/>
      <c r="Q555"/>
      <c r="R555"/>
      <c r="S555"/>
      <c r="T555"/>
      <c r="U555"/>
      <c r="V555"/>
      <c r="X555" s="43"/>
      <c r="Y555"/>
      <c r="Z555"/>
      <c r="AA555"/>
      <c r="AB555"/>
      <c r="AC555"/>
      <c r="AD555"/>
      <c r="AE555"/>
      <c r="AF555"/>
      <c r="AG555"/>
      <c r="AI555" s="148"/>
      <c r="AJ555" s="1"/>
      <c r="AK555" s="1"/>
      <c r="AL555" s="54"/>
      <c r="AM555" s="1"/>
      <c r="AN555" s="43"/>
      <c r="AO555" s="1"/>
      <c r="AP555" s="1"/>
      <c r="AQ555" s="19"/>
      <c r="AR555" s="54"/>
      <c r="AS555" s="43"/>
      <c r="AT555" s="1"/>
      <c r="AU555" s="1"/>
      <c r="AV555" s="1"/>
      <c r="AW555" s="54"/>
      <c r="AX555" s="57"/>
      <c r="AY555" s="54"/>
      <c r="AZ555" s="54"/>
      <c r="BA555" s="54"/>
      <c r="BB555" s="54"/>
      <c r="BC555" s="57"/>
      <c r="BD555" s="1"/>
      <c r="BE555" s="1"/>
      <c r="BF555" s="1"/>
      <c r="BG555" s="54"/>
      <c r="BH555" s="43"/>
      <c r="BI555"/>
      <c r="BJ555" s="13"/>
      <c r="BK555" s="1"/>
      <c r="BL555"/>
      <c r="BM555"/>
      <c r="BN555"/>
      <c r="DY555" s="43"/>
      <c r="DZ555"/>
      <c r="EA555" s="19"/>
      <c r="EB555" s="19"/>
      <c r="EC555" s="9"/>
      <c r="ED555" s="9"/>
      <c r="EE555" s="9"/>
      <c r="EF555" s="9"/>
      <c r="EG555" s="9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3"/>
      <c r="FI555" s="13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  <c r="FT555" s="13"/>
      <c r="FU555" s="13"/>
      <c r="FV555" s="13"/>
      <c r="FW555" s="13"/>
      <c r="FX555" s="13"/>
      <c r="FY555" s="13"/>
      <c r="FZ555" s="13"/>
      <c r="GA555" s="13"/>
    </row>
    <row r="556" spans="1:183" s="52" customFormat="1" ht="13.2" x14ac:dyDescent="0.25">
      <c r="A556" s="2"/>
      <c r="B556" s="2"/>
      <c r="C556" s="9">
        <v>37</v>
      </c>
      <c r="D556" s="9">
        <v>38</v>
      </c>
      <c r="E556" s="9">
        <v>49</v>
      </c>
      <c r="F556" s="9">
        <v>69</v>
      </c>
      <c r="G556" s="9">
        <v>84</v>
      </c>
      <c r="H556" s="9">
        <v>90</v>
      </c>
      <c r="I556" s="43"/>
      <c r="J556" s="9">
        <v>90</v>
      </c>
      <c r="K556" s="43"/>
      <c r="L556" s="39">
        <v>45406</v>
      </c>
      <c r="M556" s="43"/>
      <c r="N556"/>
      <c r="O556"/>
      <c r="P556"/>
      <c r="Q556"/>
      <c r="R556"/>
      <c r="S556"/>
      <c r="T556"/>
      <c r="U556"/>
      <c r="V556"/>
      <c r="X556" s="43"/>
      <c r="Y556"/>
      <c r="Z556"/>
      <c r="AA556"/>
      <c r="AB556"/>
      <c r="AC556"/>
      <c r="AD556"/>
      <c r="AE556"/>
      <c r="AF556"/>
      <c r="AG556"/>
      <c r="AI556" s="148"/>
      <c r="AJ556" s="1"/>
      <c r="AK556" s="1"/>
      <c r="AL556" s="54"/>
      <c r="AM556" s="1"/>
      <c r="AN556" s="43"/>
      <c r="AO556" s="1"/>
      <c r="AP556" s="1"/>
      <c r="AQ556" s="19"/>
      <c r="AR556" s="54"/>
      <c r="AS556" s="43"/>
      <c r="AT556" s="1"/>
      <c r="AU556" s="1"/>
      <c r="AV556" s="1"/>
      <c r="AW556" s="54"/>
      <c r="AX556" s="57"/>
      <c r="AY556" s="54"/>
      <c r="AZ556" s="54"/>
      <c r="BA556" s="54"/>
      <c r="BB556" s="54"/>
      <c r="BC556" s="57"/>
      <c r="BD556" s="1"/>
      <c r="BE556" s="1"/>
      <c r="BF556" s="1"/>
      <c r="BG556" s="54"/>
      <c r="BH556" s="43"/>
      <c r="BI556"/>
      <c r="BJ556" s="13"/>
      <c r="BK556" s="1"/>
      <c r="BL556"/>
      <c r="BM556"/>
      <c r="BN556"/>
      <c r="DY556" s="43"/>
      <c r="DZ556"/>
      <c r="EA556" s="19"/>
      <c r="EB556" s="19"/>
      <c r="EC556" s="9"/>
      <c r="ED556" s="9"/>
      <c r="EE556" s="9"/>
      <c r="EF556" s="9"/>
      <c r="EG556" s="9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  <c r="FT556" s="13"/>
      <c r="FU556" s="13"/>
      <c r="FV556" s="13"/>
      <c r="FW556" s="13"/>
      <c r="FX556" s="13"/>
      <c r="FY556" s="13"/>
      <c r="FZ556" s="13"/>
      <c r="GA556" s="13"/>
    </row>
    <row r="557" spans="1:183" s="52" customFormat="1" ht="13.2" x14ac:dyDescent="0.25">
      <c r="A557" s="2"/>
      <c r="B557" s="2"/>
      <c r="C557" s="9">
        <v>3</v>
      </c>
      <c r="D557" s="9">
        <v>48</v>
      </c>
      <c r="E557" s="9">
        <v>61</v>
      </c>
      <c r="F557" s="9">
        <v>71</v>
      </c>
      <c r="G557" s="9">
        <v>81</v>
      </c>
      <c r="H557" s="9">
        <v>82</v>
      </c>
      <c r="I557" s="43"/>
      <c r="J557" s="9">
        <v>82</v>
      </c>
      <c r="K557" s="43"/>
      <c r="L557" s="39">
        <v>45404</v>
      </c>
      <c r="M557" s="43"/>
      <c r="N557"/>
      <c r="O557"/>
      <c r="P557"/>
      <c r="Q557"/>
      <c r="R557"/>
      <c r="S557"/>
      <c r="T557"/>
      <c r="U557"/>
      <c r="V557"/>
      <c r="X557" s="43"/>
      <c r="Y557"/>
      <c r="Z557"/>
      <c r="AA557"/>
      <c r="AB557"/>
      <c r="AC557"/>
      <c r="AD557"/>
      <c r="AE557"/>
      <c r="AF557"/>
      <c r="AG557"/>
      <c r="AI557" s="148"/>
      <c r="AJ557" s="1"/>
      <c r="AK557" s="1"/>
      <c r="AL557" s="54"/>
      <c r="AM557" s="1"/>
      <c r="AN557" s="43"/>
      <c r="AO557" s="1"/>
      <c r="AP557" s="1"/>
      <c r="AQ557" s="19"/>
      <c r="AR557" s="54"/>
      <c r="AS557" s="43"/>
      <c r="AT557" s="1"/>
      <c r="AU557" s="1"/>
      <c r="AV557" s="1"/>
      <c r="AW557" s="54"/>
      <c r="AX557" s="57"/>
      <c r="AY557" s="54"/>
      <c r="AZ557" s="54"/>
      <c r="BA557" s="54"/>
      <c r="BB557" s="54"/>
      <c r="BC557" s="57"/>
      <c r="BD557" s="1"/>
      <c r="BE557" s="1"/>
      <c r="BF557" s="1"/>
      <c r="BG557" s="54"/>
      <c r="BH557" s="43"/>
      <c r="BI557"/>
      <c r="BJ557" s="13"/>
      <c r="BK557" s="1"/>
      <c r="BL557"/>
      <c r="BM557"/>
      <c r="BN557"/>
      <c r="DY557" s="43"/>
      <c r="DZ557"/>
      <c r="EA557" s="19"/>
      <c r="EB557" s="19"/>
      <c r="EC557" s="9"/>
      <c r="ED557" s="9"/>
      <c r="EE557" s="9"/>
      <c r="EF557" s="9"/>
      <c r="EG557" s="9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  <c r="FT557" s="13"/>
      <c r="FU557" s="13"/>
      <c r="FV557" s="13"/>
      <c r="FW557" s="13"/>
      <c r="FX557" s="13"/>
      <c r="FY557" s="13"/>
      <c r="FZ557" s="13"/>
      <c r="GA557" s="13"/>
    </row>
    <row r="558" spans="1:183" s="52" customFormat="1" ht="13.2" x14ac:dyDescent="0.25">
      <c r="A558" s="2"/>
      <c r="B558" s="2"/>
      <c r="C558" s="9">
        <v>8</v>
      </c>
      <c r="D558" s="9">
        <v>15</v>
      </c>
      <c r="E558" s="9">
        <v>26</v>
      </c>
      <c r="F558" s="9">
        <v>32</v>
      </c>
      <c r="G558" s="9">
        <v>47</v>
      </c>
      <c r="H558" s="9">
        <v>88</v>
      </c>
      <c r="I558" s="43"/>
      <c r="J558" s="9">
        <v>88</v>
      </c>
      <c r="K558" s="43"/>
      <c r="L558" s="39">
        <v>45402</v>
      </c>
      <c r="M558" s="43"/>
      <c r="N558"/>
      <c r="O558"/>
      <c r="P558"/>
      <c r="Q558"/>
      <c r="R558"/>
      <c r="S558"/>
      <c r="T558"/>
      <c r="U558"/>
      <c r="V558"/>
      <c r="X558" s="43"/>
      <c r="Y558"/>
      <c r="Z558"/>
      <c r="AA558"/>
      <c r="AB558"/>
      <c r="AC558"/>
      <c r="AD558"/>
      <c r="AE558"/>
      <c r="AF558"/>
      <c r="AG558"/>
      <c r="AI558" s="148"/>
      <c r="AJ558" s="1"/>
      <c r="AK558" s="1"/>
      <c r="AL558" s="54"/>
      <c r="AM558" s="1"/>
      <c r="AN558" s="43"/>
      <c r="AO558" s="1"/>
      <c r="AP558" s="1"/>
      <c r="AQ558" s="19"/>
      <c r="AR558" s="54"/>
      <c r="AS558" s="43"/>
      <c r="AT558" s="1"/>
      <c r="AU558" s="1"/>
      <c r="AV558" s="1"/>
      <c r="AW558" s="54"/>
      <c r="AX558" s="57"/>
      <c r="AY558" s="54"/>
      <c r="AZ558" s="54"/>
      <c r="BA558" s="54"/>
      <c r="BB558" s="54"/>
      <c r="BC558" s="57"/>
      <c r="BD558" s="1"/>
      <c r="BE558" s="1"/>
      <c r="BF558" s="1"/>
      <c r="BG558" s="54"/>
      <c r="BH558" s="43"/>
      <c r="BI558"/>
      <c r="BJ558" s="13"/>
      <c r="BK558" s="1"/>
      <c r="BL558"/>
      <c r="BM558"/>
      <c r="BN558"/>
      <c r="DY558" s="43"/>
      <c r="DZ558"/>
      <c r="EA558" s="19"/>
      <c r="EB558" s="19"/>
      <c r="EC558" s="9"/>
      <c r="ED558" s="9"/>
      <c r="EE558" s="9"/>
      <c r="EF558" s="9"/>
      <c r="EG558" s="9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  <c r="FI558" s="13"/>
      <c r="FJ558" s="13"/>
      <c r="FK558" s="13"/>
      <c r="FL558" s="13"/>
      <c r="FM558" s="13"/>
      <c r="FN558" s="13"/>
      <c r="FO558" s="13"/>
      <c r="FP558" s="13"/>
      <c r="FQ558" s="13"/>
      <c r="FR558" s="13"/>
      <c r="FS558" s="13"/>
      <c r="FT558" s="13"/>
      <c r="FU558" s="13"/>
      <c r="FV558" s="13"/>
      <c r="FW558" s="13"/>
      <c r="FX558" s="13"/>
      <c r="FY558" s="13"/>
      <c r="FZ558" s="13"/>
      <c r="GA558" s="13"/>
    </row>
    <row r="559" spans="1:183" s="52" customFormat="1" ht="13.2" x14ac:dyDescent="0.25">
      <c r="A559" s="2"/>
      <c r="B559" s="2"/>
      <c r="C559" s="9">
        <v>16</v>
      </c>
      <c r="D559" s="9">
        <v>23</v>
      </c>
      <c r="E559" s="9">
        <v>24</v>
      </c>
      <c r="F559" s="9">
        <v>41</v>
      </c>
      <c r="G559" s="9">
        <v>63</v>
      </c>
      <c r="H559" s="9">
        <v>85</v>
      </c>
      <c r="I559" s="43"/>
      <c r="J559" s="9">
        <v>85</v>
      </c>
      <c r="K559" s="43"/>
      <c r="L559" s="39">
        <v>45399</v>
      </c>
      <c r="M559" s="43"/>
      <c r="N559"/>
      <c r="O559"/>
      <c r="P559"/>
      <c r="Q559"/>
      <c r="R559"/>
      <c r="S559"/>
      <c r="T559"/>
      <c r="U559"/>
      <c r="V559"/>
      <c r="X559" s="43"/>
      <c r="Y559"/>
      <c r="Z559"/>
      <c r="AA559"/>
      <c r="AB559"/>
      <c r="AC559"/>
      <c r="AD559"/>
      <c r="AE559"/>
      <c r="AF559"/>
      <c r="AG559"/>
      <c r="AI559" s="148"/>
      <c r="AJ559" s="1"/>
      <c r="AK559" s="1"/>
      <c r="AL559" s="54"/>
      <c r="AM559" s="1"/>
      <c r="AN559" s="43"/>
      <c r="AO559" s="1"/>
      <c r="AP559" s="1"/>
      <c r="AQ559" s="19"/>
      <c r="AR559" s="54"/>
      <c r="AS559" s="43"/>
      <c r="AT559" s="1"/>
      <c r="AU559" s="1"/>
      <c r="AV559" s="1"/>
      <c r="AW559" s="54"/>
      <c r="AX559" s="57"/>
      <c r="AY559" s="54"/>
      <c r="AZ559" s="54"/>
      <c r="BA559" s="54"/>
      <c r="BB559" s="54"/>
      <c r="BC559" s="57"/>
      <c r="BD559" s="1"/>
      <c r="BE559" s="1"/>
      <c r="BF559" s="1"/>
      <c r="BG559" s="54"/>
      <c r="BH559" s="43"/>
      <c r="BI559"/>
      <c r="BJ559" s="13"/>
      <c r="BK559" s="1"/>
      <c r="BL559"/>
      <c r="BM559"/>
      <c r="BN559"/>
      <c r="DY559" s="43"/>
      <c r="DZ559"/>
      <c r="EA559" s="19"/>
      <c r="EB559" s="19"/>
      <c r="EC559" s="9"/>
      <c r="ED559" s="9"/>
      <c r="EE559" s="9"/>
      <c r="EF559" s="9"/>
      <c r="EG559" s="9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  <c r="FT559" s="13"/>
      <c r="FU559" s="13"/>
      <c r="FV559" s="13"/>
      <c r="FW559" s="13"/>
      <c r="FX559" s="13"/>
      <c r="FY559" s="13"/>
      <c r="FZ559" s="13"/>
      <c r="GA559" s="13"/>
    </row>
    <row r="560" spans="1:183" s="52" customFormat="1" ht="13.2" x14ac:dyDescent="0.25">
      <c r="A560" s="2"/>
      <c r="B560" s="2"/>
      <c r="C560" s="9">
        <v>4</v>
      </c>
      <c r="D560" s="9">
        <v>7</v>
      </c>
      <c r="E560" s="9">
        <v>32</v>
      </c>
      <c r="F560" s="9">
        <v>42</v>
      </c>
      <c r="G560" s="9">
        <v>58</v>
      </c>
      <c r="H560" s="9">
        <v>64</v>
      </c>
      <c r="I560" s="43"/>
      <c r="J560" s="9">
        <v>64</v>
      </c>
      <c r="K560" s="43"/>
      <c r="L560" s="39">
        <v>45397</v>
      </c>
      <c r="M560" s="43"/>
      <c r="N560"/>
      <c r="O560"/>
      <c r="P560"/>
      <c r="Q560"/>
      <c r="R560"/>
      <c r="S560"/>
      <c r="T560"/>
      <c r="U560"/>
      <c r="V560"/>
      <c r="X560" s="43"/>
      <c r="Y560"/>
      <c r="Z560"/>
      <c r="AA560"/>
      <c r="AB560"/>
      <c r="AC560"/>
      <c r="AD560"/>
      <c r="AE560"/>
      <c r="AF560"/>
      <c r="AG560"/>
      <c r="AI560" s="148"/>
      <c r="AJ560" s="1"/>
      <c r="AK560" s="1"/>
      <c r="AL560" s="54"/>
      <c r="AM560" s="1"/>
      <c r="AN560" s="43"/>
      <c r="AO560" s="1"/>
      <c r="AP560" s="1"/>
      <c r="AQ560" s="19"/>
      <c r="AR560" s="54"/>
      <c r="AS560" s="43"/>
      <c r="AT560" s="1"/>
      <c r="AU560" s="1"/>
      <c r="AV560" s="1"/>
      <c r="AW560" s="54"/>
      <c r="AX560" s="57"/>
      <c r="AY560" s="54"/>
      <c r="AZ560" s="54"/>
      <c r="BA560" s="54"/>
      <c r="BB560" s="54"/>
      <c r="BC560" s="57"/>
      <c r="BD560" s="1"/>
      <c r="BE560" s="1"/>
      <c r="BF560" s="1"/>
      <c r="BG560" s="54"/>
      <c r="BH560" s="43"/>
      <c r="BI560"/>
      <c r="BJ560" s="13"/>
      <c r="BK560" s="1"/>
      <c r="BL560"/>
      <c r="BM560"/>
      <c r="BN560"/>
      <c r="DY560" s="43"/>
      <c r="DZ560"/>
      <c r="EA560" s="19"/>
      <c r="EB560" s="19"/>
      <c r="EC560" s="9"/>
      <c r="ED560" s="9"/>
      <c r="EE560" s="9"/>
      <c r="EF560" s="9"/>
      <c r="EG560" s="9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  <c r="FI560" s="13"/>
      <c r="FJ560" s="13"/>
      <c r="FK560" s="13"/>
      <c r="FL560" s="13"/>
      <c r="FM560" s="13"/>
      <c r="FN560" s="13"/>
      <c r="FO560" s="13"/>
      <c r="FP560" s="13"/>
      <c r="FQ560" s="13"/>
      <c r="FR560" s="13"/>
      <c r="FS560" s="13"/>
      <c r="FT560" s="13"/>
      <c r="FU560" s="13"/>
      <c r="FV560" s="13"/>
      <c r="FW560" s="13"/>
      <c r="FX560" s="13"/>
      <c r="FY560" s="13"/>
      <c r="FZ560" s="13"/>
      <c r="GA560" s="13"/>
    </row>
    <row r="561" spans="1:183" s="52" customFormat="1" ht="13.2" x14ac:dyDescent="0.25">
      <c r="A561" s="2"/>
      <c r="B561" s="2"/>
      <c r="C561" s="9">
        <v>8</v>
      </c>
      <c r="D561" s="9">
        <v>55</v>
      </c>
      <c r="E561" s="9">
        <v>60</v>
      </c>
      <c r="F561" s="9">
        <v>64</v>
      </c>
      <c r="G561" s="9">
        <v>70</v>
      </c>
      <c r="H561" s="9">
        <v>81</v>
      </c>
      <c r="I561" s="43"/>
      <c r="J561" s="9">
        <v>81</v>
      </c>
      <c r="K561" s="43"/>
      <c r="L561" s="39">
        <v>45395</v>
      </c>
      <c r="M561" s="43"/>
      <c r="N561"/>
      <c r="O561"/>
      <c r="P561"/>
      <c r="Q561"/>
      <c r="R561"/>
      <c r="S561"/>
      <c r="T561"/>
      <c r="U561"/>
      <c r="V561"/>
      <c r="X561" s="43"/>
      <c r="Y561"/>
      <c r="Z561"/>
      <c r="AA561"/>
      <c r="AB561"/>
      <c r="AC561"/>
      <c r="AD561"/>
      <c r="AE561"/>
      <c r="AF561"/>
      <c r="AG561"/>
      <c r="AI561" s="148"/>
      <c r="AJ561" s="1"/>
      <c r="AK561" s="1"/>
      <c r="AL561" s="54"/>
      <c r="AM561" s="1"/>
      <c r="AN561" s="43"/>
      <c r="AO561" s="1"/>
      <c r="AP561" s="1"/>
      <c r="AQ561" s="19"/>
      <c r="AR561" s="54"/>
      <c r="AS561" s="43"/>
      <c r="AT561" s="1"/>
      <c r="AU561" s="1"/>
      <c r="AV561" s="1"/>
      <c r="AW561" s="54"/>
      <c r="AX561" s="57"/>
      <c r="AY561" s="54"/>
      <c r="AZ561" s="54"/>
      <c r="BA561" s="54"/>
      <c r="BB561" s="54"/>
      <c r="BC561" s="57"/>
      <c r="BD561" s="1"/>
      <c r="BE561" s="1"/>
      <c r="BF561" s="1"/>
      <c r="BG561" s="54"/>
      <c r="BH561" s="43"/>
      <c r="BI561"/>
      <c r="BJ561" s="13"/>
      <c r="BK561" s="1"/>
      <c r="BL561"/>
      <c r="BM561"/>
      <c r="BN561"/>
      <c r="DY561" s="43"/>
      <c r="DZ561"/>
      <c r="EA561" s="19"/>
      <c r="EB561" s="19"/>
      <c r="EC561" s="9"/>
      <c r="ED561" s="9"/>
      <c r="EE561" s="9"/>
      <c r="EF561" s="9"/>
      <c r="EG561" s="9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  <c r="FT561" s="13"/>
      <c r="FU561" s="13"/>
      <c r="FV561" s="13"/>
      <c r="FW561" s="13"/>
      <c r="FX561" s="13"/>
      <c r="FY561" s="13"/>
      <c r="FZ561" s="13"/>
      <c r="GA561" s="13"/>
    </row>
    <row r="562" spans="1:183" s="52" customFormat="1" ht="13.2" x14ac:dyDescent="0.25">
      <c r="A562" s="2"/>
      <c r="B562" s="2"/>
      <c r="C562" s="9">
        <v>28</v>
      </c>
      <c r="D562" s="9">
        <v>35</v>
      </c>
      <c r="E562" s="9">
        <v>36</v>
      </c>
      <c r="F562" s="9">
        <v>37</v>
      </c>
      <c r="G562" s="9">
        <v>40</v>
      </c>
      <c r="H562" s="9">
        <v>73</v>
      </c>
      <c r="I562" s="43"/>
      <c r="J562" s="9">
        <v>73</v>
      </c>
      <c r="K562" s="43"/>
      <c r="L562" s="39">
        <v>45392</v>
      </c>
      <c r="M562" s="43"/>
      <c r="N562"/>
      <c r="O562"/>
      <c r="P562"/>
      <c r="Q562"/>
      <c r="R562"/>
      <c r="S562"/>
      <c r="T562"/>
      <c r="U562"/>
      <c r="V562"/>
      <c r="X562" s="43"/>
      <c r="Y562"/>
      <c r="Z562"/>
      <c r="AA562"/>
      <c r="AB562"/>
      <c r="AC562"/>
      <c r="AD562"/>
      <c r="AE562"/>
      <c r="AF562"/>
      <c r="AG562"/>
      <c r="AI562" s="148"/>
      <c r="AJ562" s="1"/>
      <c r="AK562" s="1"/>
      <c r="AL562" s="54"/>
      <c r="AM562" s="1"/>
      <c r="AN562" s="43"/>
      <c r="AO562" s="1"/>
      <c r="AP562" s="1"/>
      <c r="AQ562" s="19"/>
      <c r="AR562" s="54"/>
      <c r="AS562" s="43"/>
      <c r="AT562" s="1"/>
      <c r="AU562" s="1"/>
      <c r="AV562" s="1"/>
      <c r="AW562" s="54"/>
      <c r="AX562" s="57"/>
      <c r="AY562" s="54"/>
      <c r="AZ562" s="54"/>
      <c r="BA562" s="54"/>
      <c r="BB562" s="54"/>
      <c r="BC562" s="57"/>
      <c r="BD562" s="1"/>
      <c r="BE562" s="1"/>
      <c r="BF562" s="1"/>
      <c r="BG562" s="54"/>
      <c r="BH562" s="43"/>
      <c r="BI562"/>
      <c r="BJ562" s="13"/>
      <c r="BK562" s="1"/>
      <c r="BL562"/>
      <c r="BM562"/>
      <c r="BN562"/>
      <c r="DY562" s="43"/>
      <c r="DZ562"/>
      <c r="EA562" s="19"/>
      <c r="EB562" s="19"/>
      <c r="EC562" s="9"/>
      <c r="ED562" s="9"/>
      <c r="EE562" s="9"/>
      <c r="EF562" s="9"/>
      <c r="EG562" s="9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  <c r="FI562" s="13"/>
      <c r="FJ562" s="13"/>
      <c r="FK562" s="13"/>
      <c r="FL562" s="13"/>
      <c r="FM562" s="13"/>
      <c r="FN562" s="13"/>
      <c r="FO562" s="13"/>
      <c r="FP562" s="13"/>
      <c r="FQ562" s="13"/>
      <c r="FR562" s="13"/>
      <c r="FS562" s="13"/>
      <c r="FT562" s="13"/>
      <c r="FU562" s="13"/>
      <c r="FV562" s="13"/>
      <c r="FW562" s="13"/>
      <c r="FX562" s="13"/>
      <c r="FY562" s="13"/>
      <c r="FZ562" s="13"/>
      <c r="GA562" s="13"/>
    </row>
    <row r="563" spans="1:183" s="52" customFormat="1" ht="13.2" x14ac:dyDescent="0.25">
      <c r="A563" s="2"/>
      <c r="B563" s="2"/>
      <c r="C563" s="9">
        <v>27</v>
      </c>
      <c r="D563" s="9">
        <v>38</v>
      </c>
      <c r="E563" s="9">
        <v>39</v>
      </c>
      <c r="F563" s="9">
        <v>42</v>
      </c>
      <c r="G563" s="9">
        <v>48</v>
      </c>
      <c r="H563" s="9">
        <v>51</v>
      </c>
      <c r="I563" s="43"/>
      <c r="J563" s="9">
        <v>51</v>
      </c>
      <c r="K563" s="43"/>
      <c r="L563" s="39">
        <v>45390</v>
      </c>
      <c r="M563" s="43"/>
      <c r="N563"/>
      <c r="O563"/>
      <c r="P563"/>
      <c r="Q563"/>
      <c r="R563"/>
      <c r="S563"/>
      <c r="T563"/>
      <c r="U563"/>
      <c r="V563"/>
      <c r="X563" s="43"/>
      <c r="Y563"/>
      <c r="Z563"/>
      <c r="AA563"/>
      <c r="AB563"/>
      <c r="AC563"/>
      <c r="AD563"/>
      <c r="AE563"/>
      <c r="AF563"/>
      <c r="AG563"/>
      <c r="AI563" s="148"/>
      <c r="AJ563" s="1"/>
      <c r="AK563" s="1"/>
      <c r="AL563" s="54"/>
      <c r="AM563" s="1"/>
      <c r="AN563" s="43"/>
      <c r="AO563" s="1"/>
      <c r="AP563" s="1"/>
      <c r="AQ563" s="19"/>
      <c r="AR563" s="54"/>
      <c r="AS563" s="43"/>
      <c r="AT563" s="1"/>
      <c r="AU563" s="1"/>
      <c r="AV563" s="1"/>
      <c r="AW563" s="54"/>
      <c r="AX563" s="57"/>
      <c r="AY563" s="54"/>
      <c r="AZ563" s="54"/>
      <c r="BA563" s="54"/>
      <c r="BB563" s="54"/>
      <c r="BC563" s="57"/>
      <c r="BD563" s="1"/>
      <c r="BE563" s="1"/>
      <c r="BF563" s="1"/>
      <c r="BG563" s="54"/>
      <c r="BH563" s="43"/>
      <c r="BI563"/>
      <c r="BJ563" s="13"/>
      <c r="BK563" s="1"/>
      <c r="BL563"/>
      <c r="BM563"/>
      <c r="BN563"/>
      <c r="DY563" s="43"/>
      <c r="DZ563"/>
      <c r="EA563" s="19"/>
      <c r="EB563" s="19"/>
      <c r="EC563" s="9"/>
      <c r="ED563" s="9"/>
      <c r="EE563" s="9"/>
      <c r="EF563" s="9"/>
      <c r="EG563" s="9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  <c r="FT563" s="13"/>
      <c r="FU563" s="13"/>
      <c r="FV563" s="13"/>
      <c r="FW563" s="13"/>
      <c r="FX563" s="13"/>
      <c r="FY563" s="13"/>
      <c r="FZ563" s="13"/>
      <c r="GA563" s="13"/>
    </row>
    <row r="564" spans="1:183" s="52" customFormat="1" ht="13.2" x14ac:dyDescent="0.25">
      <c r="A564" s="2"/>
      <c r="B564" s="2"/>
      <c r="C564" s="9">
        <v>20</v>
      </c>
      <c r="D564" s="9">
        <v>32</v>
      </c>
      <c r="E564" s="9">
        <v>47</v>
      </c>
      <c r="F564" s="9">
        <v>62</v>
      </c>
      <c r="G564" s="9">
        <v>72</v>
      </c>
      <c r="H564" s="9">
        <v>88</v>
      </c>
      <c r="I564" s="43"/>
      <c r="J564" s="9">
        <v>88</v>
      </c>
      <c r="K564" s="43"/>
      <c r="L564" s="39">
        <v>45388</v>
      </c>
      <c r="M564" s="43"/>
      <c r="N564"/>
      <c r="O564"/>
      <c r="P564"/>
      <c r="Q564"/>
      <c r="R564"/>
      <c r="S564"/>
      <c r="T564"/>
      <c r="U564"/>
      <c r="V564"/>
      <c r="X564" s="43"/>
      <c r="Y564"/>
      <c r="Z564"/>
      <c r="AA564"/>
      <c r="AB564"/>
      <c r="AC564"/>
      <c r="AD564"/>
      <c r="AE564"/>
      <c r="AF564"/>
      <c r="AG564"/>
      <c r="AI564" s="148"/>
      <c r="AJ564" s="1"/>
      <c r="AK564" s="1"/>
      <c r="AL564" s="54"/>
      <c r="AM564" s="1"/>
      <c r="AN564" s="43"/>
      <c r="AO564" s="1"/>
      <c r="AP564" s="1"/>
      <c r="AQ564" s="19"/>
      <c r="AR564" s="54"/>
      <c r="AS564" s="43"/>
      <c r="AT564" s="1"/>
      <c r="AU564" s="1"/>
      <c r="AV564" s="1"/>
      <c r="AW564" s="54"/>
      <c r="AX564" s="57"/>
      <c r="AY564" s="54"/>
      <c r="AZ564" s="54"/>
      <c r="BA564" s="54"/>
      <c r="BB564" s="54"/>
      <c r="BC564" s="57"/>
      <c r="BD564" s="1"/>
      <c r="BE564" s="1"/>
      <c r="BF564" s="1"/>
      <c r="BG564" s="54"/>
      <c r="BH564" s="43"/>
      <c r="BI564"/>
      <c r="BJ564" s="13"/>
      <c r="BK564" s="1"/>
      <c r="BL564"/>
      <c r="BM564"/>
      <c r="BN564"/>
      <c r="DY564" s="43"/>
      <c r="DZ564"/>
      <c r="EA564" s="19"/>
      <c r="EB564" s="19"/>
      <c r="EC564" s="9"/>
      <c r="ED564" s="9"/>
      <c r="EE564" s="9"/>
      <c r="EF564" s="9"/>
      <c r="EG564" s="9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  <c r="FT564" s="13"/>
      <c r="FU564" s="13"/>
      <c r="FV564" s="13"/>
      <c r="FW564" s="13"/>
      <c r="FX564" s="13"/>
      <c r="FY564" s="13"/>
      <c r="FZ564" s="13"/>
      <c r="GA564" s="13"/>
    </row>
    <row r="565" spans="1:183" s="52" customFormat="1" ht="13.2" x14ac:dyDescent="0.25">
      <c r="A565" s="2"/>
      <c r="B565" s="2"/>
      <c r="C565" s="9">
        <v>8</v>
      </c>
      <c r="D565" s="9">
        <v>21</v>
      </c>
      <c r="E565" s="9">
        <v>27</v>
      </c>
      <c r="F565" s="9">
        <v>45</v>
      </c>
      <c r="G565" s="9">
        <v>70</v>
      </c>
      <c r="H565" s="9">
        <v>82</v>
      </c>
      <c r="I565" s="43"/>
      <c r="J565" s="9">
        <v>82</v>
      </c>
      <c r="K565" s="43"/>
      <c r="L565" s="39">
        <v>45385</v>
      </c>
      <c r="M565" s="43"/>
      <c r="N565"/>
      <c r="O565"/>
      <c r="P565"/>
      <c r="Q565"/>
      <c r="R565"/>
      <c r="S565"/>
      <c r="T565"/>
      <c r="U565"/>
      <c r="V565"/>
      <c r="X565" s="43"/>
      <c r="Y565"/>
      <c r="Z565"/>
      <c r="AA565"/>
      <c r="AB565"/>
      <c r="AC565"/>
      <c r="AD565"/>
      <c r="AE565"/>
      <c r="AF565"/>
      <c r="AG565"/>
      <c r="AI565" s="148"/>
      <c r="AJ565" s="1"/>
      <c r="AK565" s="1"/>
      <c r="AL565" s="54"/>
      <c r="AM565" s="1"/>
      <c r="AN565" s="43"/>
      <c r="AO565" s="1"/>
      <c r="AP565" s="1"/>
      <c r="AQ565" s="19"/>
      <c r="AR565" s="54"/>
      <c r="AS565" s="43"/>
      <c r="AT565" s="1"/>
      <c r="AU565" s="1"/>
      <c r="AV565" s="1"/>
      <c r="AW565" s="54"/>
      <c r="AX565" s="57"/>
      <c r="AY565" s="54"/>
      <c r="AZ565" s="54"/>
      <c r="BA565" s="54"/>
      <c r="BB565" s="54"/>
      <c r="BC565" s="57"/>
      <c r="BD565" s="1"/>
      <c r="BE565" s="1"/>
      <c r="BF565" s="1"/>
      <c r="BG565" s="54"/>
      <c r="BH565" s="43"/>
      <c r="BI565"/>
      <c r="BJ565" s="13"/>
      <c r="BK565" s="1"/>
      <c r="BL565"/>
      <c r="BM565"/>
      <c r="BN565"/>
      <c r="DY565" s="43"/>
      <c r="DZ565"/>
      <c r="EA565" s="19"/>
      <c r="EB565" s="19"/>
      <c r="EC565" s="9"/>
      <c r="ED565" s="9"/>
      <c r="EE565" s="9"/>
      <c r="EF565" s="9"/>
      <c r="EG565" s="9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  <c r="FT565" s="13"/>
      <c r="FU565" s="13"/>
      <c r="FV565" s="13"/>
      <c r="FW565" s="13"/>
      <c r="FX565" s="13"/>
      <c r="FY565" s="13"/>
      <c r="FZ565" s="13"/>
      <c r="GA565" s="13"/>
    </row>
    <row r="566" spans="1:183" s="52" customFormat="1" ht="13.2" x14ac:dyDescent="0.25">
      <c r="A566" s="2"/>
      <c r="B566" s="2"/>
      <c r="C566" s="9">
        <v>6</v>
      </c>
      <c r="D566" s="9">
        <v>19</v>
      </c>
      <c r="E566" s="9">
        <v>46</v>
      </c>
      <c r="F566" s="9">
        <v>49</v>
      </c>
      <c r="G566" s="9">
        <v>59</v>
      </c>
      <c r="H566" s="9">
        <v>64</v>
      </c>
      <c r="I566" s="43"/>
      <c r="J566" s="9">
        <v>64</v>
      </c>
      <c r="K566" s="43"/>
      <c r="L566" s="39">
        <v>45383</v>
      </c>
      <c r="M566" s="43"/>
      <c r="N566"/>
      <c r="O566"/>
      <c r="P566"/>
      <c r="Q566"/>
      <c r="R566"/>
      <c r="S566"/>
      <c r="T566"/>
      <c r="U566"/>
      <c r="V566"/>
      <c r="X566" s="43"/>
      <c r="Y566"/>
      <c r="Z566"/>
      <c r="AA566"/>
      <c r="AB566"/>
      <c r="AC566"/>
      <c r="AD566"/>
      <c r="AE566"/>
      <c r="AF566"/>
      <c r="AG566"/>
      <c r="AI566" s="148"/>
      <c r="AJ566" s="1"/>
      <c r="AK566" s="1"/>
      <c r="AL566" s="54"/>
      <c r="AM566" s="1"/>
      <c r="AN566" s="43"/>
      <c r="AO566" s="1"/>
      <c r="AP566" s="1"/>
      <c r="AQ566" s="19"/>
      <c r="AR566" s="54"/>
      <c r="AS566" s="43"/>
      <c r="AT566" s="1"/>
      <c r="AU566" s="1"/>
      <c r="AV566" s="1"/>
      <c r="AW566" s="54"/>
      <c r="AX566" s="57"/>
      <c r="AY566" s="54"/>
      <c r="AZ566" s="54"/>
      <c r="BA566" s="54"/>
      <c r="BB566" s="54"/>
      <c r="BC566" s="57"/>
      <c r="BD566" s="1"/>
      <c r="BE566" s="1"/>
      <c r="BF566" s="1"/>
      <c r="BG566" s="54"/>
      <c r="BH566" s="43"/>
      <c r="BI566"/>
      <c r="BJ566" s="13"/>
      <c r="BK566" s="1"/>
      <c r="BL566"/>
      <c r="BM566"/>
      <c r="BN566"/>
      <c r="DY566" s="43"/>
      <c r="DZ566"/>
      <c r="EA566" s="19"/>
      <c r="EB566" s="19"/>
      <c r="EC566" s="9"/>
      <c r="ED566" s="9"/>
      <c r="EE566" s="9"/>
      <c r="EF566" s="9"/>
      <c r="EG566" s="9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  <c r="FI566" s="13"/>
      <c r="FJ566" s="13"/>
      <c r="FK566" s="13"/>
      <c r="FL566" s="13"/>
      <c r="FM566" s="13"/>
      <c r="FN566" s="13"/>
      <c r="FO566" s="13"/>
      <c r="FP566" s="13"/>
      <c r="FQ566" s="13"/>
      <c r="FR566" s="13"/>
      <c r="FS566" s="13"/>
      <c r="FT566" s="13"/>
      <c r="FU566" s="13"/>
      <c r="FV566" s="13"/>
      <c r="FW566" s="13"/>
      <c r="FX566" s="13"/>
      <c r="FY566" s="13"/>
      <c r="FZ566" s="13"/>
      <c r="GA566" s="13"/>
    </row>
    <row r="567" spans="1:183" s="52" customFormat="1" ht="13.2" x14ac:dyDescent="0.25">
      <c r="A567" s="2"/>
      <c r="B567" s="2"/>
      <c r="C567" s="9">
        <v>14</v>
      </c>
      <c r="D567" s="9">
        <v>17</v>
      </c>
      <c r="E567" s="9">
        <v>31</v>
      </c>
      <c r="F567" s="9">
        <v>55</v>
      </c>
      <c r="G567" s="9">
        <v>56</v>
      </c>
      <c r="H567" s="9">
        <v>69</v>
      </c>
      <c r="I567" s="43"/>
      <c r="J567" s="9">
        <v>69</v>
      </c>
      <c r="K567" s="43"/>
      <c r="L567" s="39">
        <v>45381</v>
      </c>
      <c r="M567" s="43"/>
      <c r="N567"/>
      <c r="O567"/>
      <c r="P567"/>
      <c r="Q567"/>
      <c r="R567"/>
      <c r="S567"/>
      <c r="T567"/>
      <c r="U567"/>
      <c r="V567"/>
      <c r="X567" s="43"/>
      <c r="Y567"/>
      <c r="Z567"/>
      <c r="AA567"/>
      <c r="AB567"/>
      <c r="AC567"/>
      <c r="AD567"/>
      <c r="AE567"/>
      <c r="AF567"/>
      <c r="AG567"/>
      <c r="AI567" s="148"/>
      <c r="AJ567" s="1"/>
      <c r="AK567" s="1"/>
      <c r="AL567" s="54"/>
      <c r="AM567" s="1"/>
      <c r="AN567" s="43"/>
      <c r="AO567" s="1"/>
      <c r="AP567" s="1"/>
      <c r="AQ567" s="19"/>
      <c r="AR567" s="54"/>
      <c r="AS567" s="43"/>
      <c r="AT567" s="1"/>
      <c r="AU567" s="1"/>
      <c r="AV567" s="1"/>
      <c r="AW567" s="54"/>
      <c r="AX567" s="57"/>
      <c r="AY567" s="54"/>
      <c r="AZ567" s="54"/>
      <c r="BA567" s="54"/>
      <c r="BB567" s="54"/>
      <c r="BC567" s="57"/>
      <c r="BD567" s="1"/>
      <c r="BE567" s="1"/>
      <c r="BF567" s="1"/>
      <c r="BG567" s="54"/>
      <c r="BH567" s="43"/>
      <c r="BI567"/>
      <c r="BJ567" s="13"/>
      <c r="BK567" s="1"/>
      <c r="BL567"/>
      <c r="BM567"/>
      <c r="BN567"/>
      <c r="DY567" s="43"/>
      <c r="DZ567"/>
      <c r="EA567" s="19"/>
      <c r="EB567" s="19"/>
      <c r="EC567" s="9"/>
      <c r="ED567" s="9"/>
      <c r="EE567" s="9"/>
      <c r="EF567" s="9"/>
      <c r="EG567" s="9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  <c r="FT567" s="13"/>
      <c r="FU567" s="13"/>
      <c r="FV567" s="13"/>
      <c r="FW567" s="13"/>
      <c r="FX567" s="13"/>
      <c r="FY567" s="13"/>
      <c r="FZ567" s="13"/>
      <c r="GA567" s="13"/>
    </row>
    <row r="568" spans="1:183" s="52" customFormat="1" ht="13.2" x14ac:dyDescent="0.25">
      <c r="A568" s="2"/>
      <c r="B568" s="2"/>
      <c r="C568" s="9">
        <v>3</v>
      </c>
      <c r="D568" s="9">
        <v>6</v>
      </c>
      <c r="E568" s="9">
        <v>18</v>
      </c>
      <c r="F568" s="9">
        <v>31</v>
      </c>
      <c r="G568" s="9">
        <v>62</v>
      </c>
      <c r="H568" s="9">
        <v>87</v>
      </c>
      <c r="I568" s="43"/>
      <c r="J568" s="9">
        <v>87</v>
      </c>
      <c r="K568" s="43"/>
      <c r="L568" s="39">
        <v>45378</v>
      </c>
      <c r="M568" s="43"/>
      <c r="N568"/>
      <c r="O568"/>
      <c r="P568"/>
      <c r="Q568"/>
      <c r="R568"/>
      <c r="S568"/>
      <c r="T568"/>
      <c r="U568"/>
      <c r="V568"/>
      <c r="X568" s="43"/>
      <c r="Y568"/>
      <c r="Z568"/>
      <c r="AA568"/>
      <c r="AB568"/>
      <c r="AC568"/>
      <c r="AD568"/>
      <c r="AE568"/>
      <c r="AF568"/>
      <c r="AG568"/>
      <c r="AI568" s="148"/>
      <c r="AJ568" s="1"/>
      <c r="AK568" s="1"/>
      <c r="AL568" s="54"/>
      <c r="AM568" s="1"/>
      <c r="AN568" s="43"/>
      <c r="AO568" s="1"/>
      <c r="AP568" s="1"/>
      <c r="AQ568" s="19"/>
      <c r="AR568" s="54"/>
      <c r="AS568" s="43"/>
      <c r="AT568" s="1"/>
      <c r="AU568" s="1"/>
      <c r="AV568" s="1"/>
      <c r="AW568" s="54"/>
      <c r="AX568" s="57"/>
      <c r="AY568" s="54"/>
      <c r="AZ568" s="54"/>
      <c r="BA568" s="54"/>
      <c r="BB568" s="54"/>
      <c r="BC568" s="57"/>
      <c r="BD568" s="1"/>
      <c r="BE568" s="1"/>
      <c r="BF568" s="1"/>
      <c r="BG568" s="54"/>
      <c r="BH568" s="43"/>
      <c r="BI568"/>
      <c r="BJ568" s="13"/>
      <c r="BK568" s="1"/>
      <c r="BL568"/>
      <c r="BM568"/>
      <c r="BN568"/>
      <c r="DY568" s="43"/>
      <c r="DZ568"/>
      <c r="EA568" s="19"/>
      <c r="EB568" s="19"/>
      <c r="EC568" s="9"/>
      <c r="ED568" s="9"/>
      <c r="EE568" s="9"/>
      <c r="EF568" s="9"/>
      <c r="EG568" s="9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  <c r="FU568" s="13"/>
      <c r="FV568" s="13"/>
      <c r="FW568" s="13"/>
      <c r="FX568" s="13"/>
      <c r="FY568" s="13"/>
      <c r="FZ568" s="13"/>
      <c r="GA568" s="13"/>
    </row>
    <row r="569" spans="1:183" s="52" customFormat="1" ht="13.2" x14ac:dyDescent="0.25">
      <c r="A569" s="2"/>
      <c r="B569" s="2"/>
      <c r="C569" s="9">
        <v>9</v>
      </c>
      <c r="D569" s="9">
        <v>47</v>
      </c>
      <c r="E569" s="9">
        <v>62</v>
      </c>
      <c r="F569" s="9">
        <v>68</v>
      </c>
      <c r="G569" s="9">
        <v>77</v>
      </c>
      <c r="H569" s="9">
        <v>90</v>
      </c>
      <c r="I569" s="43"/>
      <c r="J569" s="9">
        <v>90</v>
      </c>
      <c r="K569" s="43"/>
      <c r="L569" s="39">
        <v>45376</v>
      </c>
      <c r="M569" s="43"/>
      <c r="N569"/>
      <c r="O569"/>
      <c r="P569"/>
      <c r="Q569"/>
      <c r="R569"/>
      <c r="S569"/>
      <c r="T569"/>
      <c r="U569"/>
      <c r="V569"/>
      <c r="X569" s="43"/>
      <c r="Y569"/>
      <c r="Z569"/>
      <c r="AA569"/>
      <c r="AB569"/>
      <c r="AC569"/>
      <c r="AD569"/>
      <c r="AE569"/>
      <c r="AF569"/>
      <c r="AG569"/>
      <c r="AI569" s="148"/>
      <c r="AJ569" s="1"/>
      <c r="AK569" s="1"/>
      <c r="AL569" s="54"/>
      <c r="AM569" s="1"/>
      <c r="AN569" s="43"/>
      <c r="AO569" s="1"/>
      <c r="AP569" s="1"/>
      <c r="AQ569" s="19"/>
      <c r="AR569" s="54"/>
      <c r="AS569" s="43"/>
      <c r="AT569" s="1"/>
      <c r="AU569" s="1"/>
      <c r="AV569" s="1"/>
      <c r="AW569" s="54"/>
      <c r="AX569" s="57"/>
      <c r="AY569" s="54"/>
      <c r="AZ569" s="54"/>
      <c r="BA569" s="54"/>
      <c r="BB569" s="54"/>
      <c r="BC569" s="57"/>
      <c r="BD569" s="1"/>
      <c r="BE569" s="1"/>
      <c r="BF569" s="1"/>
      <c r="BG569" s="54"/>
      <c r="BH569" s="43"/>
      <c r="BI569"/>
      <c r="BJ569" s="13"/>
      <c r="BK569" s="1"/>
      <c r="BL569"/>
      <c r="BM569"/>
      <c r="BN569"/>
      <c r="DY569" s="43"/>
      <c r="DZ569"/>
      <c r="EA569" s="19"/>
      <c r="EB569" s="19"/>
      <c r="EC569" s="9"/>
      <c r="ED569" s="9"/>
      <c r="EE569" s="9"/>
      <c r="EF569" s="9"/>
      <c r="EG569" s="9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3"/>
      <c r="FD569" s="13"/>
      <c r="FE569" s="13"/>
      <c r="FF569" s="13"/>
      <c r="FG569" s="13"/>
      <c r="FH569" s="13"/>
      <c r="FI569" s="13"/>
      <c r="FJ569" s="13"/>
      <c r="FK569" s="13"/>
      <c r="FL569" s="13"/>
      <c r="FM569" s="13"/>
      <c r="FN569" s="13"/>
      <c r="FO569" s="13"/>
      <c r="FP569" s="13"/>
      <c r="FQ569" s="13"/>
      <c r="FR569" s="13"/>
      <c r="FS569" s="13"/>
      <c r="FT569" s="13"/>
      <c r="FU569" s="13"/>
      <c r="FV569" s="13"/>
      <c r="FW569" s="13"/>
      <c r="FX569" s="13"/>
      <c r="FY569" s="13"/>
      <c r="FZ569" s="13"/>
      <c r="GA569" s="13"/>
    </row>
    <row r="570" spans="1:183" s="52" customFormat="1" ht="13.2" x14ac:dyDescent="0.25">
      <c r="A570" s="2"/>
      <c r="B570" s="2"/>
      <c r="C570" s="9">
        <v>15</v>
      </c>
      <c r="D570" s="9">
        <v>19</v>
      </c>
      <c r="E570" s="9">
        <v>39</v>
      </c>
      <c r="F570" s="9">
        <v>60</v>
      </c>
      <c r="G570" s="9">
        <v>69</v>
      </c>
      <c r="H570" s="9">
        <v>83</v>
      </c>
      <c r="I570" s="43"/>
      <c r="J570" s="9">
        <v>83</v>
      </c>
      <c r="K570" s="43"/>
      <c r="L570" s="39">
        <v>45374</v>
      </c>
      <c r="M570" s="43"/>
      <c r="N570"/>
      <c r="O570"/>
      <c r="P570"/>
      <c r="Q570"/>
      <c r="R570"/>
      <c r="S570"/>
      <c r="T570"/>
      <c r="U570"/>
      <c r="V570"/>
      <c r="X570" s="43"/>
      <c r="Y570"/>
      <c r="Z570"/>
      <c r="AA570"/>
      <c r="AB570"/>
      <c r="AC570"/>
      <c r="AD570"/>
      <c r="AE570"/>
      <c r="AF570"/>
      <c r="AG570"/>
      <c r="AI570" s="148"/>
      <c r="AJ570" s="1"/>
      <c r="AK570" s="1"/>
      <c r="AL570" s="54"/>
      <c r="AM570" s="1"/>
      <c r="AN570" s="43"/>
      <c r="AO570" s="1"/>
      <c r="AP570" s="1"/>
      <c r="AQ570" s="19"/>
      <c r="AR570" s="54"/>
      <c r="AS570" s="43"/>
      <c r="AT570" s="1"/>
      <c r="AU570" s="1"/>
      <c r="AV570" s="1"/>
      <c r="AW570" s="54"/>
      <c r="AX570" s="57"/>
      <c r="AY570" s="54"/>
      <c r="AZ570" s="54"/>
      <c r="BA570" s="54"/>
      <c r="BB570" s="54"/>
      <c r="BC570" s="57"/>
      <c r="BD570" s="1"/>
      <c r="BE570" s="1"/>
      <c r="BF570" s="1"/>
      <c r="BG570" s="54"/>
      <c r="BH570" s="43"/>
      <c r="BI570"/>
      <c r="BJ570" s="13"/>
      <c r="BK570" s="1"/>
      <c r="BL570"/>
      <c r="BM570"/>
      <c r="BN570"/>
      <c r="DY570" s="43"/>
      <c r="DZ570"/>
      <c r="EA570" s="19"/>
      <c r="EB570" s="19"/>
      <c r="EC570" s="9"/>
      <c r="ED570" s="9"/>
      <c r="EE570" s="9"/>
      <c r="EF570" s="9"/>
      <c r="EG570" s="9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  <c r="FT570" s="13"/>
      <c r="FU570" s="13"/>
      <c r="FV570" s="13"/>
      <c r="FW570" s="13"/>
      <c r="FX570" s="13"/>
      <c r="FY570" s="13"/>
      <c r="FZ570" s="13"/>
      <c r="GA570" s="13"/>
    </row>
    <row r="571" spans="1:183" s="52" customFormat="1" ht="13.2" x14ac:dyDescent="0.25">
      <c r="A571" s="2"/>
      <c r="B571" s="2"/>
      <c r="C571" s="9">
        <v>7</v>
      </c>
      <c r="D571" s="9">
        <v>37</v>
      </c>
      <c r="E571" s="9">
        <v>44</v>
      </c>
      <c r="F571" s="9">
        <v>51</v>
      </c>
      <c r="G571" s="9">
        <v>61</v>
      </c>
      <c r="H571" s="9">
        <v>66</v>
      </c>
      <c r="I571" s="43"/>
      <c r="J571" s="9">
        <v>66</v>
      </c>
      <c r="K571" s="43"/>
      <c r="L571" s="39">
        <v>45371</v>
      </c>
      <c r="M571" s="43"/>
      <c r="N571"/>
      <c r="O571"/>
      <c r="P571"/>
      <c r="Q571"/>
      <c r="R571"/>
      <c r="S571"/>
      <c r="T571"/>
      <c r="U571"/>
      <c r="V571"/>
      <c r="X571" s="43"/>
      <c r="Y571"/>
      <c r="Z571"/>
      <c r="AA571"/>
      <c r="AB571"/>
      <c r="AC571"/>
      <c r="AD571"/>
      <c r="AE571"/>
      <c r="AF571"/>
      <c r="AG571"/>
      <c r="AI571" s="148"/>
      <c r="AJ571" s="1"/>
      <c r="AK571" s="1"/>
      <c r="AL571" s="54"/>
      <c r="AM571" s="1"/>
      <c r="AN571" s="43"/>
      <c r="AO571" s="1"/>
      <c r="AP571" s="1"/>
      <c r="AQ571" s="19"/>
      <c r="AR571" s="54"/>
      <c r="AS571" s="43"/>
      <c r="AT571" s="1"/>
      <c r="AU571" s="1"/>
      <c r="AV571" s="1"/>
      <c r="AW571" s="54"/>
      <c r="AX571" s="57"/>
      <c r="AY571" s="54"/>
      <c r="AZ571" s="54"/>
      <c r="BA571" s="54"/>
      <c r="BB571" s="54"/>
      <c r="BC571" s="57"/>
      <c r="BD571" s="1"/>
      <c r="BE571" s="1"/>
      <c r="BF571" s="1"/>
      <c r="BG571" s="54"/>
      <c r="BH571" s="43"/>
      <c r="BI571"/>
      <c r="BJ571" s="13"/>
      <c r="BK571" s="1"/>
      <c r="BL571"/>
      <c r="BM571"/>
      <c r="BN571"/>
      <c r="DY571" s="43"/>
      <c r="DZ571"/>
      <c r="EA571" s="19"/>
      <c r="EB571" s="19"/>
      <c r="EC571" s="9"/>
      <c r="ED571" s="9"/>
      <c r="EE571" s="9"/>
      <c r="EF571" s="9"/>
      <c r="EG571" s="9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3"/>
      <c r="FD571" s="13"/>
      <c r="FE571" s="13"/>
      <c r="FF571" s="13"/>
      <c r="FG571" s="13"/>
      <c r="FH571" s="13"/>
      <c r="FI571" s="13"/>
      <c r="FJ571" s="13"/>
      <c r="FK571" s="13"/>
      <c r="FL571" s="13"/>
      <c r="FM571" s="13"/>
      <c r="FN571" s="13"/>
      <c r="FO571" s="13"/>
      <c r="FP571" s="13"/>
      <c r="FQ571" s="13"/>
      <c r="FR571" s="13"/>
      <c r="FS571" s="13"/>
      <c r="FT571" s="13"/>
      <c r="FU571" s="13"/>
      <c r="FV571" s="13"/>
      <c r="FW571" s="13"/>
      <c r="FX571" s="13"/>
      <c r="FY571" s="13"/>
      <c r="FZ571" s="13"/>
      <c r="GA571" s="13"/>
    </row>
    <row r="572" spans="1:183" s="52" customFormat="1" ht="13.2" x14ac:dyDescent="0.25">
      <c r="A572" s="2"/>
      <c r="B572" s="2"/>
      <c r="C572" s="9">
        <v>3</v>
      </c>
      <c r="D572" s="9">
        <v>18</v>
      </c>
      <c r="E572" s="9">
        <v>68</v>
      </c>
      <c r="F572" s="9">
        <v>84</v>
      </c>
      <c r="G572" s="9">
        <v>87</v>
      </c>
      <c r="H572" s="9">
        <v>88</v>
      </c>
      <c r="I572" s="43"/>
      <c r="J572" s="9">
        <v>88</v>
      </c>
      <c r="K572" s="43"/>
      <c r="L572" s="39">
        <v>45369</v>
      </c>
      <c r="M572" s="43"/>
      <c r="N572"/>
      <c r="O572"/>
      <c r="P572"/>
      <c r="Q572"/>
      <c r="R572"/>
      <c r="S572"/>
      <c r="T572"/>
      <c r="U572"/>
      <c r="V572"/>
      <c r="X572" s="43"/>
      <c r="Y572"/>
      <c r="Z572"/>
      <c r="AA572"/>
      <c r="AB572"/>
      <c r="AC572"/>
      <c r="AD572"/>
      <c r="AE572"/>
      <c r="AF572"/>
      <c r="AG572"/>
      <c r="AI572" s="148"/>
      <c r="AJ572" s="1"/>
      <c r="AK572" s="1"/>
      <c r="AL572" s="54"/>
      <c r="AM572" s="1"/>
      <c r="AN572" s="43"/>
      <c r="AO572" s="1"/>
      <c r="AP572" s="1"/>
      <c r="AQ572" s="19"/>
      <c r="AR572" s="54"/>
      <c r="AS572" s="43"/>
      <c r="AT572" s="1"/>
      <c r="AU572" s="1"/>
      <c r="AV572" s="1"/>
      <c r="AW572" s="54"/>
      <c r="AX572" s="57"/>
      <c r="AY572" s="54"/>
      <c r="AZ572" s="54"/>
      <c r="BA572" s="54"/>
      <c r="BB572" s="54"/>
      <c r="BC572" s="57"/>
      <c r="BD572" s="1"/>
      <c r="BE572" s="1"/>
      <c r="BF572" s="1"/>
      <c r="BG572" s="54"/>
      <c r="BH572" s="43"/>
      <c r="BI572"/>
      <c r="BJ572" s="13"/>
      <c r="BK572" s="1"/>
      <c r="BL572"/>
      <c r="BM572"/>
      <c r="BN572"/>
      <c r="DY572" s="43"/>
      <c r="DZ572"/>
      <c r="EA572" s="19"/>
      <c r="EB572" s="19"/>
      <c r="EC572" s="9"/>
      <c r="ED572" s="9"/>
      <c r="EE572" s="9"/>
      <c r="EF572" s="9"/>
      <c r="EG572" s="9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/>
      <c r="FB572" s="13"/>
      <c r="FC572" s="13"/>
      <c r="FD572" s="13"/>
      <c r="FE572" s="13"/>
      <c r="FF572" s="13"/>
      <c r="FG572" s="13"/>
      <c r="FH572" s="13"/>
      <c r="FI572" s="13"/>
      <c r="FJ572" s="13"/>
      <c r="FK572" s="13"/>
      <c r="FL572" s="13"/>
      <c r="FM572" s="13"/>
      <c r="FN572" s="13"/>
      <c r="FO572" s="13"/>
      <c r="FP572" s="13"/>
      <c r="FQ572" s="13"/>
      <c r="FR572" s="13"/>
      <c r="FS572" s="13"/>
      <c r="FT572" s="13"/>
      <c r="FU572" s="13"/>
      <c r="FV572" s="13"/>
      <c r="FW572" s="13"/>
      <c r="FX572" s="13"/>
      <c r="FY572" s="13"/>
      <c r="FZ572" s="13"/>
      <c r="GA572" s="13"/>
    </row>
    <row r="573" spans="1:183" s="52" customFormat="1" ht="13.2" x14ac:dyDescent="0.25">
      <c r="A573" s="2"/>
      <c r="B573" s="2"/>
      <c r="C573" s="9">
        <v>28</v>
      </c>
      <c r="D573" s="9">
        <v>34</v>
      </c>
      <c r="E573" s="9">
        <v>45</v>
      </c>
      <c r="F573" s="9">
        <v>60</v>
      </c>
      <c r="G573" s="9">
        <v>71</v>
      </c>
      <c r="H573" s="9">
        <v>80</v>
      </c>
      <c r="I573" s="43"/>
      <c r="J573" s="9">
        <v>80</v>
      </c>
      <c r="K573" s="43"/>
      <c r="L573" s="39">
        <v>45367</v>
      </c>
      <c r="M573" s="43"/>
      <c r="N573"/>
      <c r="O573"/>
      <c r="P573"/>
      <c r="Q573"/>
      <c r="R573"/>
      <c r="S573"/>
      <c r="T573"/>
      <c r="U573"/>
      <c r="V573"/>
      <c r="X573" s="43"/>
      <c r="Y573"/>
      <c r="Z573"/>
      <c r="AA573"/>
      <c r="AB573"/>
      <c r="AC573"/>
      <c r="AD573"/>
      <c r="AE573"/>
      <c r="AF573"/>
      <c r="AG573"/>
      <c r="AI573" s="148"/>
      <c r="AJ573" s="1"/>
      <c r="AK573" s="1"/>
      <c r="AL573" s="54"/>
      <c r="AM573" s="1"/>
      <c r="AN573" s="43"/>
      <c r="AO573" s="1"/>
      <c r="AP573" s="1"/>
      <c r="AQ573" s="19"/>
      <c r="AR573" s="54"/>
      <c r="AS573" s="43"/>
      <c r="AT573" s="1"/>
      <c r="AU573" s="1"/>
      <c r="AV573" s="1"/>
      <c r="AW573" s="54"/>
      <c r="AX573" s="57"/>
      <c r="AY573" s="54"/>
      <c r="AZ573" s="54"/>
      <c r="BA573" s="54"/>
      <c r="BB573" s="54"/>
      <c r="BC573" s="57"/>
      <c r="BD573" s="1"/>
      <c r="BE573" s="1"/>
      <c r="BF573" s="1"/>
      <c r="BG573" s="54"/>
      <c r="BH573" s="43"/>
      <c r="BI573"/>
      <c r="BJ573" s="13"/>
      <c r="BK573" s="1"/>
      <c r="BL573"/>
      <c r="BM573"/>
      <c r="BN573"/>
      <c r="DY573" s="43"/>
      <c r="DZ573"/>
      <c r="EA573" s="19"/>
      <c r="EB573" s="19"/>
      <c r="EC573" s="9"/>
      <c r="ED573" s="9"/>
      <c r="EE573" s="9"/>
      <c r="EF573" s="9"/>
      <c r="EG573" s="9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  <c r="FI573" s="13"/>
      <c r="FJ573" s="13"/>
      <c r="FK573" s="13"/>
      <c r="FL573" s="13"/>
      <c r="FM573" s="13"/>
      <c r="FN573" s="13"/>
      <c r="FO573" s="13"/>
      <c r="FP573" s="13"/>
      <c r="FQ573" s="13"/>
      <c r="FR573" s="13"/>
      <c r="FS573" s="13"/>
      <c r="FT573" s="13"/>
      <c r="FU573" s="13"/>
      <c r="FV573" s="13"/>
      <c r="FW573" s="13"/>
      <c r="FX573" s="13"/>
      <c r="FY573" s="13"/>
      <c r="FZ573" s="13"/>
      <c r="GA573" s="13"/>
    </row>
    <row r="574" spans="1:183" s="52" customFormat="1" ht="13.2" x14ac:dyDescent="0.25">
      <c r="A574" s="2"/>
      <c r="B574" s="2"/>
      <c r="C574" s="9">
        <v>5</v>
      </c>
      <c r="D574" s="9">
        <v>56</v>
      </c>
      <c r="E574" s="9">
        <v>59</v>
      </c>
      <c r="F574" s="9">
        <v>62</v>
      </c>
      <c r="G574" s="9">
        <v>78</v>
      </c>
      <c r="H574" s="9">
        <v>84</v>
      </c>
      <c r="I574" s="43"/>
      <c r="J574" s="9">
        <v>84</v>
      </c>
      <c r="K574" s="43"/>
      <c r="L574" s="39">
        <v>45364</v>
      </c>
      <c r="M574" s="43"/>
      <c r="N574"/>
      <c r="O574"/>
      <c r="P574"/>
      <c r="Q574"/>
      <c r="R574"/>
      <c r="S574"/>
      <c r="T574"/>
      <c r="U574"/>
      <c r="V574"/>
      <c r="X574" s="43"/>
      <c r="Y574"/>
      <c r="Z574"/>
      <c r="AA574"/>
      <c r="AB574"/>
      <c r="AC574"/>
      <c r="AD574"/>
      <c r="AE574"/>
      <c r="AF574"/>
      <c r="AG574"/>
      <c r="AI574" s="148"/>
      <c r="AJ574" s="1"/>
      <c r="AK574" s="1"/>
      <c r="AL574" s="54"/>
      <c r="AM574" s="1"/>
      <c r="AN574" s="43"/>
      <c r="AO574" s="1"/>
      <c r="AP574" s="1"/>
      <c r="AQ574" s="19"/>
      <c r="AR574" s="54"/>
      <c r="AS574" s="43"/>
      <c r="AT574" s="1"/>
      <c r="AU574" s="1"/>
      <c r="AV574" s="1"/>
      <c r="AW574" s="54"/>
      <c r="AX574" s="57"/>
      <c r="AY574" s="54"/>
      <c r="AZ574" s="54"/>
      <c r="BA574" s="54"/>
      <c r="BB574" s="54"/>
      <c r="BC574" s="57"/>
      <c r="BD574" s="1"/>
      <c r="BE574" s="1"/>
      <c r="BF574" s="1"/>
      <c r="BG574" s="54"/>
      <c r="BH574" s="43"/>
      <c r="BI574"/>
      <c r="BJ574" s="13"/>
      <c r="BK574" s="1"/>
      <c r="BL574"/>
      <c r="BM574"/>
      <c r="BN574"/>
      <c r="DY574" s="43"/>
      <c r="DZ574"/>
      <c r="EA574" s="19"/>
      <c r="EB574" s="19"/>
      <c r="EC574" s="9"/>
      <c r="ED574" s="9"/>
      <c r="EE574" s="9"/>
      <c r="EF574" s="9"/>
      <c r="EG574" s="9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  <c r="FI574" s="13"/>
      <c r="FJ574" s="13"/>
      <c r="FK574" s="13"/>
      <c r="FL574" s="13"/>
      <c r="FM574" s="13"/>
      <c r="FN574" s="13"/>
      <c r="FO574" s="13"/>
      <c r="FP574" s="13"/>
      <c r="FQ574" s="13"/>
      <c r="FR574" s="13"/>
      <c r="FS574" s="13"/>
      <c r="FT574" s="13"/>
      <c r="FU574" s="13"/>
      <c r="FV574" s="13"/>
      <c r="FW574" s="13"/>
      <c r="FX574" s="13"/>
      <c r="FY574" s="13"/>
      <c r="FZ574" s="13"/>
      <c r="GA574" s="13"/>
    </row>
    <row r="575" spans="1:183" s="52" customFormat="1" ht="13.2" x14ac:dyDescent="0.25">
      <c r="A575" s="2"/>
      <c r="B575" s="2"/>
      <c r="C575" s="9">
        <v>27</v>
      </c>
      <c r="D575" s="9">
        <v>42</v>
      </c>
      <c r="E575" s="9">
        <v>57</v>
      </c>
      <c r="F575" s="9">
        <v>65</v>
      </c>
      <c r="G575" s="9">
        <v>67</v>
      </c>
      <c r="H575" s="9">
        <v>83</v>
      </c>
      <c r="I575" s="43"/>
      <c r="J575" s="9">
        <v>83</v>
      </c>
      <c r="K575" s="43"/>
      <c r="L575" s="39">
        <v>45362</v>
      </c>
      <c r="M575" s="43"/>
      <c r="N575"/>
      <c r="O575"/>
      <c r="P575"/>
      <c r="Q575"/>
      <c r="R575"/>
      <c r="S575"/>
      <c r="T575"/>
      <c r="U575"/>
      <c r="V575"/>
      <c r="X575" s="43"/>
      <c r="Y575"/>
      <c r="Z575"/>
      <c r="AA575"/>
      <c r="AB575"/>
      <c r="AC575"/>
      <c r="AD575"/>
      <c r="AE575"/>
      <c r="AF575"/>
      <c r="AG575"/>
      <c r="AI575" s="148"/>
      <c r="AJ575" s="1"/>
      <c r="AK575" s="1"/>
      <c r="AL575" s="54"/>
      <c r="AM575" s="1"/>
      <c r="AN575" s="43"/>
      <c r="AO575" s="1"/>
      <c r="AP575" s="1"/>
      <c r="AQ575" s="19"/>
      <c r="AR575" s="54"/>
      <c r="AS575" s="43"/>
      <c r="AT575" s="1"/>
      <c r="AU575" s="1"/>
      <c r="AV575" s="1"/>
      <c r="AW575" s="54"/>
      <c r="AX575" s="57"/>
      <c r="AY575" s="54"/>
      <c r="AZ575" s="54"/>
      <c r="BA575" s="54"/>
      <c r="BB575" s="54"/>
      <c r="BC575" s="57"/>
      <c r="BD575" s="1"/>
      <c r="BE575" s="1"/>
      <c r="BF575" s="1"/>
      <c r="BG575" s="54"/>
      <c r="BH575" s="43"/>
      <c r="BI575"/>
      <c r="BJ575" s="13"/>
      <c r="BK575" s="1"/>
      <c r="BL575"/>
      <c r="BM575"/>
      <c r="BN575"/>
      <c r="DY575" s="43"/>
      <c r="DZ575"/>
      <c r="EA575" s="19"/>
      <c r="EB575" s="19"/>
      <c r="EC575" s="9"/>
      <c r="ED575" s="9"/>
      <c r="EE575" s="9"/>
      <c r="EF575" s="9"/>
      <c r="EG575" s="9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3"/>
      <c r="FD575" s="13"/>
      <c r="FE575" s="13"/>
      <c r="FF575" s="13"/>
      <c r="FG575" s="13"/>
      <c r="FH575" s="13"/>
      <c r="FI575" s="13"/>
      <c r="FJ575" s="13"/>
      <c r="FK575" s="13"/>
      <c r="FL575" s="13"/>
      <c r="FM575" s="13"/>
      <c r="FN575" s="13"/>
      <c r="FO575" s="13"/>
      <c r="FP575" s="13"/>
      <c r="FQ575" s="13"/>
      <c r="FR575" s="13"/>
      <c r="FS575" s="13"/>
      <c r="FT575" s="13"/>
      <c r="FU575" s="13"/>
      <c r="FV575" s="13"/>
      <c r="FW575" s="13"/>
      <c r="FX575" s="13"/>
      <c r="FY575" s="13"/>
      <c r="FZ575" s="13"/>
      <c r="GA575" s="13"/>
    </row>
    <row r="576" spans="1:183" s="52" customFormat="1" ht="13.2" x14ac:dyDescent="0.25">
      <c r="A576" s="2"/>
      <c r="B576" s="2"/>
      <c r="C576" s="9">
        <v>2</v>
      </c>
      <c r="D576" s="9">
        <v>8</v>
      </c>
      <c r="E576" s="9">
        <v>23</v>
      </c>
      <c r="F576" s="9">
        <v>50</v>
      </c>
      <c r="G576" s="9">
        <v>51</v>
      </c>
      <c r="H576" s="9">
        <v>68</v>
      </c>
      <c r="I576" s="43"/>
      <c r="J576" s="9">
        <v>68</v>
      </c>
      <c r="K576" s="43"/>
      <c r="L576" s="39">
        <v>45360</v>
      </c>
      <c r="M576" s="43"/>
      <c r="N576"/>
      <c r="O576"/>
      <c r="P576"/>
      <c r="Q576"/>
      <c r="R576"/>
      <c r="S576"/>
      <c r="T576"/>
      <c r="U576"/>
      <c r="V576"/>
      <c r="X576" s="43"/>
      <c r="Y576"/>
      <c r="Z576"/>
      <c r="AA576"/>
      <c r="AB576"/>
      <c r="AC576"/>
      <c r="AD576"/>
      <c r="AE576"/>
      <c r="AF576"/>
      <c r="AG576"/>
      <c r="AI576" s="148"/>
      <c r="AJ576" s="1"/>
      <c r="AK576" s="1"/>
      <c r="AL576" s="54"/>
      <c r="AM576" s="1"/>
      <c r="AN576" s="43"/>
      <c r="AO576" s="1"/>
      <c r="AP576" s="1"/>
      <c r="AQ576" s="19"/>
      <c r="AR576" s="54"/>
      <c r="AS576" s="43"/>
      <c r="AT576" s="1"/>
      <c r="AU576" s="1"/>
      <c r="AV576" s="1"/>
      <c r="AW576" s="54"/>
      <c r="AX576" s="57"/>
      <c r="AY576" s="54"/>
      <c r="AZ576" s="54"/>
      <c r="BA576" s="54"/>
      <c r="BB576" s="54"/>
      <c r="BC576" s="57"/>
      <c r="BD576" s="1"/>
      <c r="BE576" s="1"/>
      <c r="BF576" s="1"/>
      <c r="BG576" s="54"/>
      <c r="BH576" s="43"/>
      <c r="BI576"/>
      <c r="BJ576" s="13"/>
      <c r="BK576" s="1"/>
      <c r="BL576"/>
      <c r="BM576"/>
      <c r="BN576"/>
      <c r="DY576" s="43"/>
      <c r="DZ576"/>
      <c r="EA576" s="19"/>
      <c r="EB576" s="19"/>
      <c r="EC576" s="9"/>
      <c r="ED576" s="9"/>
      <c r="EE576" s="9"/>
      <c r="EF576" s="9"/>
      <c r="EG576" s="9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  <c r="FT576" s="13"/>
      <c r="FU576" s="13"/>
      <c r="FV576" s="13"/>
      <c r="FW576" s="13"/>
      <c r="FX576" s="13"/>
      <c r="FY576" s="13"/>
      <c r="FZ576" s="13"/>
      <c r="GA576" s="13"/>
    </row>
    <row r="577" spans="1:183" s="52" customFormat="1" ht="13.2" x14ac:dyDescent="0.25">
      <c r="A577" s="2"/>
      <c r="B577" s="2"/>
      <c r="C577" s="9">
        <v>9</v>
      </c>
      <c r="D577" s="9">
        <v>11</v>
      </c>
      <c r="E577" s="9">
        <v>46</v>
      </c>
      <c r="F577" s="9">
        <v>48</v>
      </c>
      <c r="G577" s="9">
        <v>49</v>
      </c>
      <c r="H577" s="9">
        <v>86</v>
      </c>
      <c r="I577" s="43"/>
      <c r="J577" s="9">
        <v>86</v>
      </c>
      <c r="K577" s="43"/>
      <c r="L577" s="39">
        <v>45357</v>
      </c>
      <c r="M577" s="43"/>
      <c r="N577"/>
      <c r="O577"/>
      <c r="P577"/>
      <c r="Q577"/>
      <c r="R577"/>
      <c r="S577"/>
      <c r="T577"/>
      <c r="U577"/>
      <c r="V577"/>
      <c r="X577" s="43"/>
      <c r="Y577"/>
      <c r="Z577"/>
      <c r="AA577"/>
      <c r="AB577"/>
      <c r="AC577"/>
      <c r="AD577"/>
      <c r="AE577"/>
      <c r="AF577"/>
      <c r="AG577"/>
      <c r="AI577" s="148"/>
      <c r="AJ577" s="1"/>
      <c r="AK577" s="1"/>
      <c r="AL577" s="54"/>
      <c r="AM577" s="1"/>
      <c r="AN577" s="43"/>
      <c r="AO577" s="1"/>
      <c r="AP577" s="1"/>
      <c r="AQ577" s="19"/>
      <c r="AR577" s="54"/>
      <c r="AS577" s="43"/>
      <c r="AT577" s="1"/>
      <c r="AU577" s="1"/>
      <c r="AV577" s="1"/>
      <c r="AW577" s="54"/>
      <c r="AX577" s="57"/>
      <c r="AY577" s="54"/>
      <c r="AZ577" s="54"/>
      <c r="BA577" s="54"/>
      <c r="BB577" s="54"/>
      <c r="BC577" s="57"/>
      <c r="BD577" s="1"/>
      <c r="BE577" s="1"/>
      <c r="BF577" s="1"/>
      <c r="BG577" s="54"/>
      <c r="BH577" s="43"/>
      <c r="BI577"/>
      <c r="BJ577" s="13"/>
      <c r="BK577" s="1"/>
      <c r="BL577"/>
      <c r="BM577"/>
      <c r="BN577"/>
      <c r="DY577" s="43"/>
      <c r="DZ577"/>
      <c r="EA577" s="19"/>
      <c r="EB577" s="19"/>
      <c r="EC577" s="9"/>
      <c r="ED577" s="9"/>
      <c r="EE577" s="9"/>
      <c r="EF577" s="9"/>
      <c r="EG577" s="9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  <c r="FI577" s="13"/>
      <c r="FJ577" s="13"/>
      <c r="FK577" s="13"/>
      <c r="FL577" s="13"/>
      <c r="FM577" s="13"/>
      <c r="FN577" s="13"/>
      <c r="FO577" s="13"/>
      <c r="FP577" s="13"/>
      <c r="FQ577" s="13"/>
      <c r="FR577" s="13"/>
      <c r="FS577" s="13"/>
      <c r="FT577" s="13"/>
      <c r="FU577" s="13"/>
      <c r="FV577" s="13"/>
      <c r="FW577" s="13"/>
      <c r="FX577" s="13"/>
      <c r="FY577" s="13"/>
      <c r="FZ577" s="13"/>
      <c r="GA577" s="13"/>
    </row>
    <row r="578" spans="1:183" s="52" customFormat="1" ht="13.2" x14ac:dyDescent="0.25">
      <c r="A578" s="2"/>
      <c r="B578" s="2"/>
      <c r="C578" s="9">
        <v>35</v>
      </c>
      <c r="D578" s="9">
        <v>42</v>
      </c>
      <c r="E578" s="9">
        <v>56</v>
      </c>
      <c r="F578" s="9">
        <v>58</v>
      </c>
      <c r="G578" s="9">
        <v>69</v>
      </c>
      <c r="H578" s="9">
        <v>87</v>
      </c>
      <c r="I578" s="43"/>
      <c r="J578" s="9">
        <v>87</v>
      </c>
      <c r="K578" s="43"/>
      <c r="L578" s="39">
        <v>45355</v>
      </c>
      <c r="M578" s="43"/>
      <c r="N578"/>
      <c r="O578"/>
      <c r="P578"/>
      <c r="Q578"/>
      <c r="R578"/>
      <c r="S578"/>
      <c r="T578"/>
      <c r="U578"/>
      <c r="V578"/>
      <c r="X578" s="43"/>
      <c r="Y578"/>
      <c r="Z578"/>
      <c r="AA578"/>
      <c r="AB578"/>
      <c r="AC578"/>
      <c r="AD578"/>
      <c r="AE578"/>
      <c r="AF578"/>
      <c r="AG578"/>
      <c r="AI578" s="148"/>
      <c r="AJ578" s="1"/>
      <c r="AK578" s="1"/>
      <c r="AL578" s="54"/>
      <c r="AM578" s="1"/>
      <c r="AN578" s="43"/>
      <c r="AO578" s="1"/>
      <c r="AP578" s="1"/>
      <c r="AQ578" s="19"/>
      <c r="AR578" s="54"/>
      <c r="AS578" s="43"/>
      <c r="AT578" s="1"/>
      <c r="AU578" s="1"/>
      <c r="AV578" s="1"/>
      <c r="AW578" s="54"/>
      <c r="AX578" s="57"/>
      <c r="AY578" s="54"/>
      <c r="AZ578" s="54"/>
      <c r="BA578" s="54"/>
      <c r="BB578" s="54"/>
      <c r="BC578" s="57"/>
      <c r="BD578" s="1"/>
      <c r="BE578" s="1"/>
      <c r="BF578" s="1"/>
      <c r="BG578" s="54"/>
      <c r="BH578" s="43"/>
      <c r="BI578"/>
      <c r="BJ578" s="13"/>
      <c r="BK578" s="1"/>
      <c r="BL578"/>
      <c r="BM578"/>
      <c r="BN578"/>
      <c r="DY578" s="43"/>
      <c r="DZ578"/>
      <c r="EA578" s="19"/>
      <c r="EB578" s="19"/>
      <c r="EC578" s="9"/>
      <c r="ED578" s="9"/>
      <c r="EE578" s="9"/>
      <c r="EF578" s="9"/>
      <c r="EG578" s="9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3"/>
      <c r="FD578" s="13"/>
      <c r="FE578" s="13"/>
      <c r="FF578" s="13"/>
      <c r="FG578" s="13"/>
      <c r="FH578" s="13"/>
      <c r="FI578" s="13"/>
      <c r="FJ578" s="13"/>
      <c r="FK578" s="13"/>
      <c r="FL578" s="13"/>
      <c r="FM578" s="13"/>
      <c r="FN578" s="13"/>
      <c r="FO578" s="13"/>
      <c r="FP578" s="13"/>
      <c r="FQ578" s="13"/>
      <c r="FR578" s="13"/>
      <c r="FS578" s="13"/>
      <c r="FT578" s="13"/>
      <c r="FU578" s="13"/>
      <c r="FV578" s="13"/>
      <c r="FW578" s="13"/>
      <c r="FX578" s="13"/>
      <c r="FY578" s="13"/>
      <c r="FZ578" s="13"/>
      <c r="GA578" s="13"/>
    </row>
    <row r="579" spans="1:183" s="52" customFormat="1" ht="13.2" x14ac:dyDescent="0.25">
      <c r="A579" s="2"/>
      <c r="B579" s="2"/>
      <c r="C579" s="9">
        <v>8</v>
      </c>
      <c r="D579" s="9">
        <v>19</v>
      </c>
      <c r="E579" s="9">
        <v>47</v>
      </c>
      <c r="F579" s="9">
        <v>54</v>
      </c>
      <c r="G579" s="9">
        <v>56</v>
      </c>
      <c r="H579" s="9">
        <v>78</v>
      </c>
      <c r="I579" s="43"/>
      <c r="J579" s="9">
        <v>78</v>
      </c>
      <c r="K579" s="43"/>
      <c r="L579" s="39">
        <v>45353</v>
      </c>
      <c r="M579" s="43"/>
      <c r="N579"/>
      <c r="O579"/>
      <c r="P579"/>
      <c r="Q579"/>
      <c r="R579"/>
      <c r="S579"/>
      <c r="T579"/>
      <c r="U579"/>
      <c r="V579"/>
      <c r="X579" s="43"/>
      <c r="Y579"/>
      <c r="Z579"/>
      <c r="AA579"/>
      <c r="AB579"/>
      <c r="AC579"/>
      <c r="AD579"/>
      <c r="AE579"/>
      <c r="AF579"/>
      <c r="AG579"/>
      <c r="AI579" s="148"/>
      <c r="AJ579" s="1"/>
      <c r="AK579" s="1"/>
      <c r="AL579" s="54"/>
      <c r="AM579" s="1"/>
      <c r="AN579" s="43"/>
      <c r="AO579" s="1"/>
      <c r="AP579" s="1"/>
      <c r="AQ579" s="19"/>
      <c r="AR579" s="54"/>
      <c r="AS579" s="43"/>
      <c r="AT579" s="1"/>
      <c r="AU579" s="1"/>
      <c r="AV579" s="1"/>
      <c r="AW579" s="54"/>
      <c r="AX579" s="57"/>
      <c r="AY579" s="54"/>
      <c r="AZ579" s="54"/>
      <c r="BA579" s="54"/>
      <c r="BB579" s="54"/>
      <c r="BC579" s="57"/>
      <c r="BD579" s="1"/>
      <c r="BE579" s="1"/>
      <c r="BF579" s="1"/>
      <c r="BG579" s="54"/>
      <c r="BH579" s="43"/>
      <c r="BI579"/>
      <c r="BJ579" s="13"/>
      <c r="BK579" s="1"/>
      <c r="BL579"/>
      <c r="BM579"/>
      <c r="BN579"/>
      <c r="DY579" s="43"/>
      <c r="DZ579"/>
      <c r="EA579" s="19"/>
      <c r="EB579" s="19"/>
      <c r="EC579" s="9"/>
      <c r="ED579" s="9"/>
      <c r="EE579" s="9"/>
      <c r="EF579" s="9"/>
      <c r="EG579" s="9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  <c r="FT579" s="13"/>
      <c r="FU579" s="13"/>
      <c r="FV579" s="13"/>
      <c r="FW579" s="13"/>
      <c r="FX579" s="13"/>
      <c r="FY579" s="13"/>
      <c r="FZ579" s="13"/>
      <c r="GA579" s="13"/>
    </row>
    <row r="580" spans="1:183" s="52" customFormat="1" ht="13.2" x14ac:dyDescent="0.25">
      <c r="A580" s="2"/>
      <c r="B580" s="2"/>
      <c r="C580" s="9">
        <v>9</v>
      </c>
      <c r="D580" s="9">
        <v>10</v>
      </c>
      <c r="E580" s="9">
        <v>17</v>
      </c>
      <c r="F580" s="9">
        <v>23</v>
      </c>
      <c r="G580" s="9">
        <v>30</v>
      </c>
      <c r="H580" s="9">
        <v>60</v>
      </c>
      <c r="I580" s="43"/>
      <c r="J580" s="9">
        <v>60</v>
      </c>
      <c r="K580" s="43"/>
      <c r="L580" s="39">
        <v>45350</v>
      </c>
      <c r="M580" s="43"/>
      <c r="N580"/>
      <c r="O580"/>
      <c r="P580"/>
      <c r="Q580"/>
      <c r="R580"/>
      <c r="S580"/>
      <c r="T580"/>
      <c r="U580"/>
      <c r="V580"/>
      <c r="X580" s="43"/>
      <c r="Y580"/>
      <c r="Z580"/>
      <c r="AA580"/>
      <c r="AB580"/>
      <c r="AC580"/>
      <c r="AD580"/>
      <c r="AE580"/>
      <c r="AF580"/>
      <c r="AG580"/>
      <c r="AI580" s="148"/>
      <c r="AJ580" s="1"/>
      <c r="AK580" s="1"/>
      <c r="AL580" s="54"/>
      <c r="AM580" s="1"/>
      <c r="AN580" s="43"/>
      <c r="AO580" s="1"/>
      <c r="AP580" s="1"/>
      <c r="AQ580" s="19"/>
      <c r="AR580" s="54"/>
      <c r="AS580" s="43"/>
      <c r="AT580" s="1"/>
      <c r="AU580" s="1"/>
      <c r="AV580" s="1"/>
      <c r="AW580" s="54"/>
      <c r="AX580" s="57"/>
      <c r="AY580" s="54"/>
      <c r="AZ580" s="54"/>
      <c r="BA580" s="54"/>
      <c r="BB580" s="54"/>
      <c r="BC580" s="57"/>
      <c r="BD580" s="1"/>
      <c r="BE580" s="1"/>
      <c r="BF580" s="1"/>
      <c r="BG580" s="54"/>
      <c r="BH580" s="43"/>
      <c r="BI580"/>
      <c r="BJ580" s="13"/>
      <c r="BK580" s="1"/>
      <c r="BL580"/>
      <c r="BM580"/>
      <c r="BN580"/>
      <c r="DY580" s="43"/>
      <c r="DZ580"/>
      <c r="EA580" s="19"/>
      <c r="EB580" s="19"/>
      <c r="EC580" s="9"/>
      <c r="ED580" s="9"/>
      <c r="EE580" s="9"/>
      <c r="EF580" s="9"/>
      <c r="EG580" s="9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3"/>
      <c r="FJ580" s="13"/>
      <c r="FK580" s="13"/>
      <c r="FL580" s="13"/>
      <c r="FM580" s="13"/>
      <c r="FN580" s="13"/>
      <c r="FO580" s="13"/>
      <c r="FP580" s="13"/>
      <c r="FQ580" s="13"/>
      <c r="FR580" s="13"/>
      <c r="FS580" s="13"/>
      <c r="FT580" s="13"/>
      <c r="FU580" s="13"/>
      <c r="FV580" s="13"/>
      <c r="FW580" s="13"/>
      <c r="FX580" s="13"/>
      <c r="FY580" s="13"/>
      <c r="FZ580" s="13"/>
      <c r="GA580" s="13"/>
    </row>
    <row r="581" spans="1:183" s="52" customFormat="1" ht="13.2" x14ac:dyDescent="0.25">
      <c r="A581" s="2"/>
      <c r="B581" s="2"/>
      <c r="C581" s="9">
        <v>1</v>
      </c>
      <c r="D581" s="9">
        <v>22</v>
      </c>
      <c r="E581" s="9">
        <v>36</v>
      </c>
      <c r="F581" s="9">
        <v>58</v>
      </c>
      <c r="G581" s="9">
        <v>76</v>
      </c>
      <c r="H581" s="9">
        <v>87</v>
      </c>
      <c r="I581" s="43"/>
      <c r="J581" s="9">
        <v>87</v>
      </c>
      <c r="K581" s="43"/>
      <c r="L581" s="39">
        <v>45348</v>
      </c>
      <c r="M581" s="43"/>
      <c r="N581"/>
      <c r="O581"/>
      <c r="P581"/>
      <c r="Q581"/>
      <c r="R581"/>
      <c r="S581"/>
      <c r="T581"/>
      <c r="U581"/>
      <c r="V581"/>
      <c r="X581" s="43"/>
      <c r="Y581"/>
      <c r="Z581"/>
      <c r="AA581"/>
      <c r="AB581"/>
      <c r="AC581"/>
      <c r="AD581"/>
      <c r="AE581"/>
      <c r="AF581"/>
      <c r="AG581"/>
      <c r="AI581" s="148"/>
      <c r="AJ581" s="1"/>
      <c r="AK581" s="1"/>
      <c r="AL581" s="54"/>
      <c r="AM581" s="1"/>
      <c r="AN581" s="43"/>
      <c r="AO581" s="1"/>
      <c r="AP581" s="1"/>
      <c r="AQ581" s="19"/>
      <c r="AR581" s="54"/>
      <c r="AS581" s="43"/>
      <c r="AT581" s="1"/>
      <c r="AU581" s="1"/>
      <c r="AV581" s="1"/>
      <c r="AW581" s="54"/>
      <c r="AX581" s="57"/>
      <c r="AY581" s="54"/>
      <c r="AZ581" s="54"/>
      <c r="BA581" s="54"/>
      <c r="BB581" s="54"/>
      <c r="BC581" s="57"/>
      <c r="BD581" s="1"/>
      <c r="BE581" s="1"/>
      <c r="BF581" s="1"/>
      <c r="BG581" s="54"/>
      <c r="BH581" s="43"/>
      <c r="BI581"/>
      <c r="BJ581" s="13"/>
      <c r="BK581" s="1"/>
      <c r="BL581"/>
      <c r="BM581"/>
      <c r="BN581"/>
      <c r="DY581" s="43"/>
      <c r="DZ581"/>
      <c r="EA581" s="19"/>
      <c r="EB581" s="19"/>
      <c r="EC581" s="9"/>
      <c r="ED581" s="9"/>
      <c r="EE581" s="9"/>
      <c r="EF581" s="9"/>
      <c r="EG581" s="9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3"/>
      <c r="FD581" s="13"/>
      <c r="FE581" s="13"/>
      <c r="FF581" s="13"/>
      <c r="FG581" s="13"/>
      <c r="FH581" s="13"/>
      <c r="FI581" s="13"/>
      <c r="FJ581" s="13"/>
      <c r="FK581" s="13"/>
      <c r="FL581" s="13"/>
      <c r="FM581" s="13"/>
      <c r="FN581" s="13"/>
      <c r="FO581" s="13"/>
      <c r="FP581" s="13"/>
      <c r="FQ581" s="13"/>
      <c r="FR581" s="13"/>
      <c r="FS581" s="13"/>
      <c r="FT581" s="13"/>
      <c r="FU581" s="13"/>
      <c r="FV581" s="13"/>
      <c r="FW581" s="13"/>
      <c r="FX581" s="13"/>
      <c r="FY581" s="13"/>
      <c r="FZ581" s="13"/>
      <c r="GA581" s="13"/>
    </row>
    <row r="582" spans="1:183" s="52" customFormat="1" ht="13.2" x14ac:dyDescent="0.25">
      <c r="A582" s="2"/>
      <c r="B582" s="2"/>
      <c r="C582" s="9">
        <v>37</v>
      </c>
      <c r="D582" s="9">
        <v>69</v>
      </c>
      <c r="E582" s="9">
        <v>71</v>
      </c>
      <c r="F582" s="9">
        <v>74</v>
      </c>
      <c r="G582" s="9">
        <v>77</v>
      </c>
      <c r="H582" s="9">
        <v>88</v>
      </c>
      <c r="I582" s="43"/>
      <c r="J582" s="9">
        <v>88</v>
      </c>
      <c r="K582" s="43"/>
      <c r="L582" s="39">
        <v>45346</v>
      </c>
      <c r="M582" s="43"/>
      <c r="N582"/>
      <c r="O582"/>
      <c r="P582"/>
      <c r="Q582"/>
      <c r="R582"/>
      <c r="S582"/>
      <c r="T582"/>
      <c r="U582"/>
      <c r="V582"/>
      <c r="X582" s="43"/>
      <c r="Y582"/>
      <c r="Z582"/>
      <c r="AA582"/>
      <c r="AB582"/>
      <c r="AC582"/>
      <c r="AD582"/>
      <c r="AE582"/>
      <c r="AF582"/>
      <c r="AG582"/>
      <c r="AI582" s="148"/>
      <c r="AJ582" s="1"/>
      <c r="AK582" s="1"/>
      <c r="AL582" s="54"/>
      <c r="AM582" s="1"/>
      <c r="AN582" s="43"/>
      <c r="AO582" s="1"/>
      <c r="AP582" s="1"/>
      <c r="AQ582" s="19"/>
      <c r="AR582" s="54"/>
      <c r="AS582" s="43"/>
      <c r="AT582" s="1"/>
      <c r="AU582" s="1"/>
      <c r="AV582" s="1"/>
      <c r="AW582" s="54"/>
      <c r="AX582" s="57"/>
      <c r="AY582" s="54"/>
      <c r="AZ582" s="54"/>
      <c r="BA582" s="54"/>
      <c r="BB582" s="54"/>
      <c r="BC582" s="57"/>
      <c r="BD582" s="1"/>
      <c r="BE582" s="1"/>
      <c r="BF582" s="1"/>
      <c r="BG582" s="54"/>
      <c r="BH582" s="43"/>
      <c r="BI582"/>
      <c r="BJ582" s="13"/>
      <c r="BK582" s="1"/>
      <c r="BL582"/>
      <c r="BM582"/>
      <c r="BN582"/>
      <c r="DY582" s="43"/>
      <c r="DZ582"/>
      <c r="EA582" s="19"/>
      <c r="EB582" s="19"/>
      <c r="EC582" s="9"/>
      <c r="ED582" s="9"/>
      <c r="EE582" s="9"/>
      <c r="EF582" s="9"/>
      <c r="EG582" s="9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/>
      <c r="FI582" s="13"/>
      <c r="FJ582" s="13"/>
      <c r="FK582" s="13"/>
      <c r="FL582" s="13"/>
      <c r="FM582" s="13"/>
      <c r="FN582" s="13"/>
      <c r="FO582" s="13"/>
      <c r="FP582" s="13"/>
      <c r="FQ582" s="13"/>
      <c r="FR582" s="13"/>
      <c r="FS582" s="13"/>
      <c r="FT582" s="13"/>
      <c r="FU582" s="13"/>
      <c r="FV582" s="13"/>
      <c r="FW582" s="13"/>
      <c r="FX582" s="13"/>
      <c r="FY582" s="13"/>
      <c r="FZ582" s="13"/>
      <c r="GA582" s="13"/>
    </row>
    <row r="583" spans="1:183" s="52" customFormat="1" ht="13.2" x14ac:dyDescent="0.25">
      <c r="A583" s="2"/>
      <c r="B583" s="2"/>
      <c r="C583" s="9">
        <v>10</v>
      </c>
      <c r="D583" s="9">
        <v>11</v>
      </c>
      <c r="E583" s="9">
        <v>47</v>
      </c>
      <c r="F583" s="9">
        <v>57</v>
      </c>
      <c r="G583" s="9">
        <v>60</v>
      </c>
      <c r="H583" s="9">
        <v>67</v>
      </c>
      <c r="I583" s="43"/>
      <c r="J583" s="9">
        <v>67</v>
      </c>
      <c r="K583" s="43"/>
      <c r="L583" s="39">
        <v>45343</v>
      </c>
      <c r="M583" s="43"/>
      <c r="N583"/>
      <c r="O583"/>
      <c r="P583"/>
      <c r="Q583"/>
      <c r="R583"/>
      <c r="S583"/>
      <c r="T583"/>
      <c r="U583"/>
      <c r="V583"/>
      <c r="X583" s="43"/>
      <c r="Y583"/>
      <c r="Z583"/>
      <c r="AA583"/>
      <c r="AB583"/>
      <c r="AC583"/>
      <c r="AD583"/>
      <c r="AE583"/>
      <c r="AF583"/>
      <c r="AG583"/>
      <c r="AI583" s="148"/>
      <c r="AJ583" s="1"/>
      <c r="AK583" s="1"/>
      <c r="AL583" s="54"/>
      <c r="AM583" s="1"/>
      <c r="AN583" s="43"/>
      <c r="AO583" s="1"/>
      <c r="AP583" s="1"/>
      <c r="AQ583" s="19"/>
      <c r="AR583" s="54"/>
      <c r="AS583" s="43"/>
      <c r="AT583" s="1"/>
      <c r="AU583" s="1"/>
      <c r="AV583" s="1"/>
      <c r="AW583" s="54"/>
      <c r="AX583" s="57"/>
      <c r="AY583" s="54"/>
      <c r="AZ583" s="54"/>
      <c r="BA583" s="54"/>
      <c r="BB583" s="54"/>
      <c r="BC583" s="57"/>
      <c r="BD583" s="1"/>
      <c r="BE583" s="1"/>
      <c r="BF583" s="1"/>
      <c r="BG583" s="54"/>
      <c r="BH583" s="43"/>
      <c r="BI583"/>
      <c r="BJ583" s="13"/>
      <c r="BK583" s="1"/>
      <c r="BL583"/>
      <c r="BM583"/>
      <c r="BN583"/>
      <c r="DY583" s="43"/>
      <c r="DZ583"/>
      <c r="EA583" s="19"/>
      <c r="EB583" s="19"/>
      <c r="EC583" s="9"/>
      <c r="ED583" s="9"/>
      <c r="EE583" s="9"/>
      <c r="EF583" s="9"/>
      <c r="EG583" s="9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  <c r="FT583" s="13"/>
      <c r="FU583" s="13"/>
      <c r="FV583" s="13"/>
      <c r="FW583" s="13"/>
      <c r="FX583" s="13"/>
      <c r="FY583" s="13"/>
      <c r="FZ583" s="13"/>
      <c r="GA583" s="13"/>
    </row>
    <row r="584" spans="1:183" s="52" customFormat="1" ht="13.2" x14ac:dyDescent="0.25">
      <c r="A584" s="2"/>
      <c r="B584" s="2"/>
      <c r="C584" s="9">
        <v>7</v>
      </c>
      <c r="D584" s="9">
        <v>10</v>
      </c>
      <c r="E584" s="9">
        <v>15</v>
      </c>
      <c r="F584" s="9">
        <v>31</v>
      </c>
      <c r="G584" s="9">
        <v>52</v>
      </c>
      <c r="H584" s="9">
        <v>77</v>
      </c>
      <c r="I584" s="43"/>
      <c r="J584" s="9">
        <v>77</v>
      </c>
      <c r="K584" s="43"/>
      <c r="L584" s="39">
        <v>45341</v>
      </c>
      <c r="M584" s="43"/>
      <c r="N584"/>
      <c r="O584"/>
      <c r="P584"/>
      <c r="Q584"/>
      <c r="R584"/>
      <c r="S584"/>
      <c r="T584"/>
      <c r="U584"/>
      <c r="V584"/>
      <c r="X584" s="43"/>
      <c r="Y584"/>
      <c r="Z584"/>
      <c r="AA584"/>
      <c r="AB584"/>
      <c r="AC584"/>
      <c r="AD584"/>
      <c r="AE584"/>
      <c r="AF584"/>
      <c r="AG584"/>
      <c r="AI584" s="148"/>
      <c r="AJ584" s="1"/>
      <c r="AK584" s="1"/>
      <c r="AL584" s="54"/>
      <c r="AM584" s="1"/>
      <c r="AN584" s="43"/>
      <c r="AO584" s="1"/>
      <c r="AP584" s="1"/>
      <c r="AQ584" s="19"/>
      <c r="AR584" s="54"/>
      <c r="AS584" s="43"/>
      <c r="AT584" s="1"/>
      <c r="AU584" s="1"/>
      <c r="AV584" s="1"/>
      <c r="AW584" s="54"/>
      <c r="AX584" s="57"/>
      <c r="AY584" s="54"/>
      <c r="AZ584" s="54"/>
      <c r="BA584" s="54"/>
      <c r="BB584" s="54"/>
      <c r="BC584" s="57"/>
      <c r="BD584" s="1"/>
      <c r="BE584" s="1"/>
      <c r="BF584" s="1"/>
      <c r="BG584" s="54"/>
      <c r="BH584" s="43"/>
      <c r="BI584"/>
      <c r="BJ584" s="13"/>
      <c r="BK584" s="1"/>
      <c r="BL584"/>
      <c r="BM584"/>
      <c r="BN584"/>
      <c r="DY584" s="43"/>
      <c r="DZ584"/>
      <c r="EA584" s="19"/>
      <c r="EB584" s="19"/>
      <c r="EC584" s="9"/>
      <c r="ED584" s="9"/>
      <c r="EE584" s="9"/>
      <c r="EF584" s="9"/>
      <c r="EG584" s="9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  <c r="FU584" s="13"/>
      <c r="FV584" s="13"/>
      <c r="FW584" s="13"/>
      <c r="FX584" s="13"/>
      <c r="FY584" s="13"/>
      <c r="FZ584" s="13"/>
      <c r="GA584" s="13"/>
    </row>
    <row r="585" spans="1:183" s="52" customFormat="1" ht="13.2" x14ac:dyDescent="0.25">
      <c r="A585" s="2"/>
      <c r="B585" s="2"/>
      <c r="C585" s="9">
        <v>15</v>
      </c>
      <c r="D585" s="9">
        <v>36</v>
      </c>
      <c r="E585" s="9">
        <v>40</v>
      </c>
      <c r="F585" s="9">
        <v>63</v>
      </c>
      <c r="G585" s="9">
        <v>74</v>
      </c>
      <c r="H585" s="9">
        <v>79</v>
      </c>
      <c r="I585" s="43"/>
      <c r="J585" s="9">
        <v>79</v>
      </c>
      <c r="K585" s="43"/>
      <c r="L585" s="39">
        <v>45339</v>
      </c>
      <c r="M585" s="43"/>
      <c r="N585"/>
      <c r="O585"/>
      <c r="P585"/>
      <c r="Q585"/>
      <c r="R585"/>
      <c r="S585"/>
      <c r="T585"/>
      <c r="U585"/>
      <c r="V585"/>
      <c r="X585" s="43"/>
      <c r="Y585"/>
      <c r="Z585"/>
      <c r="AA585"/>
      <c r="AB585"/>
      <c r="AC585"/>
      <c r="AD585"/>
      <c r="AE585"/>
      <c r="AF585"/>
      <c r="AG585"/>
      <c r="AI585" s="148"/>
      <c r="AJ585" s="1"/>
      <c r="AK585" s="1"/>
      <c r="AL585" s="54"/>
      <c r="AM585" s="1"/>
      <c r="AN585" s="43"/>
      <c r="AO585" s="1"/>
      <c r="AP585" s="1"/>
      <c r="AQ585" s="19"/>
      <c r="AR585" s="54"/>
      <c r="AS585" s="43"/>
      <c r="AT585" s="1"/>
      <c r="AU585" s="1"/>
      <c r="AV585" s="1"/>
      <c r="AW585" s="54"/>
      <c r="AX585" s="57"/>
      <c r="AY585" s="54"/>
      <c r="AZ585" s="54"/>
      <c r="BA585" s="54"/>
      <c r="BB585" s="54"/>
      <c r="BC585" s="57"/>
      <c r="BD585" s="1"/>
      <c r="BE585" s="1"/>
      <c r="BF585" s="1"/>
      <c r="BG585" s="54"/>
      <c r="BH585" s="43"/>
      <c r="BI585"/>
      <c r="BJ585" s="13"/>
      <c r="BK585" s="1"/>
      <c r="BL585"/>
      <c r="BM585"/>
      <c r="BN585"/>
      <c r="DY585" s="43"/>
      <c r="DZ585"/>
      <c r="EA585" s="19"/>
      <c r="EB585" s="19"/>
      <c r="EC585" s="9"/>
      <c r="ED585" s="9"/>
      <c r="EE585" s="9"/>
      <c r="EF585" s="9"/>
      <c r="EG585" s="9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  <c r="FT585" s="13"/>
      <c r="FU585" s="13"/>
      <c r="FV585" s="13"/>
      <c r="FW585" s="13"/>
      <c r="FX585" s="13"/>
      <c r="FY585" s="13"/>
      <c r="FZ585" s="13"/>
      <c r="GA585" s="13"/>
    </row>
    <row r="586" spans="1:183" s="52" customFormat="1" ht="13.2" x14ac:dyDescent="0.25">
      <c r="A586" s="2"/>
      <c r="B586" s="2"/>
      <c r="C586" s="9">
        <v>1</v>
      </c>
      <c r="D586" s="9">
        <v>29</v>
      </c>
      <c r="E586" s="9">
        <v>40</v>
      </c>
      <c r="F586" s="9">
        <v>45</v>
      </c>
      <c r="G586" s="9">
        <v>63</v>
      </c>
      <c r="H586" s="9">
        <v>74</v>
      </c>
      <c r="I586" s="43"/>
      <c r="J586" s="9">
        <v>74</v>
      </c>
      <c r="K586" s="43"/>
      <c r="L586" s="39">
        <v>45336</v>
      </c>
      <c r="M586" s="43"/>
      <c r="N586"/>
      <c r="O586"/>
      <c r="P586"/>
      <c r="Q586"/>
      <c r="R586"/>
      <c r="S586"/>
      <c r="T586"/>
      <c r="U586"/>
      <c r="V586"/>
      <c r="X586" s="43"/>
      <c r="Y586"/>
      <c r="Z586"/>
      <c r="AA586"/>
      <c r="AB586"/>
      <c r="AC586"/>
      <c r="AD586"/>
      <c r="AE586"/>
      <c r="AF586"/>
      <c r="AG586"/>
      <c r="AI586" s="148"/>
      <c r="AJ586" s="1"/>
      <c r="AK586" s="1"/>
      <c r="AL586" s="54"/>
      <c r="AM586" s="1"/>
      <c r="AN586" s="43"/>
      <c r="AO586" s="1"/>
      <c r="AP586" s="1"/>
      <c r="AQ586" s="19"/>
      <c r="AR586" s="54"/>
      <c r="AS586" s="43"/>
      <c r="AT586" s="1"/>
      <c r="AU586" s="1"/>
      <c r="AV586" s="1"/>
      <c r="AW586" s="54"/>
      <c r="AX586" s="57"/>
      <c r="AY586" s="54"/>
      <c r="AZ586" s="54"/>
      <c r="BA586" s="54"/>
      <c r="BB586" s="54"/>
      <c r="BC586" s="57"/>
      <c r="BD586" s="1"/>
      <c r="BE586" s="1"/>
      <c r="BF586" s="1"/>
      <c r="BG586" s="54"/>
      <c r="BH586" s="43"/>
      <c r="BI586"/>
      <c r="BJ586" s="13"/>
      <c r="BK586" s="1"/>
      <c r="BL586"/>
      <c r="BM586"/>
      <c r="BN586"/>
      <c r="DY586" s="43"/>
      <c r="DZ586"/>
      <c r="EA586" s="19"/>
      <c r="EB586" s="19"/>
      <c r="EC586" s="9"/>
      <c r="ED586" s="9"/>
      <c r="EE586" s="9"/>
      <c r="EF586" s="9"/>
      <c r="EG586" s="9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3"/>
      <c r="FN586" s="13"/>
      <c r="FO586" s="13"/>
      <c r="FP586" s="13"/>
      <c r="FQ586" s="13"/>
      <c r="FR586" s="13"/>
      <c r="FS586" s="13"/>
      <c r="FT586" s="13"/>
      <c r="FU586" s="13"/>
      <c r="FV586" s="13"/>
      <c r="FW586" s="13"/>
      <c r="FX586" s="13"/>
      <c r="FY586" s="13"/>
      <c r="FZ586" s="13"/>
      <c r="GA586" s="13"/>
    </row>
    <row r="587" spans="1:183" s="52" customFormat="1" ht="13.2" x14ac:dyDescent="0.25">
      <c r="A587" s="2"/>
      <c r="B587" s="2"/>
      <c r="C587" s="9">
        <v>36</v>
      </c>
      <c r="D587" s="9">
        <v>40</v>
      </c>
      <c r="E587" s="9">
        <v>50</v>
      </c>
      <c r="F587" s="9">
        <v>53</v>
      </c>
      <c r="G587" s="9">
        <v>70</v>
      </c>
      <c r="H587" s="9">
        <v>76</v>
      </c>
      <c r="I587" s="43"/>
      <c r="J587" s="9">
        <v>76</v>
      </c>
      <c r="K587" s="43"/>
      <c r="L587" s="39">
        <v>45334</v>
      </c>
      <c r="M587" s="43"/>
      <c r="N587"/>
      <c r="O587"/>
      <c r="P587"/>
      <c r="Q587"/>
      <c r="R587"/>
      <c r="S587"/>
      <c r="T587"/>
      <c r="U587"/>
      <c r="V587"/>
      <c r="X587" s="43"/>
      <c r="Y587"/>
      <c r="Z587"/>
      <c r="AA587"/>
      <c r="AB587"/>
      <c r="AC587"/>
      <c r="AD587"/>
      <c r="AE587"/>
      <c r="AF587"/>
      <c r="AG587"/>
      <c r="AI587" s="148"/>
      <c r="AJ587" s="1"/>
      <c r="AK587" s="1"/>
      <c r="AL587" s="54"/>
      <c r="AM587" s="1"/>
      <c r="AN587" s="43"/>
      <c r="AO587" s="1"/>
      <c r="AP587" s="1"/>
      <c r="AQ587" s="19"/>
      <c r="AR587" s="54"/>
      <c r="AS587" s="43"/>
      <c r="AT587" s="1"/>
      <c r="AU587" s="1"/>
      <c r="AV587" s="1"/>
      <c r="AW587" s="54"/>
      <c r="AX587" s="57"/>
      <c r="AY587" s="54"/>
      <c r="AZ587" s="54"/>
      <c r="BA587" s="54"/>
      <c r="BB587" s="54"/>
      <c r="BC587" s="57"/>
      <c r="BD587" s="1"/>
      <c r="BE587" s="1"/>
      <c r="BF587" s="1"/>
      <c r="BG587" s="54"/>
      <c r="BH587" s="43"/>
      <c r="BI587"/>
      <c r="BJ587" s="13"/>
      <c r="BK587" s="1"/>
      <c r="BL587"/>
      <c r="BM587"/>
      <c r="BN587"/>
      <c r="DY587" s="43"/>
      <c r="DZ587"/>
      <c r="EA587" s="19"/>
      <c r="EB587" s="19"/>
      <c r="EC587" s="9"/>
      <c r="ED587" s="9"/>
      <c r="EE587" s="9"/>
      <c r="EF587" s="9"/>
      <c r="EG587" s="9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/>
      <c r="FE587" s="13"/>
      <c r="FF587" s="13"/>
      <c r="FG587" s="13"/>
      <c r="FH587" s="13"/>
      <c r="FI587" s="13"/>
      <c r="FJ587" s="13"/>
      <c r="FK587" s="13"/>
      <c r="FL587" s="13"/>
      <c r="FM587" s="13"/>
      <c r="FN587" s="13"/>
      <c r="FO587" s="13"/>
      <c r="FP587" s="13"/>
      <c r="FQ587" s="13"/>
      <c r="FR587" s="13"/>
      <c r="FS587" s="13"/>
      <c r="FT587" s="13"/>
      <c r="FU587" s="13"/>
      <c r="FV587" s="13"/>
      <c r="FW587" s="13"/>
      <c r="FX587" s="13"/>
      <c r="FY587" s="13"/>
      <c r="FZ587" s="13"/>
      <c r="GA587" s="13"/>
    </row>
    <row r="588" spans="1:183" s="52" customFormat="1" ht="13.2" x14ac:dyDescent="0.25">
      <c r="A588" s="2"/>
      <c r="B588" s="2"/>
      <c r="C588" s="9">
        <v>3</v>
      </c>
      <c r="D588" s="9">
        <v>42</v>
      </c>
      <c r="E588" s="9">
        <v>47</v>
      </c>
      <c r="F588" s="9">
        <v>64</v>
      </c>
      <c r="G588" s="9">
        <v>71</v>
      </c>
      <c r="H588" s="9">
        <v>74</v>
      </c>
      <c r="I588" s="43"/>
      <c r="J588" s="9">
        <v>74</v>
      </c>
      <c r="K588" s="43"/>
      <c r="L588" s="39">
        <v>45332</v>
      </c>
      <c r="M588" s="43"/>
      <c r="N588"/>
      <c r="O588"/>
      <c r="P588"/>
      <c r="Q588"/>
      <c r="R588"/>
      <c r="S588"/>
      <c r="T588"/>
      <c r="U588"/>
      <c r="V588"/>
      <c r="X588" s="43"/>
      <c r="Y588"/>
      <c r="Z588"/>
      <c r="AA588"/>
      <c r="AB588"/>
      <c r="AC588"/>
      <c r="AD588"/>
      <c r="AE588"/>
      <c r="AF588"/>
      <c r="AG588"/>
      <c r="AI588" s="148"/>
      <c r="AJ588" s="1"/>
      <c r="AK588" s="1"/>
      <c r="AL588" s="54"/>
      <c r="AM588" s="1"/>
      <c r="AN588" s="43"/>
      <c r="AO588" s="1"/>
      <c r="AP588" s="1"/>
      <c r="AQ588" s="19"/>
      <c r="AR588" s="54"/>
      <c r="AS588" s="43"/>
      <c r="AT588" s="1"/>
      <c r="AU588" s="1"/>
      <c r="AV588" s="1"/>
      <c r="AW588" s="54"/>
      <c r="AX588" s="57"/>
      <c r="AY588" s="54"/>
      <c r="AZ588" s="54"/>
      <c r="BA588" s="54"/>
      <c r="BB588" s="54"/>
      <c r="BC588" s="57"/>
      <c r="BD588" s="1"/>
      <c r="BE588" s="1"/>
      <c r="BF588" s="1"/>
      <c r="BG588" s="54"/>
      <c r="BH588" s="43"/>
      <c r="BI588"/>
      <c r="BJ588" s="13"/>
      <c r="BK588" s="1"/>
      <c r="BL588"/>
      <c r="BM588"/>
      <c r="BN588"/>
      <c r="DY588" s="43"/>
      <c r="DZ588"/>
      <c r="EA588" s="19"/>
      <c r="EB588" s="19"/>
      <c r="EC588" s="9"/>
      <c r="ED588" s="9"/>
      <c r="EE588" s="9"/>
      <c r="EF588" s="9"/>
      <c r="EG588" s="9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  <c r="FI588" s="13"/>
      <c r="FJ588" s="13"/>
      <c r="FK588" s="13"/>
      <c r="FL588" s="13"/>
      <c r="FM588" s="13"/>
      <c r="FN588" s="13"/>
      <c r="FO588" s="13"/>
      <c r="FP588" s="13"/>
      <c r="FQ588" s="13"/>
      <c r="FR588" s="13"/>
      <c r="FS588" s="13"/>
      <c r="FT588" s="13"/>
      <c r="FU588" s="13"/>
      <c r="FV588" s="13"/>
      <c r="FW588" s="13"/>
      <c r="FX588" s="13"/>
      <c r="FY588" s="13"/>
      <c r="FZ588" s="13"/>
      <c r="GA588" s="13"/>
    </row>
    <row r="589" spans="1:183" s="52" customFormat="1" ht="13.2" x14ac:dyDescent="0.25">
      <c r="A589" s="2"/>
      <c r="B589" s="2"/>
      <c r="C589" s="9">
        <v>23</v>
      </c>
      <c r="D589" s="9">
        <v>26</v>
      </c>
      <c r="E589" s="9">
        <v>29</v>
      </c>
      <c r="F589" s="9">
        <v>41</v>
      </c>
      <c r="G589" s="9">
        <v>69</v>
      </c>
      <c r="H589" s="9">
        <v>77</v>
      </c>
      <c r="I589" s="43"/>
      <c r="J589" s="9">
        <v>77</v>
      </c>
      <c r="K589" s="43"/>
      <c r="L589" s="39">
        <v>45329</v>
      </c>
      <c r="M589" s="43"/>
      <c r="N589"/>
      <c r="O589"/>
      <c r="P589"/>
      <c r="Q589"/>
      <c r="R589"/>
      <c r="S589"/>
      <c r="T589"/>
      <c r="U589"/>
      <c r="V589"/>
      <c r="X589" s="43"/>
      <c r="Y589"/>
      <c r="Z589"/>
      <c r="AA589"/>
      <c r="AB589"/>
      <c r="AC589"/>
      <c r="AD589"/>
      <c r="AE589"/>
      <c r="AF589"/>
      <c r="AG589"/>
      <c r="AI589" s="148"/>
      <c r="AJ589" s="1"/>
      <c r="AK589" s="1"/>
      <c r="AL589" s="54"/>
      <c r="AM589" s="1"/>
      <c r="AN589" s="43"/>
      <c r="AO589" s="1"/>
      <c r="AP589" s="1"/>
      <c r="AQ589" s="19"/>
      <c r="AR589" s="54"/>
      <c r="AS589" s="43"/>
      <c r="AT589" s="1"/>
      <c r="AU589" s="1"/>
      <c r="AV589" s="1"/>
      <c r="AW589" s="54"/>
      <c r="AX589" s="57"/>
      <c r="AY589" s="54"/>
      <c r="AZ589" s="54"/>
      <c r="BA589" s="54"/>
      <c r="BB589" s="54"/>
      <c r="BC589" s="57"/>
      <c r="BD589" s="1"/>
      <c r="BE589" s="1"/>
      <c r="BF589" s="1"/>
      <c r="BG589" s="54"/>
      <c r="BH589" s="43"/>
      <c r="BI589"/>
      <c r="BJ589" s="13"/>
      <c r="BK589" s="1"/>
      <c r="BL589"/>
      <c r="BM589"/>
      <c r="BN589"/>
      <c r="DY589" s="43"/>
      <c r="DZ589"/>
      <c r="EA589" s="19"/>
      <c r="EB589" s="19"/>
      <c r="EC589" s="9"/>
      <c r="ED589" s="9"/>
      <c r="EE589" s="9"/>
      <c r="EF589" s="9"/>
      <c r="EG589" s="9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3"/>
      <c r="FJ589" s="13"/>
      <c r="FK589" s="13"/>
      <c r="FL589" s="13"/>
      <c r="FM589" s="13"/>
      <c r="FN589" s="13"/>
      <c r="FO589" s="13"/>
      <c r="FP589" s="13"/>
      <c r="FQ589" s="13"/>
      <c r="FR589" s="13"/>
      <c r="FS589" s="13"/>
      <c r="FT589" s="13"/>
      <c r="FU589" s="13"/>
      <c r="FV589" s="13"/>
      <c r="FW589" s="13"/>
      <c r="FX589" s="13"/>
      <c r="FY589" s="13"/>
      <c r="FZ589" s="13"/>
      <c r="GA589" s="13"/>
    </row>
    <row r="590" spans="1:183" s="52" customFormat="1" ht="13.2" x14ac:dyDescent="0.25">
      <c r="A590" s="2"/>
      <c r="B590" s="2"/>
      <c r="C590" s="9">
        <v>15</v>
      </c>
      <c r="D590" s="9">
        <v>30</v>
      </c>
      <c r="E590" s="9">
        <v>48</v>
      </c>
      <c r="F590" s="9">
        <v>53</v>
      </c>
      <c r="G590" s="9">
        <v>76</v>
      </c>
      <c r="H590" s="9">
        <v>77</v>
      </c>
      <c r="I590" s="43"/>
      <c r="J590" s="9">
        <v>77</v>
      </c>
      <c r="K590" s="43"/>
      <c r="L590" s="39">
        <v>45327</v>
      </c>
      <c r="M590" s="43"/>
      <c r="N590"/>
      <c r="O590"/>
      <c r="P590"/>
      <c r="Q590"/>
      <c r="R590"/>
      <c r="S590"/>
      <c r="T590"/>
      <c r="U590"/>
      <c r="V590"/>
      <c r="X590" s="43"/>
      <c r="Y590"/>
      <c r="Z590"/>
      <c r="AA590"/>
      <c r="AB590"/>
      <c r="AC590"/>
      <c r="AD590"/>
      <c r="AE590"/>
      <c r="AF590"/>
      <c r="AG590"/>
      <c r="AI590" s="148"/>
      <c r="AJ590" s="1"/>
      <c r="AK590" s="1"/>
      <c r="AL590" s="54"/>
      <c r="AM590" s="1"/>
      <c r="AN590" s="43"/>
      <c r="AO590" s="1"/>
      <c r="AP590" s="1"/>
      <c r="AQ590" s="19"/>
      <c r="AR590" s="54"/>
      <c r="AS590" s="43"/>
      <c r="AT590" s="1"/>
      <c r="AU590" s="1"/>
      <c r="AV590" s="1"/>
      <c r="AW590" s="54"/>
      <c r="AX590" s="57"/>
      <c r="AY590" s="54"/>
      <c r="AZ590" s="54"/>
      <c r="BA590" s="54"/>
      <c r="BB590" s="54"/>
      <c r="BC590" s="57"/>
      <c r="BD590" s="1"/>
      <c r="BE590" s="1"/>
      <c r="BF590" s="1"/>
      <c r="BG590" s="54"/>
      <c r="BH590" s="43"/>
      <c r="BI590"/>
      <c r="BJ590" s="13"/>
      <c r="BK590" s="1"/>
      <c r="BL590"/>
      <c r="BM590"/>
      <c r="BN590"/>
      <c r="DY590" s="43"/>
      <c r="DZ590"/>
      <c r="EA590" s="19"/>
      <c r="EB590" s="19"/>
      <c r="EC590" s="9"/>
      <c r="ED590" s="9"/>
      <c r="EE590" s="9"/>
      <c r="EF590" s="9"/>
      <c r="EG590" s="9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  <c r="FT590" s="13"/>
      <c r="FU590" s="13"/>
      <c r="FV590" s="13"/>
      <c r="FW590" s="13"/>
      <c r="FX590" s="13"/>
      <c r="FY590" s="13"/>
      <c r="FZ590" s="13"/>
      <c r="GA590" s="13"/>
    </row>
    <row r="591" spans="1:183" s="52" customFormat="1" ht="13.2" x14ac:dyDescent="0.25">
      <c r="A591" s="2"/>
      <c r="B591" s="2"/>
      <c r="C591" s="9">
        <v>9</v>
      </c>
      <c r="D591" s="9">
        <v>13</v>
      </c>
      <c r="E591" s="9">
        <v>79</v>
      </c>
      <c r="F591" s="9">
        <v>83</v>
      </c>
      <c r="G591" s="9">
        <v>84</v>
      </c>
      <c r="H591" s="9">
        <v>89</v>
      </c>
      <c r="I591" s="43"/>
      <c r="J591" s="9">
        <v>89</v>
      </c>
      <c r="K591" s="43"/>
      <c r="L591" s="39">
        <v>45322</v>
      </c>
      <c r="M591" s="43"/>
      <c r="N591"/>
      <c r="O591"/>
      <c r="P591"/>
      <c r="Q591"/>
      <c r="R591"/>
      <c r="S591"/>
      <c r="T591"/>
      <c r="U591"/>
      <c r="V591"/>
      <c r="X591" s="43"/>
      <c r="Y591"/>
      <c r="Z591"/>
      <c r="AA591"/>
      <c r="AB591"/>
      <c r="AC591"/>
      <c r="AD591"/>
      <c r="AE591"/>
      <c r="AF591"/>
      <c r="AG591"/>
      <c r="AI591" s="148"/>
      <c r="AJ591" s="1"/>
      <c r="AK591" s="1"/>
      <c r="AL591" s="54"/>
      <c r="AM591" s="1"/>
      <c r="AN591" s="43"/>
      <c r="AO591" s="1"/>
      <c r="AP591" s="1"/>
      <c r="AQ591" s="19"/>
      <c r="AR591" s="54"/>
      <c r="AS591" s="43"/>
      <c r="AT591" s="1"/>
      <c r="AU591" s="1"/>
      <c r="AV591" s="1"/>
      <c r="AW591" s="54"/>
      <c r="AX591" s="57"/>
      <c r="AY591" s="54"/>
      <c r="AZ591" s="54"/>
      <c r="BA591" s="54"/>
      <c r="BB591" s="54"/>
      <c r="BC591" s="57"/>
      <c r="BD591" s="1"/>
      <c r="BE591" s="1"/>
      <c r="BF591" s="1"/>
      <c r="BG591" s="54"/>
      <c r="BH591" s="43"/>
      <c r="BI591"/>
      <c r="BJ591" s="13"/>
      <c r="BK591" s="1"/>
      <c r="BL591"/>
      <c r="BM591"/>
      <c r="BN591"/>
      <c r="DY591" s="43"/>
      <c r="DZ591"/>
      <c r="EA591" s="19"/>
      <c r="EB591" s="19"/>
      <c r="EC591" s="9"/>
      <c r="ED591" s="9"/>
      <c r="EE591" s="9"/>
      <c r="EF591" s="9"/>
      <c r="EG591" s="9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  <c r="FT591" s="13"/>
      <c r="FU591" s="13"/>
      <c r="FV591" s="13"/>
      <c r="FW591" s="13"/>
      <c r="FX591" s="13"/>
      <c r="FY591" s="13"/>
      <c r="FZ591" s="13"/>
      <c r="GA591" s="13"/>
    </row>
    <row r="592" spans="1:183" s="52" customFormat="1" ht="13.2" x14ac:dyDescent="0.25">
      <c r="A592" s="2"/>
      <c r="B592" s="2"/>
      <c r="C592" s="9">
        <v>16</v>
      </c>
      <c r="D592" s="9">
        <v>18</v>
      </c>
      <c r="E592" s="9">
        <v>25</v>
      </c>
      <c r="F592" s="9">
        <v>26</v>
      </c>
      <c r="G592" s="9">
        <v>71</v>
      </c>
      <c r="H592" s="9">
        <v>83</v>
      </c>
      <c r="I592" s="43"/>
      <c r="J592" s="9">
        <v>83</v>
      </c>
      <c r="K592" s="43"/>
      <c r="L592" s="39">
        <v>45320</v>
      </c>
      <c r="M592" s="43"/>
      <c r="N592"/>
      <c r="O592"/>
      <c r="P592"/>
      <c r="Q592"/>
      <c r="R592"/>
      <c r="S592"/>
      <c r="T592"/>
      <c r="U592"/>
      <c r="V592"/>
      <c r="X592" s="43"/>
      <c r="Y592"/>
      <c r="Z592"/>
      <c r="AA592"/>
      <c r="AB592"/>
      <c r="AC592"/>
      <c r="AD592"/>
      <c r="AE592"/>
      <c r="AF592"/>
      <c r="AG592"/>
      <c r="AI592" s="148"/>
      <c r="AJ592" s="1"/>
      <c r="AK592" s="1"/>
      <c r="AL592" s="54"/>
      <c r="AM592" s="1"/>
      <c r="AN592" s="43"/>
      <c r="AO592" s="1"/>
      <c r="AP592" s="1"/>
      <c r="AQ592" s="19"/>
      <c r="AR592" s="54"/>
      <c r="AS592" s="43"/>
      <c r="AT592" s="1"/>
      <c r="AU592" s="1"/>
      <c r="AV592" s="1"/>
      <c r="AW592" s="54"/>
      <c r="AX592" s="57"/>
      <c r="AY592" s="54"/>
      <c r="AZ592" s="54"/>
      <c r="BA592" s="54"/>
      <c r="BB592" s="54"/>
      <c r="BC592" s="57"/>
      <c r="BD592" s="1"/>
      <c r="BE592" s="1"/>
      <c r="BF592" s="1"/>
      <c r="BG592" s="54"/>
      <c r="BH592" s="43"/>
      <c r="BI592"/>
      <c r="BJ592" s="13"/>
      <c r="BK592" s="1"/>
      <c r="BL592"/>
      <c r="BM592"/>
      <c r="BN592"/>
      <c r="DY592" s="43"/>
      <c r="DZ592"/>
      <c r="EA592" s="19"/>
      <c r="EB592" s="19"/>
      <c r="EC592" s="9"/>
      <c r="ED592" s="9"/>
      <c r="EE592" s="9"/>
      <c r="EF592" s="9"/>
      <c r="EG592" s="9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3"/>
      <c r="FJ592" s="13"/>
      <c r="FK592" s="13"/>
      <c r="FL592" s="13"/>
      <c r="FM592" s="13"/>
      <c r="FN592" s="13"/>
      <c r="FO592" s="13"/>
      <c r="FP592" s="13"/>
      <c r="FQ592" s="13"/>
      <c r="FR592" s="13"/>
      <c r="FS592" s="13"/>
      <c r="FT592" s="13"/>
      <c r="FU592" s="13"/>
      <c r="FV592" s="13"/>
      <c r="FW592" s="13"/>
      <c r="FX592" s="13"/>
      <c r="FY592" s="13"/>
      <c r="FZ592" s="13"/>
      <c r="GA592" s="13"/>
    </row>
    <row r="593" spans="1:183" s="52" customFormat="1" ht="13.2" x14ac:dyDescent="0.25">
      <c r="A593" s="2"/>
      <c r="B593" s="2"/>
      <c r="C593" s="9">
        <v>22</v>
      </c>
      <c r="D593" s="9">
        <v>57</v>
      </c>
      <c r="E593" s="9">
        <v>60</v>
      </c>
      <c r="F593" s="9">
        <v>62</v>
      </c>
      <c r="G593" s="9">
        <v>64</v>
      </c>
      <c r="H593" s="9">
        <v>83</v>
      </c>
      <c r="I593" s="43"/>
      <c r="J593" s="9">
        <v>83</v>
      </c>
      <c r="K593" s="43"/>
      <c r="L593" s="39">
        <v>45318</v>
      </c>
      <c r="M593" s="43"/>
      <c r="N593"/>
      <c r="O593"/>
      <c r="P593"/>
      <c r="Q593"/>
      <c r="R593"/>
      <c r="S593"/>
      <c r="T593"/>
      <c r="U593"/>
      <c r="V593"/>
      <c r="X593" s="43"/>
      <c r="Y593"/>
      <c r="Z593"/>
      <c r="AA593"/>
      <c r="AB593"/>
      <c r="AC593"/>
      <c r="AD593"/>
      <c r="AE593"/>
      <c r="AF593"/>
      <c r="AG593"/>
      <c r="AI593" s="148"/>
      <c r="AJ593" s="1"/>
      <c r="AK593" s="1"/>
      <c r="AL593" s="54"/>
      <c r="AM593" s="1"/>
      <c r="AN593" s="43"/>
      <c r="AO593" s="1"/>
      <c r="AP593" s="1"/>
      <c r="AQ593" s="19"/>
      <c r="AR593" s="54"/>
      <c r="AS593" s="43"/>
      <c r="AT593" s="1"/>
      <c r="AU593" s="1"/>
      <c r="AV593" s="1"/>
      <c r="AW593" s="54"/>
      <c r="AX593" s="57"/>
      <c r="AY593" s="54"/>
      <c r="AZ593" s="54"/>
      <c r="BA593" s="54"/>
      <c r="BB593" s="54"/>
      <c r="BC593" s="57"/>
      <c r="BD593" s="1"/>
      <c r="BE593" s="1"/>
      <c r="BF593" s="1"/>
      <c r="BG593" s="54"/>
      <c r="BH593" s="43"/>
      <c r="BI593"/>
      <c r="BJ593" s="13"/>
      <c r="BK593" s="1"/>
      <c r="BL593"/>
      <c r="BM593"/>
      <c r="BN593"/>
      <c r="DY593" s="43"/>
      <c r="DZ593"/>
      <c r="EA593" s="19"/>
      <c r="EB593" s="19"/>
      <c r="EC593" s="9"/>
      <c r="ED593" s="9"/>
      <c r="EE593" s="9"/>
      <c r="EF593" s="9"/>
      <c r="EG593" s="9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3"/>
      <c r="FJ593" s="13"/>
      <c r="FK593" s="13"/>
      <c r="FL593" s="13"/>
      <c r="FM593" s="13"/>
      <c r="FN593" s="13"/>
      <c r="FO593" s="13"/>
      <c r="FP593" s="13"/>
      <c r="FQ593" s="13"/>
      <c r="FR593" s="13"/>
      <c r="FS593" s="13"/>
      <c r="FT593" s="13"/>
      <c r="FU593" s="13"/>
      <c r="FV593" s="13"/>
      <c r="FW593" s="13"/>
      <c r="FX593" s="13"/>
      <c r="FY593" s="13"/>
      <c r="FZ593" s="13"/>
      <c r="GA593" s="13"/>
    </row>
    <row r="594" spans="1:183" s="52" customFormat="1" ht="13.2" x14ac:dyDescent="0.25">
      <c r="A594" s="2"/>
      <c r="B594" s="2"/>
      <c r="C594" s="9">
        <v>3</v>
      </c>
      <c r="D594" s="9">
        <v>5</v>
      </c>
      <c r="E594" s="9">
        <v>37</v>
      </c>
      <c r="F594" s="9">
        <v>50</v>
      </c>
      <c r="G594" s="9">
        <v>52</v>
      </c>
      <c r="H594" s="9">
        <v>62</v>
      </c>
      <c r="I594" s="43"/>
      <c r="J594" s="9">
        <v>62</v>
      </c>
      <c r="K594" s="43"/>
      <c r="L594" s="39">
        <v>45315</v>
      </c>
      <c r="M594" s="43"/>
      <c r="N594"/>
      <c r="O594"/>
      <c r="P594"/>
      <c r="Q594"/>
      <c r="R594"/>
      <c r="S594"/>
      <c r="T594"/>
      <c r="U594"/>
      <c r="V594"/>
      <c r="X594" s="43"/>
      <c r="Y594"/>
      <c r="Z594"/>
      <c r="AA594"/>
      <c r="AB594"/>
      <c r="AC594"/>
      <c r="AD594"/>
      <c r="AE594"/>
      <c r="AF594"/>
      <c r="AG594"/>
      <c r="AI594" s="148"/>
      <c r="AJ594" s="1"/>
      <c r="AK594" s="1"/>
      <c r="AL594" s="54"/>
      <c r="AM594" s="1"/>
      <c r="AN594" s="43"/>
      <c r="AO594" s="1"/>
      <c r="AP594" s="1"/>
      <c r="AQ594" s="19"/>
      <c r="AR594" s="54"/>
      <c r="AS594" s="43"/>
      <c r="AT594" s="1"/>
      <c r="AU594" s="1"/>
      <c r="AV594" s="1"/>
      <c r="AW594" s="54"/>
      <c r="AX594" s="57"/>
      <c r="AY594" s="54"/>
      <c r="AZ594" s="54"/>
      <c r="BA594" s="54"/>
      <c r="BB594" s="54"/>
      <c r="BC594" s="57"/>
      <c r="BD594" s="1"/>
      <c r="BE594" s="1"/>
      <c r="BF594" s="1"/>
      <c r="BG594" s="54"/>
      <c r="BH594" s="43"/>
      <c r="BI594"/>
      <c r="BJ594" s="13"/>
      <c r="BK594" s="1"/>
      <c r="BL594"/>
      <c r="BM594"/>
      <c r="BN594"/>
      <c r="DY594" s="43"/>
      <c r="DZ594"/>
      <c r="EA594" s="19"/>
      <c r="EB594" s="19"/>
      <c r="EC594" s="9"/>
      <c r="ED594" s="9"/>
      <c r="EE594" s="9"/>
      <c r="EF594" s="9"/>
      <c r="EG594" s="9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  <c r="FT594" s="13"/>
      <c r="FU594" s="13"/>
      <c r="FV594" s="13"/>
      <c r="FW594" s="13"/>
      <c r="FX594" s="13"/>
      <c r="FY594" s="13"/>
      <c r="FZ594" s="13"/>
      <c r="GA594" s="13"/>
    </row>
    <row r="595" spans="1:183" s="52" customFormat="1" ht="13.2" x14ac:dyDescent="0.25">
      <c r="A595" s="2"/>
      <c r="B595" s="2"/>
      <c r="C595" s="9">
        <v>9</v>
      </c>
      <c r="D595" s="9">
        <v>17</v>
      </c>
      <c r="E595" s="9">
        <v>20</v>
      </c>
      <c r="F595" s="9">
        <v>33</v>
      </c>
      <c r="G595" s="9">
        <v>63</v>
      </c>
      <c r="H595" s="9">
        <v>75</v>
      </c>
      <c r="I595" s="43"/>
      <c r="J595" s="9">
        <v>75</v>
      </c>
      <c r="K595" s="43"/>
      <c r="L595" s="39">
        <v>45313</v>
      </c>
      <c r="M595" s="43"/>
      <c r="N595"/>
      <c r="O595"/>
      <c r="P595"/>
      <c r="Q595"/>
      <c r="R595"/>
      <c r="S595"/>
      <c r="T595"/>
      <c r="U595"/>
      <c r="V595"/>
      <c r="X595" s="43"/>
      <c r="Y595"/>
      <c r="Z595"/>
      <c r="AA595"/>
      <c r="AB595"/>
      <c r="AC595"/>
      <c r="AD595"/>
      <c r="AE595"/>
      <c r="AF595"/>
      <c r="AG595"/>
      <c r="AI595" s="148"/>
      <c r="AJ595" s="1"/>
      <c r="AK595" s="1"/>
      <c r="AL595" s="54"/>
      <c r="AM595" s="1"/>
      <c r="AN595" s="43"/>
      <c r="AO595" s="1"/>
      <c r="AP595" s="1"/>
      <c r="AQ595" s="19"/>
      <c r="AR595" s="54"/>
      <c r="AS595" s="43"/>
      <c r="AT595" s="1"/>
      <c r="AU595" s="1"/>
      <c r="AV595" s="1"/>
      <c r="AW595" s="54"/>
      <c r="AX595" s="57"/>
      <c r="AY595" s="54"/>
      <c r="AZ595" s="54"/>
      <c r="BA595" s="54"/>
      <c r="BB595" s="54"/>
      <c r="BC595" s="57"/>
      <c r="BD595" s="1"/>
      <c r="BE595" s="1"/>
      <c r="BF595" s="1"/>
      <c r="BG595" s="54"/>
      <c r="BH595" s="43"/>
      <c r="BI595"/>
      <c r="BJ595" s="13"/>
      <c r="BK595" s="1"/>
      <c r="BL595"/>
      <c r="BM595"/>
      <c r="BN595"/>
      <c r="DY595" s="43"/>
      <c r="DZ595"/>
      <c r="EA595" s="19"/>
      <c r="EB595" s="19"/>
      <c r="EC595" s="9"/>
      <c r="ED595" s="9"/>
      <c r="EE595" s="9"/>
      <c r="EF595" s="9"/>
      <c r="EG595" s="9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  <c r="FI595" s="13"/>
      <c r="FJ595" s="13"/>
      <c r="FK595" s="13"/>
      <c r="FL595" s="13"/>
      <c r="FM595" s="13"/>
      <c r="FN595" s="13"/>
      <c r="FO595" s="13"/>
      <c r="FP595" s="13"/>
      <c r="FQ595" s="13"/>
      <c r="FR595" s="13"/>
      <c r="FS595" s="13"/>
      <c r="FT595" s="13"/>
      <c r="FU595" s="13"/>
      <c r="FV595" s="13"/>
      <c r="FW595" s="13"/>
      <c r="FX595" s="13"/>
      <c r="FY595" s="13"/>
      <c r="FZ595" s="13"/>
      <c r="GA595" s="13"/>
    </row>
    <row r="596" spans="1:183" s="52" customFormat="1" ht="13.2" x14ac:dyDescent="0.25">
      <c r="A596" s="2"/>
      <c r="B596" s="2"/>
      <c r="C596" s="9">
        <v>10</v>
      </c>
      <c r="D596" s="9">
        <v>25</v>
      </c>
      <c r="E596" s="9">
        <v>31</v>
      </c>
      <c r="F596" s="9">
        <v>45</v>
      </c>
      <c r="G596" s="9">
        <v>65</v>
      </c>
      <c r="H596" s="9">
        <v>77</v>
      </c>
      <c r="I596" s="43"/>
      <c r="J596" s="9">
        <v>77</v>
      </c>
      <c r="K596" s="43"/>
      <c r="L596" s="39">
        <v>45311</v>
      </c>
      <c r="M596" s="43"/>
      <c r="N596"/>
      <c r="O596"/>
      <c r="P596"/>
      <c r="Q596"/>
      <c r="R596"/>
      <c r="S596"/>
      <c r="T596"/>
      <c r="U596"/>
      <c r="V596"/>
      <c r="X596" s="43"/>
      <c r="Y596"/>
      <c r="Z596"/>
      <c r="AA596"/>
      <c r="AB596"/>
      <c r="AC596"/>
      <c r="AD596"/>
      <c r="AE596"/>
      <c r="AF596"/>
      <c r="AG596"/>
      <c r="AI596" s="148"/>
      <c r="AJ596" s="1"/>
      <c r="AK596" s="1"/>
      <c r="AL596" s="54"/>
      <c r="AM596" s="1"/>
      <c r="AN596" s="43"/>
      <c r="AO596" s="1"/>
      <c r="AP596" s="1"/>
      <c r="AQ596" s="19"/>
      <c r="AR596" s="54"/>
      <c r="AS596" s="43"/>
      <c r="AT596" s="1"/>
      <c r="AU596" s="1"/>
      <c r="AV596" s="1"/>
      <c r="AW596" s="54"/>
      <c r="AX596" s="57"/>
      <c r="AY596" s="54"/>
      <c r="AZ596" s="54"/>
      <c r="BA596" s="54"/>
      <c r="BB596" s="54"/>
      <c r="BC596" s="57"/>
      <c r="BD596" s="1"/>
      <c r="BE596" s="1"/>
      <c r="BF596" s="1"/>
      <c r="BG596" s="54"/>
      <c r="BH596" s="43"/>
      <c r="BI596"/>
      <c r="BJ596" s="13"/>
      <c r="BK596" s="1"/>
      <c r="BL596"/>
      <c r="BM596"/>
      <c r="BN596"/>
      <c r="DY596" s="43"/>
      <c r="DZ596"/>
      <c r="EA596" s="19"/>
      <c r="EB596" s="19"/>
      <c r="EC596" s="9"/>
      <c r="ED596" s="9"/>
      <c r="EE596" s="9"/>
      <c r="EF596" s="9"/>
      <c r="EG596" s="9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3"/>
      <c r="FJ596" s="13"/>
      <c r="FK596" s="13"/>
      <c r="FL596" s="13"/>
      <c r="FM596" s="13"/>
      <c r="FN596" s="13"/>
      <c r="FO596" s="13"/>
      <c r="FP596" s="13"/>
      <c r="FQ596" s="13"/>
      <c r="FR596" s="13"/>
      <c r="FS596" s="13"/>
      <c r="FT596" s="13"/>
      <c r="FU596" s="13"/>
      <c r="FV596" s="13"/>
      <c r="FW596" s="13"/>
      <c r="FX596" s="13"/>
      <c r="FY596" s="13"/>
      <c r="FZ596" s="13"/>
      <c r="GA596" s="13"/>
    </row>
    <row r="597" spans="1:183" s="52" customFormat="1" ht="13.2" x14ac:dyDescent="0.25">
      <c r="A597" s="2"/>
      <c r="B597" s="2"/>
      <c r="C597" s="9">
        <v>13</v>
      </c>
      <c r="D597" s="9">
        <v>26</v>
      </c>
      <c r="E597" s="9">
        <v>38</v>
      </c>
      <c r="F597" s="9">
        <v>55</v>
      </c>
      <c r="G597" s="9">
        <v>60</v>
      </c>
      <c r="H597" s="9">
        <v>63</v>
      </c>
      <c r="I597" s="43"/>
      <c r="J597" s="9">
        <v>63</v>
      </c>
      <c r="K597" s="43"/>
      <c r="L597" s="39">
        <v>45308</v>
      </c>
      <c r="M597" s="43"/>
      <c r="N597"/>
      <c r="O597"/>
      <c r="P597"/>
      <c r="Q597"/>
      <c r="R597"/>
      <c r="S597"/>
      <c r="T597"/>
      <c r="U597"/>
      <c r="V597"/>
      <c r="X597" s="43"/>
      <c r="Y597"/>
      <c r="Z597"/>
      <c r="AA597"/>
      <c r="AB597"/>
      <c r="AC597"/>
      <c r="AD597"/>
      <c r="AE597"/>
      <c r="AF597"/>
      <c r="AG597"/>
      <c r="AI597" s="148"/>
      <c r="AJ597" s="1"/>
      <c r="AK597" s="1"/>
      <c r="AL597" s="54"/>
      <c r="AM597" s="1"/>
      <c r="AN597" s="43"/>
      <c r="AO597" s="1"/>
      <c r="AP597" s="1"/>
      <c r="AQ597" s="19"/>
      <c r="AR597" s="54"/>
      <c r="AS597" s="43"/>
      <c r="AT597" s="1"/>
      <c r="AU597" s="1"/>
      <c r="AV597" s="1"/>
      <c r="AW597" s="54"/>
      <c r="AX597" s="57"/>
      <c r="AY597" s="54"/>
      <c r="AZ597" s="54"/>
      <c r="BA597" s="54"/>
      <c r="BB597" s="54"/>
      <c r="BC597" s="57"/>
      <c r="BD597" s="1"/>
      <c r="BE597" s="1"/>
      <c r="BF597" s="1"/>
      <c r="BG597" s="54"/>
      <c r="BH597" s="43"/>
      <c r="BI597"/>
      <c r="BJ597" s="13"/>
      <c r="BK597" s="1"/>
      <c r="BL597"/>
      <c r="BM597"/>
      <c r="BN597"/>
      <c r="DY597" s="43"/>
      <c r="DZ597"/>
      <c r="EA597" s="19"/>
      <c r="EB597" s="19"/>
      <c r="EC597" s="9"/>
      <c r="ED597" s="9"/>
      <c r="EE597" s="9"/>
      <c r="EF597" s="9"/>
      <c r="EG597" s="9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3"/>
      <c r="FJ597" s="13"/>
      <c r="FK597" s="13"/>
      <c r="FL597" s="13"/>
      <c r="FM597" s="13"/>
      <c r="FN597" s="13"/>
      <c r="FO597" s="13"/>
      <c r="FP597" s="13"/>
      <c r="FQ597" s="13"/>
      <c r="FR597" s="13"/>
      <c r="FS597" s="13"/>
      <c r="FT597" s="13"/>
      <c r="FU597" s="13"/>
      <c r="FV597" s="13"/>
      <c r="FW597" s="13"/>
      <c r="FX597" s="13"/>
      <c r="FY597" s="13"/>
      <c r="FZ597" s="13"/>
      <c r="GA597" s="13"/>
    </row>
    <row r="598" spans="1:183" s="52" customFormat="1" ht="13.2" x14ac:dyDescent="0.25">
      <c r="A598" s="2"/>
      <c r="B598" s="2"/>
      <c r="C598" s="9">
        <v>7</v>
      </c>
      <c r="D598" s="9">
        <v>11</v>
      </c>
      <c r="E598" s="9">
        <v>21</v>
      </c>
      <c r="F598" s="9">
        <v>22</v>
      </c>
      <c r="G598" s="9">
        <v>27</v>
      </c>
      <c r="H598" s="9">
        <v>63</v>
      </c>
      <c r="I598" s="43"/>
      <c r="J598" s="9">
        <v>63</v>
      </c>
      <c r="K598" s="43"/>
      <c r="L598" s="39">
        <v>45306</v>
      </c>
      <c r="M598" s="43"/>
      <c r="N598"/>
      <c r="O598"/>
      <c r="P598"/>
      <c r="Q598"/>
      <c r="R598"/>
      <c r="S598"/>
      <c r="T598"/>
      <c r="U598"/>
      <c r="V598"/>
      <c r="X598" s="43"/>
      <c r="Y598"/>
      <c r="Z598"/>
      <c r="AA598"/>
      <c r="AB598"/>
      <c r="AC598"/>
      <c r="AD598"/>
      <c r="AE598"/>
      <c r="AF598"/>
      <c r="AG598"/>
      <c r="AI598" s="148"/>
      <c r="AJ598" s="1"/>
      <c r="AK598" s="1"/>
      <c r="AL598" s="54"/>
      <c r="AM598" s="1"/>
      <c r="AN598" s="43"/>
      <c r="AO598" s="1"/>
      <c r="AP598" s="1"/>
      <c r="AQ598" s="19"/>
      <c r="AR598" s="54"/>
      <c r="AS598" s="43"/>
      <c r="AT598" s="1"/>
      <c r="AU598" s="1"/>
      <c r="AV598" s="1"/>
      <c r="AW598" s="54"/>
      <c r="AX598" s="57"/>
      <c r="AY598" s="54"/>
      <c r="AZ598" s="54"/>
      <c r="BA598" s="54"/>
      <c r="BB598" s="54"/>
      <c r="BC598" s="57"/>
      <c r="BD598" s="1"/>
      <c r="BE598" s="1"/>
      <c r="BF598" s="1"/>
      <c r="BG598" s="54"/>
      <c r="BH598" s="43"/>
      <c r="BI598"/>
      <c r="BJ598" s="13"/>
      <c r="BK598" s="1"/>
      <c r="BL598"/>
      <c r="BM598"/>
      <c r="BN598"/>
      <c r="DY598" s="43"/>
      <c r="DZ598"/>
      <c r="EA598" s="19"/>
      <c r="EB598" s="19"/>
      <c r="EC598" s="9"/>
      <c r="ED598" s="9"/>
      <c r="EE598" s="9"/>
      <c r="EF598" s="9"/>
      <c r="EG598" s="9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3"/>
      <c r="FJ598" s="13"/>
      <c r="FK598" s="13"/>
      <c r="FL598" s="13"/>
      <c r="FM598" s="13"/>
      <c r="FN598" s="13"/>
      <c r="FO598" s="13"/>
      <c r="FP598" s="13"/>
      <c r="FQ598" s="13"/>
      <c r="FR598" s="13"/>
      <c r="FS598" s="13"/>
      <c r="FT598" s="13"/>
      <c r="FU598" s="13"/>
      <c r="FV598" s="13"/>
      <c r="FW598" s="13"/>
      <c r="FX598" s="13"/>
      <c r="FY598" s="13"/>
      <c r="FZ598" s="13"/>
      <c r="GA598" s="13"/>
    </row>
    <row r="599" spans="1:183" s="52" customFormat="1" ht="13.2" x14ac:dyDescent="0.25">
      <c r="A599" s="2"/>
      <c r="B599" s="2"/>
      <c r="C599" s="9">
        <v>27</v>
      </c>
      <c r="D599" s="9">
        <v>44</v>
      </c>
      <c r="E599" s="9">
        <v>60</v>
      </c>
      <c r="F599" s="9">
        <v>67</v>
      </c>
      <c r="G599" s="9">
        <v>68</v>
      </c>
      <c r="H599" s="9">
        <v>88</v>
      </c>
      <c r="I599" s="43"/>
      <c r="J599" s="9">
        <v>88</v>
      </c>
      <c r="K599" s="43"/>
      <c r="L599" s="39">
        <v>45304</v>
      </c>
      <c r="M599" s="43"/>
      <c r="N599"/>
      <c r="O599"/>
      <c r="P599"/>
      <c r="Q599"/>
      <c r="R599"/>
      <c r="S599"/>
      <c r="T599"/>
      <c r="U599"/>
      <c r="V599"/>
      <c r="X599" s="43"/>
      <c r="Y599"/>
      <c r="Z599"/>
      <c r="AA599"/>
      <c r="AB599"/>
      <c r="AC599"/>
      <c r="AD599"/>
      <c r="AE599"/>
      <c r="AF599"/>
      <c r="AG599"/>
      <c r="AI599" s="148"/>
      <c r="AJ599" s="1"/>
      <c r="AK599" s="1"/>
      <c r="AL599" s="54"/>
      <c r="AM599" s="1"/>
      <c r="AN599" s="43"/>
      <c r="AO599" s="1"/>
      <c r="AP599" s="1"/>
      <c r="AQ599" s="19"/>
      <c r="AR599" s="54"/>
      <c r="AS599" s="43"/>
      <c r="AT599" s="1"/>
      <c r="AU599" s="1"/>
      <c r="AV599" s="1"/>
      <c r="AW599" s="54"/>
      <c r="AX599" s="57"/>
      <c r="AY599" s="54"/>
      <c r="AZ599" s="54"/>
      <c r="BA599" s="54"/>
      <c r="BB599" s="54"/>
      <c r="BC599" s="57"/>
      <c r="BD599" s="1"/>
      <c r="BE599" s="1"/>
      <c r="BF599" s="1"/>
      <c r="BG599" s="54"/>
      <c r="BH599" s="43"/>
      <c r="BI599"/>
      <c r="BJ599" s="13"/>
      <c r="BK599" s="1"/>
      <c r="BL599"/>
      <c r="BM599"/>
      <c r="BN599"/>
      <c r="DY599" s="43"/>
      <c r="DZ599"/>
      <c r="EA599" s="19"/>
      <c r="EB599" s="19"/>
      <c r="EC599" s="9"/>
      <c r="ED599" s="9"/>
      <c r="EE599" s="9"/>
      <c r="EF599" s="9"/>
      <c r="EG599" s="9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3"/>
      <c r="FD599" s="13"/>
      <c r="FE599" s="13"/>
      <c r="FF599" s="13"/>
      <c r="FG599" s="13"/>
      <c r="FH599" s="13"/>
      <c r="FI599" s="13"/>
      <c r="FJ599" s="13"/>
      <c r="FK599" s="13"/>
      <c r="FL599" s="13"/>
      <c r="FM599" s="13"/>
      <c r="FN599" s="13"/>
      <c r="FO599" s="13"/>
      <c r="FP599" s="13"/>
      <c r="FQ599" s="13"/>
      <c r="FR599" s="13"/>
      <c r="FS599" s="13"/>
      <c r="FT599" s="13"/>
      <c r="FU599" s="13"/>
      <c r="FV599" s="13"/>
      <c r="FW599" s="13"/>
      <c r="FX599" s="13"/>
      <c r="FY599" s="13"/>
      <c r="FZ599" s="13"/>
      <c r="GA599" s="13"/>
    </row>
    <row r="600" spans="1:183" s="52" customFormat="1" ht="13.2" x14ac:dyDescent="0.25">
      <c r="A600" s="2"/>
      <c r="B600" s="2"/>
      <c r="C600" s="9">
        <v>14</v>
      </c>
      <c r="D600" s="9">
        <v>28</v>
      </c>
      <c r="E600" s="9">
        <v>41</v>
      </c>
      <c r="F600" s="9">
        <v>45</v>
      </c>
      <c r="G600" s="9">
        <v>49</v>
      </c>
      <c r="H600" s="9">
        <v>62</v>
      </c>
      <c r="I600" s="43"/>
      <c r="J600" s="9">
        <v>62</v>
      </c>
      <c r="K600" s="43"/>
      <c r="L600" s="39">
        <v>45301</v>
      </c>
      <c r="M600" s="43"/>
      <c r="N600"/>
      <c r="O600"/>
      <c r="P600"/>
      <c r="Q600"/>
      <c r="R600"/>
      <c r="S600"/>
      <c r="T600"/>
      <c r="U600"/>
      <c r="V600"/>
      <c r="X600" s="43"/>
      <c r="Y600"/>
      <c r="Z600"/>
      <c r="AA600"/>
      <c r="AB600"/>
      <c r="AC600"/>
      <c r="AD600"/>
      <c r="AE600"/>
      <c r="AF600"/>
      <c r="AG600"/>
      <c r="AI600" s="148"/>
      <c r="AJ600" s="1"/>
      <c r="AK600" s="1"/>
      <c r="AL600" s="54"/>
      <c r="AM600" s="1"/>
      <c r="AN600" s="43"/>
      <c r="AO600" s="1"/>
      <c r="AP600" s="1"/>
      <c r="AQ600" s="19"/>
      <c r="AR600" s="54"/>
      <c r="AS600" s="43"/>
      <c r="AT600" s="1"/>
      <c r="AU600" s="1"/>
      <c r="AV600" s="1"/>
      <c r="AW600" s="54"/>
      <c r="AX600" s="57"/>
      <c r="AY600" s="54"/>
      <c r="AZ600" s="54"/>
      <c r="BA600" s="54"/>
      <c r="BB600" s="54"/>
      <c r="BC600" s="57"/>
      <c r="BD600" s="1"/>
      <c r="BE600" s="1"/>
      <c r="BF600" s="1"/>
      <c r="BG600" s="54"/>
      <c r="BH600" s="43"/>
      <c r="BI600"/>
      <c r="BJ600" s="13"/>
      <c r="BK600" s="1"/>
      <c r="BL600"/>
      <c r="BM600"/>
      <c r="BN600"/>
      <c r="DY600" s="43"/>
      <c r="DZ600"/>
      <c r="EA600" s="19"/>
      <c r="EB600" s="19"/>
      <c r="EC600" s="9"/>
      <c r="ED600" s="9"/>
      <c r="EE600" s="9"/>
      <c r="EF600" s="9"/>
      <c r="EG600" s="9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  <c r="FU600" s="13"/>
      <c r="FV600" s="13"/>
      <c r="FW600" s="13"/>
      <c r="FX600" s="13"/>
      <c r="FY600" s="13"/>
      <c r="FZ600" s="13"/>
      <c r="GA600" s="13"/>
    </row>
    <row r="601" spans="1:183" s="52" customFormat="1" ht="13.2" x14ac:dyDescent="0.25">
      <c r="A601" s="2"/>
      <c r="B601" s="2"/>
      <c r="C601" s="9">
        <v>4</v>
      </c>
      <c r="D601" s="9">
        <v>33</v>
      </c>
      <c r="E601" s="9">
        <v>35</v>
      </c>
      <c r="F601" s="9">
        <v>62</v>
      </c>
      <c r="G601" s="9">
        <v>65</v>
      </c>
      <c r="H601" s="9">
        <v>76</v>
      </c>
      <c r="I601" s="43"/>
      <c r="J601" s="9">
        <v>76</v>
      </c>
      <c r="K601" s="43"/>
      <c r="L601" s="39">
        <v>45299</v>
      </c>
      <c r="M601" s="43"/>
      <c r="N601"/>
      <c r="O601"/>
      <c r="P601"/>
      <c r="Q601"/>
      <c r="R601"/>
      <c r="S601"/>
      <c r="T601"/>
      <c r="U601"/>
      <c r="V601"/>
      <c r="X601" s="43"/>
      <c r="Y601"/>
      <c r="Z601"/>
      <c r="AA601"/>
      <c r="AB601"/>
      <c r="AC601"/>
      <c r="AD601"/>
      <c r="AE601"/>
      <c r="AF601"/>
      <c r="AG601"/>
      <c r="AI601" s="148"/>
      <c r="AJ601" s="1"/>
      <c r="AK601" s="1"/>
      <c r="AL601" s="54"/>
      <c r="AM601" s="1"/>
      <c r="AN601" s="43"/>
      <c r="AO601" s="1"/>
      <c r="AP601" s="1"/>
      <c r="AQ601" s="19"/>
      <c r="AR601" s="54"/>
      <c r="AS601" s="43"/>
      <c r="AT601" s="1"/>
      <c r="AU601" s="1"/>
      <c r="AV601" s="1"/>
      <c r="AW601" s="54"/>
      <c r="AX601" s="57"/>
      <c r="AY601" s="54"/>
      <c r="AZ601" s="54"/>
      <c r="BA601" s="54"/>
      <c r="BB601" s="54"/>
      <c r="BC601" s="57"/>
      <c r="BD601" s="1"/>
      <c r="BE601" s="1"/>
      <c r="BF601" s="1"/>
      <c r="BG601" s="54"/>
      <c r="BH601" s="43"/>
      <c r="BI601"/>
      <c r="BJ601" s="13"/>
      <c r="BK601" s="1"/>
      <c r="BL601"/>
      <c r="BM601"/>
      <c r="BN601"/>
      <c r="DY601" s="43"/>
      <c r="DZ601"/>
      <c r="EA601" s="19"/>
      <c r="EB601" s="19"/>
      <c r="EC601" s="9"/>
      <c r="ED601" s="9"/>
      <c r="EE601" s="9"/>
      <c r="EF601" s="9"/>
      <c r="EG601" s="9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  <c r="FT601" s="13"/>
      <c r="FU601" s="13"/>
      <c r="FV601" s="13"/>
      <c r="FW601" s="13"/>
      <c r="FX601" s="13"/>
      <c r="FY601" s="13"/>
      <c r="FZ601" s="13"/>
      <c r="GA601" s="13"/>
    </row>
    <row r="602" spans="1:183" s="52" customFormat="1" ht="13.2" x14ac:dyDescent="0.25">
      <c r="A602" s="2"/>
      <c r="B602" s="2"/>
      <c r="C602" s="9">
        <v>45</v>
      </c>
      <c r="D602" s="9">
        <v>49</v>
      </c>
      <c r="E602" s="9">
        <v>51</v>
      </c>
      <c r="F602" s="9">
        <v>60</v>
      </c>
      <c r="G602" s="9">
        <v>71</v>
      </c>
      <c r="H602" s="9">
        <v>86</v>
      </c>
      <c r="I602" s="43"/>
      <c r="J602" s="9">
        <v>86</v>
      </c>
      <c r="K602" s="43"/>
      <c r="L602" s="39">
        <v>45297</v>
      </c>
      <c r="M602" s="43"/>
      <c r="N602"/>
      <c r="O602"/>
      <c r="P602"/>
      <c r="Q602"/>
      <c r="R602"/>
      <c r="S602"/>
      <c r="T602"/>
      <c r="U602"/>
      <c r="V602"/>
      <c r="X602" s="43"/>
      <c r="Y602"/>
      <c r="Z602"/>
      <c r="AA602"/>
      <c r="AB602"/>
      <c r="AC602"/>
      <c r="AD602"/>
      <c r="AE602"/>
      <c r="AF602"/>
      <c r="AG602"/>
      <c r="AI602" s="148"/>
      <c r="AJ602" s="1"/>
      <c r="AK602" s="1"/>
      <c r="AL602" s="54"/>
      <c r="AM602" s="1"/>
      <c r="AN602" s="43"/>
      <c r="AO602" s="1"/>
      <c r="AP602" s="1"/>
      <c r="AQ602" s="19"/>
      <c r="AR602" s="54"/>
      <c r="AS602" s="43"/>
      <c r="AT602" s="1"/>
      <c r="AU602" s="1"/>
      <c r="AV602" s="1"/>
      <c r="AW602" s="54"/>
      <c r="AX602" s="57"/>
      <c r="AY602" s="54"/>
      <c r="AZ602" s="54"/>
      <c r="BA602" s="54"/>
      <c r="BB602" s="54"/>
      <c r="BC602" s="57"/>
      <c r="BD602" s="1"/>
      <c r="BE602" s="1"/>
      <c r="BF602" s="1"/>
      <c r="BG602" s="54"/>
      <c r="BH602" s="43"/>
      <c r="BI602"/>
      <c r="BJ602" s="13"/>
      <c r="BK602" s="1"/>
      <c r="BL602"/>
      <c r="BM602"/>
      <c r="BN602"/>
      <c r="DY602" s="43"/>
      <c r="DZ602"/>
      <c r="EA602" s="19"/>
      <c r="EB602" s="19"/>
      <c r="EC602" s="9"/>
      <c r="ED602" s="9"/>
      <c r="EE602" s="9"/>
      <c r="EF602" s="9"/>
      <c r="EG602" s="9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  <c r="FI602" s="13"/>
      <c r="FJ602" s="13"/>
      <c r="FK602" s="13"/>
      <c r="FL602" s="13"/>
      <c r="FM602" s="13"/>
      <c r="FN602" s="13"/>
      <c r="FO602" s="13"/>
      <c r="FP602" s="13"/>
      <c r="FQ602" s="13"/>
      <c r="FR602" s="13"/>
      <c r="FS602" s="13"/>
      <c r="FT602" s="13"/>
      <c r="FU602" s="13"/>
      <c r="FV602" s="13"/>
      <c r="FW602" s="13"/>
      <c r="FX602" s="13"/>
      <c r="FY602" s="13"/>
      <c r="FZ602" s="13"/>
      <c r="GA602" s="13"/>
    </row>
    <row r="603" spans="1:183" s="52" customFormat="1" ht="13.2" x14ac:dyDescent="0.25">
      <c r="A603" s="2"/>
      <c r="B603" s="2"/>
      <c r="C603" s="9">
        <v>3</v>
      </c>
      <c r="D603" s="9">
        <v>18</v>
      </c>
      <c r="E603" s="9">
        <v>50</v>
      </c>
      <c r="F603" s="9">
        <v>54</v>
      </c>
      <c r="G603" s="9">
        <v>66</v>
      </c>
      <c r="H603" s="9">
        <v>86</v>
      </c>
      <c r="I603" s="43"/>
      <c r="J603" s="9">
        <v>86</v>
      </c>
      <c r="K603" s="43"/>
      <c r="L603" s="39">
        <v>45294</v>
      </c>
      <c r="M603" s="43"/>
      <c r="N603"/>
      <c r="O603"/>
      <c r="P603"/>
      <c r="Q603"/>
      <c r="R603"/>
      <c r="S603"/>
      <c r="T603"/>
      <c r="U603"/>
      <c r="V603"/>
      <c r="X603" s="43"/>
      <c r="Y603"/>
      <c r="Z603"/>
      <c r="AA603"/>
      <c r="AB603"/>
      <c r="AC603"/>
      <c r="AD603"/>
      <c r="AE603"/>
      <c r="AF603"/>
      <c r="AG603"/>
      <c r="AI603" s="148"/>
      <c r="AJ603" s="1"/>
      <c r="AK603" s="1"/>
      <c r="AL603" s="54"/>
      <c r="AM603" s="1"/>
      <c r="AN603" s="43"/>
      <c r="AO603" s="1"/>
      <c r="AP603" s="1"/>
      <c r="AQ603" s="19"/>
      <c r="AR603" s="54"/>
      <c r="AS603" s="43"/>
      <c r="AT603" s="1"/>
      <c r="AU603" s="1"/>
      <c r="AV603" s="1"/>
      <c r="AW603" s="54"/>
      <c r="AX603" s="57"/>
      <c r="AY603" s="54"/>
      <c r="AZ603" s="54"/>
      <c r="BA603" s="54"/>
      <c r="BB603" s="54"/>
      <c r="BC603" s="57"/>
      <c r="BD603" s="1"/>
      <c r="BE603" s="1"/>
      <c r="BF603" s="1"/>
      <c r="BG603" s="54"/>
      <c r="BH603" s="43"/>
      <c r="BI603"/>
      <c r="BJ603" s="13"/>
      <c r="BK603" s="1"/>
      <c r="BL603"/>
      <c r="BM603"/>
      <c r="BN603"/>
      <c r="DY603" s="43"/>
      <c r="DZ603"/>
      <c r="EA603" s="19"/>
      <c r="EB603" s="19"/>
      <c r="EC603" s="9"/>
      <c r="ED603" s="9"/>
      <c r="EE603" s="9"/>
      <c r="EF603" s="9"/>
      <c r="EG603" s="9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3"/>
      <c r="FD603" s="13"/>
      <c r="FE603" s="13"/>
      <c r="FF603" s="13"/>
      <c r="FG603" s="13"/>
      <c r="FH603" s="13"/>
      <c r="FI603" s="13"/>
      <c r="FJ603" s="13"/>
      <c r="FK603" s="13"/>
      <c r="FL603" s="13"/>
      <c r="FM603" s="13"/>
      <c r="FN603" s="13"/>
      <c r="FO603" s="13"/>
      <c r="FP603" s="13"/>
      <c r="FQ603" s="13"/>
      <c r="FR603" s="13"/>
      <c r="FS603" s="13"/>
      <c r="FT603" s="13"/>
      <c r="FU603" s="13"/>
      <c r="FV603" s="13"/>
      <c r="FW603" s="13"/>
      <c r="FX603" s="13"/>
      <c r="FY603" s="13"/>
      <c r="FZ603" s="13"/>
      <c r="GA603" s="13"/>
    </row>
    <row r="604" spans="1:183" s="52" customFormat="1" ht="13.2" x14ac:dyDescent="0.25">
      <c r="A604" s="2"/>
      <c r="B604" s="2"/>
      <c r="C604" s="9">
        <v>20</v>
      </c>
      <c r="D604" s="9">
        <v>21</v>
      </c>
      <c r="E604" s="9">
        <v>31</v>
      </c>
      <c r="F604" s="9">
        <v>45</v>
      </c>
      <c r="G604" s="9">
        <v>46</v>
      </c>
      <c r="H604" s="9">
        <v>87</v>
      </c>
      <c r="I604" s="43"/>
      <c r="J604" s="9">
        <v>87</v>
      </c>
      <c r="K604" s="43"/>
      <c r="L604" s="39">
        <v>45292</v>
      </c>
      <c r="M604" s="43"/>
      <c r="N604"/>
      <c r="O604"/>
      <c r="P604"/>
      <c r="Q604"/>
      <c r="R604"/>
      <c r="S604"/>
      <c r="T604"/>
      <c r="U604"/>
      <c r="V604"/>
      <c r="X604" s="43"/>
      <c r="Y604"/>
      <c r="Z604"/>
      <c r="AA604"/>
      <c r="AB604"/>
      <c r="AC604"/>
      <c r="AD604"/>
      <c r="AE604"/>
      <c r="AF604"/>
      <c r="AG604"/>
      <c r="AI604" s="148"/>
      <c r="AJ604" s="1"/>
      <c r="AK604" s="1"/>
      <c r="AL604" s="54"/>
      <c r="AM604" s="1"/>
      <c r="AN604" s="43"/>
      <c r="AO604" s="1"/>
      <c r="AP604" s="1"/>
      <c r="AQ604" s="19"/>
      <c r="AR604" s="54"/>
      <c r="AS604" s="43"/>
      <c r="AT604" s="1"/>
      <c r="AU604" s="1"/>
      <c r="AV604" s="1"/>
      <c r="AW604" s="54"/>
      <c r="AX604" s="57"/>
      <c r="AY604" s="54"/>
      <c r="AZ604" s="54"/>
      <c r="BA604" s="54"/>
      <c r="BB604" s="54"/>
      <c r="BC604" s="57"/>
      <c r="BD604" s="1"/>
      <c r="BE604" s="1"/>
      <c r="BF604" s="1"/>
      <c r="BG604" s="54"/>
      <c r="BH604" s="43"/>
      <c r="BI604"/>
      <c r="BJ604" s="13"/>
      <c r="BK604" s="1"/>
      <c r="BL604"/>
      <c r="BM604"/>
      <c r="BN604"/>
      <c r="DY604" s="43"/>
      <c r="DZ604"/>
      <c r="EA604" s="19"/>
      <c r="EB604" s="19"/>
      <c r="EC604" s="9"/>
      <c r="ED604" s="9"/>
      <c r="EE604" s="9"/>
      <c r="EF604" s="9"/>
      <c r="EG604" s="9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  <c r="FT604" s="13"/>
      <c r="FU604" s="13"/>
      <c r="FV604" s="13"/>
      <c r="FW604" s="13"/>
      <c r="FX604" s="13"/>
      <c r="FY604" s="13"/>
      <c r="FZ604" s="13"/>
      <c r="GA604" s="13"/>
    </row>
    <row r="605" spans="1:183" s="52" customFormat="1" ht="13.2" x14ac:dyDescent="0.25">
      <c r="A605" s="2"/>
      <c r="B605" s="2"/>
      <c r="C605" s="9">
        <v>33</v>
      </c>
      <c r="D605" s="9">
        <v>38</v>
      </c>
      <c r="E605" s="9">
        <v>47</v>
      </c>
      <c r="F605" s="9">
        <v>57</v>
      </c>
      <c r="G605" s="9">
        <v>81</v>
      </c>
      <c r="H605" s="9">
        <v>85</v>
      </c>
      <c r="I605" s="43"/>
      <c r="J605" s="9">
        <v>85</v>
      </c>
      <c r="K605" s="43"/>
      <c r="L605" s="39">
        <v>44960</v>
      </c>
      <c r="M605" s="43"/>
      <c r="N605"/>
      <c r="O605"/>
      <c r="P605"/>
      <c r="Q605"/>
      <c r="R605"/>
      <c r="S605"/>
      <c r="T605"/>
      <c r="U605"/>
      <c r="V605"/>
      <c r="X605" s="43"/>
      <c r="Y605"/>
      <c r="Z605"/>
      <c r="AA605"/>
      <c r="AB605"/>
      <c r="AC605"/>
      <c r="AD605"/>
      <c r="AE605"/>
      <c r="AF605"/>
      <c r="AG605"/>
      <c r="AI605" s="148"/>
      <c r="AJ605" s="1"/>
      <c r="AK605" s="1"/>
      <c r="AL605" s="54"/>
      <c r="AM605" s="1"/>
      <c r="AN605" s="43"/>
      <c r="AO605" s="1"/>
      <c r="AP605" s="1"/>
      <c r="AQ605" s="19"/>
      <c r="AR605" s="54"/>
      <c r="AS605" s="43"/>
      <c r="AT605" s="1"/>
      <c r="AU605" s="1"/>
      <c r="AV605" s="1"/>
      <c r="AW605" s="54"/>
      <c r="AX605" s="57"/>
      <c r="AY605" s="54"/>
      <c r="AZ605" s="54"/>
      <c r="BA605" s="54"/>
      <c r="BB605" s="54"/>
      <c r="BC605" s="57"/>
      <c r="BD605" s="1"/>
      <c r="BE605" s="1"/>
      <c r="BF605" s="1"/>
      <c r="BG605" s="54"/>
      <c r="BH605" s="43"/>
      <c r="BI605"/>
      <c r="BJ605" s="13"/>
      <c r="BK605" s="1"/>
      <c r="BL605"/>
      <c r="BM605"/>
      <c r="BN605"/>
      <c r="DY605" s="43"/>
      <c r="DZ605"/>
      <c r="EA605" s="19"/>
      <c r="EB605" s="19"/>
      <c r="EC605" s="9"/>
      <c r="ED605" s="9"/>
      <c r="EE605" s="9"/>
      <c r="EF605" s="9"/>
      <c r="EG605" s="9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3"/>
      <c r="FJ605" s="13"/>
      <c r="FK605" s="13"/>
      <c r="FL605" s="13"/>
      <c r="FM605" s="13"/>
      <c r="FN605" s="13"/>
      <c r="FO605" s="13"/>
      <c r="FP605" s="13"/>
      <c r="FQ605" s="13"/>
      <c r="FR605" s="13"/>
      <c r="FS605" s="13"/>
      <c r="FT605" s="13"/>
      <c r="FU605" s="13"/>
      <c r="FV605" s="13"/>
      <c r="FW605" s="13"/>
      <c r="FX605" s="13"/>
      <c r="FY605" s="13"/>
      <c r="FZ605" s="13"/>
      <c r="GA605" s="13"/>
    </row>
    <row r="606" spans="1:183" s="52" customFormat="1" ht="13.2" x14ac:dyDescent="0.25">
      <c r="A606" s="2"/>
      <c r="B606" s="2"/>
      <c r="C606" s="9">
        <v>40</v>
      </c>
      <c r="D606" s="9">
        <v>41</v>
      </c>
      <c r="E606" s="9">
        <v>46</v>
      </c>
      <c r="F606" s="9">
        <v>62</v>
      </c>
      <c r="G606" s="9">
        <v>74</v>
      </c>
      <c r="H606" s="9">
        <v>85</v>
      </c>
      <c r="I606" s="43"/>
      <c r="J606" s="9">
        <v>85</v>
      </c>
      <c r="K606" s="43"/>
      <c r="L606" s="39">
        <v>45290</v>
      </c>
      <c r="M606" s="43"/>
      <c r="N606"/>
      <c r="O606"/>
      <c r="P606"/>
      <c r="Q606"/>
      <c r="R606"/>
      <c r="S606"/>
      <c r="T606"/>
      <c r="U606"/>
      <c r="V606"/>
      <c r="X606" s="43"/>
      <c r="Y606"/>
      <c r="Z606"/>
      <c r="AA606"/>
      <c r="AB606"/>
      <c r="AC606"/>
      <c r="AD606"/>
      <c r="AE606"/>
      <c r="AF606"/>
      <c r="AG606"/>
      <c r="AI606" s="148"/>
      <c r="AJ606" s="1"/>
      <c r="AK606" s="1"/>
      <c r="AL606" s="54"/>
      <c r="AM606" s="1"/>
      <c r="AN606" s="43"/>
      <c r="AO606" s="1"/>
      <c r="AP606" s="1"/>
      <c r="AQ606" s="19"/>
      <c r="AR606" s="54"/>
      <c r="AS606" s="43"/>
      <c r="AT606" s="1"/>
      <c r="AU606" s="1"/>
      <c r="AV606" s="1"/>
      <c r="AW606" s="54"/>
      <c r="AX606" s="57"/>
      <c r="AY606" s="54"/>
      <c r="AZ606" s="54"/>
      <c r="BA606" s="54"/>
      <c r="BB606" s="54"/>
      <c r="BC606" s="57"/>
      <c r="BD606" s="1"/>
      <c r="BE606" s="1"/>
      <c r="BF606" s="1"/>
      <c r="BG606" s="54"/>
      <c r="BH606" s="43"/>
      <c r="BI606"/>
      <c r="BJ606" s="13"/>
      <c r="BK606" s="1"/>
      <c r="BL606"/>
      <c r="BM606"/>
      <c r="BN606"/>
      <c r="DY606" s="43"/>
      <c r="DZ606"/>
      <c r="EA606" s="19"/>
      <c r="EB606" s="19"/>
      <c r="EC606" s="9"/>
      <c r="ED606" s="9"/>
      <c r="EE606" s="9"/>
      <c r="EF606" s="9"/>
      <c r="EG606" s="9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3"/>
      <c r="FJ606" s="13"/>
      <c r="FK606" s="13"/>
      <c r="FL606" s="13"/>
      <c r="FM606" s="13"/>
      <c r="FN606" s="13"/>
      <c r="FO606" s="13"/>
      <c r="FP606" s="13"/>
      <c r="FQ606" s="13"/>
      <c r="FR606" s="13"/>
      <c r="FS606" s="13"/>
      <c r="FT606" s="13"/>
      <c r="FU606" s="13"/>
      <c r="FV606" s="13"/>
      <c r="FW606" s="13"/>
      <c r="FX606" s="13"/>
      <c r="FY606" s="13"/>
      <c r="FZ606" s="13"/>
      <c r="GA606" s="13"/>
    </row>
    <row r="607" spans="1:183" s="52" customFormat="1" ht="13.2" x14ac:dyDescent="0.25">
      <c r="A607" s="2"/>
      <c r="B607" s="2"/>
      <c r="C607" s="9">
        <v>17</v>
      </c>
      <c r="D607" s="9">
        <v>39</v>
      </c>
      <c r="E607" s="9">
        <v>44</v>
      </c>
      <c r="F607" s="9">
        <v>60</v>
      </c>
      <c r="G607" s="9">
        <v>68</v>
      </c>
      <c r="H607" s="9">
        <v>87</v>
      </c>
      <c r="I607" s="43"/>
      <c r="J607" s="9">
        <v>87</v>
      </c>
      <c r="K607" s="43"/>
      <c r="L607" s="39">
        <v>45287</v>
      </c>
      <c r="M607" s="43"/>
      <c r="N607"/>
      <c r="O607"/>
      <c r="P607"/>
      <c r="Q607"/>
      <c r="R607"/>
      <c r="S607"/>
      <c r="T607"/>
      <c r="U607"/>
      <c r="V607"/>
      <c r="X607" s="43"/>
      <c r="Y607"/>
      <c r="Z607"/>
      <c r="AA607"/>
      <c r="AB607"/>
      <c r="AC607"/>
      <c r="AD607"/>
      <c r="AE607"/>
      <c r="AF607"/>
      <c r="AG607"/>
      <c r="AI607" s="148"/>
      <c r="AJ607" s="1"/>
      <c r="AK607" s="1"/>
      <c r="AL607" s="54"/>
      <c r="AM607" s="1"/>
      <c r="AN607" s="43"/>
      <c r="AO607" s="1"/>
      <c r="AP607" s="1"/>
      <c r="AQ607" s="19"/>
      <c r="AR607" s="54"/>
      <c r="AS607" s="43"/>
      <c r="AT607" s="1"/>
      <c r="AU607" s="1"/>
      <c r="AV607" s="1"/>
      <c r="AW607" s="54"/>
      <c r="AX607" s="57"/>
      <c r="AY607" s="54"/>
      <c r="AZ607" s="54"/>
      <c r="BA607" s="54"/>
      <c r="BB607" s="54"/>
      <c r="BC607" s="57"/>
      <c r="BD607" s="1"/>
      <c r="BE607" s="1"/>
      <c r="BF607" s="1"/>
      <c r="BG607" s="54"/>
      <c r="BH607" s="43"/>
      <c r="BI607"/>
      <c r="BJ607" s="13"/>
      <c r="BK607" s="1"/>
      <c r="BL607"/>
      <c r="BM607"/>
      <c r="BN607"/>
      <c r="DY607" s="43"/>
      <c r="DZ607"/>
      <c r="EA607" s="19"/>
      <c r="EB607" s="19"/>
      <c r="EC607" s="9"/>
      <c r="ED607" s="9"/>
      <c r="EE607" s="9"/>
      <c r="EF607" s="9"/>
      <c r="EG607" s="9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  <c r="FT607" s="13"/>
      <c r="FU607" s="13"/>
      <c r="FV607" s="13"/>
      <c r="FW607" s="13"/>
      <c r="FX607" s="13"/>
      <c r="FY607" s="13"/>
      <c r="FZ607" s="13"/>
      <c r="GA607" s="13"/>
    </row>
    <row r="608" spans="1:183" s="52" customFormat="1" ht="13.2" x14ac:dyDescent="0.25">
      <c r="A608" s="2"/>
      <c r="B608" s="2"/>
      <c r="C608" s="9">
        <v>43</v>
      </c>
      <c r="D608" s="9">
        <v>55</v>
      </c>
      <c r="E608" s="9">
        <v>56</v>
      </c>
      <c r="F608" s="9">
        <v>60</v>
      </c>
      <c r="G608" s="9">
        <v>64</v>
      </c>
      <c r="H608" s="9">
        <v>66</v>
      </c>
      <c r="I608" s="43"/>
      <c r="J608" s="9">
        <v>66</v>
      </c>
      <c r="K608" s="43"/>
      <c r="L608" s="39">
        <v>45285</v>
      </c>
      <c r="M608" s="43"/>
      <c r="N608"/>
      <c r="O608"/>
      <c r="P608"/>
      <c r="Q608"/>
      <c r="R608"/>
      <c r="S608"/>
      <c r="T608"/>
      <c r="U608"/>
      <c r="V608"/>
      <c r="X608" s="43"/>
      <c r="Y608"/>
      <c r="Z608"/>
      <c r="AA608"/>
      <c r="AB608"/>
      <c r="AC608"/>
      <c r="AD608"/>
      <c r="AE608"/>
      <c r="AF608"/>
      <c r="AG608"/>
      <c r="AI608" s="148"/>
      <c r="AJ608" s="1"/>
      <c r="AK608" s="1"/>
      <c r="AL608" s="54"/>
      <c r="AM608" s="1"/>
      <c r="AN608" s="43"/>
      <c r="AO608" s="1"/>
      <c r="AP608" s="1"/>
      <c r="AQ608" s="19"/>
      <c r="AR608" s="54"/>
      <c r="AS608" s="43"/>
      <c r="AT608" s="1"/>
      <c r="AU608" s="1"/>
      <c r="AV608" s="1"/>
      <c r="AW608" s="54"/>
      <c r="AX608" s="57"/>
      <c r="AY608" s="54"/>
      <c r="AZ608" s="54"/>
      <c r="BA608" s="54"/>
      <c r="BB608" s="54"/>
      <c r="BC608" s="57"/>
      <c r="BD608" s="1"/>
      <c r="BE608" s="1"/>
      <c r="BF608" s="1"/>
      <c r="BG608" s="54"/>
      <c r="BH608" s="43"/>
      <c r="BI608"/>
      <c r="BJ608" s="13"/>
      <c r="BK608" s="1"/>
      <c r="BL608"/>
      <c r="BM608"/>
      <c r="BN608"/>
      <c r="DY608" s="43"/>
      <c r="DZ608"/>
      <c r="EA608" s="19"/>
      <c r="EB608" s="19"/>
      <c r="EC608" s="9"/>
      <c r="ED608" s="9"/>
      <c r="EE608" s="9"/>
      <c r="EF608" s="9"/>
      <c r="EG608" s="9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  <c r="FU608" s="13"/>
      <c r="FV608" s="13"/>
      <c r="FW608" s="13"/>
      <c r="FX608" s="13"/>
      <c r="FY608" s="13"/>
      <c r="FZ608" s="13"/>
      <c r="GA608" s="13"/>
    </row>
    <row r="609" spans="1:183" s="52" customFormat="1" ht="13.2" x14ac:dyDescent="0.25">
      <c r="A609" s="2"/>
      <c r="B609" s="2"/>
      <c r="C609" s="9">
        <v>18</v>
      </c>
      <c r="D609" s="9">
        <v>20</v>
      </c>
      <c r="E609" s="9">
        <v>42</v>
      </c>
      <c r="F609" s="9">
        <v>50</v>
      </c>
      <c r="G609" s="9">
        <v>54</v>
      </c>
      <c r="H609" s="9">
        <v>85</v>
      </c>
      <c r="I609" s="43"/>
      <c r="J609" s="9">
        <v>85</v>
      </c>
      <c r="K609" s="43"/>
      <c r="L609" s="39">
        <v>45283</v>
      </c>
      <c r="M609" s="43"/>
      <c r="N609"/>
      <c r="O609"/>
      <c r="P609"/>
      <c r="Q609"/>
      <c r="R609"/>
      <c r="S609"/>
      <c r="T609"/>
      <c r="U609"/>
      <c r="V609"/>
      <c r="X609" s="43"/>
      <c r="Y609"/>
      <c r="Z609"/>
      <c r="AA609"/>
      <c r="AB609"/>
      <c r="AC609"/>
      <c r="AD609"/>
      <c r="AE609"/>
      <c r="AF609"/>
      <c r="AG609"/>
      <c r="AI609" s="148"/>
      <c r="AJ609" s="1"/>
      <c r="AK609" s="1"/>
      <c r="AL609" s="54"/>
      <c r="AM609" s="1"/>
      <c r="AN609" s="43"/>
      <c r="AO609" s="1"/>
      <c r="AP609" s="1"/>
      <c r="AQ609" s="19"/>
      <c r="AR609" s="54"/>
      <c r="AS609" s="43"/>
      <c r="AT609" s="1"/>
      <c r="AU609" s="1"/>
      <c r="AV609" s="1"/>
      <c r="AW609" s="54"/>
      <c r="AX609" s="57"/>
      <c r="AY609" s="54"/>
      <c r="AZ609" s="54"/>
      <c r="BA609" s="54"/>
      <c r="BB609" s="54"/>
      <c r="BC609" s="57"/>
      <c r="BD609" s="1"/>
      <c r="BE609" s="1"/>
      <c r="BF609" s="1"/>
      <c r="BG609" s="54"/>
      <c r="BH609" s="43"/>
      <c r="BI609"/>
      <c r="BJ609" s="13"/>
      <c r="BK609" s="1"/>
      <c r="BL609"/>
      <c r="BM609"/>
      <c r="BN609"/>
      <c r="DY609" s="43"/>
      <c r="DZ609"/>
      <c r="EA609" s="19"/>
      <c r="EB609" s="19"/>
      <c r="EC609" s="9"/>
      <c r="ED609" s="9"/>
      <c r="EE609" s="9"/>
      <c r="EF609" s="9"/>
      <c r="EG609" s="9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3"/>
      <c r="FJ609" s="13"/>
      <c r="FK609" s="13"/>
      <c r="FL609" s="13"/>
      <c r="FM609" s="13"/>
      <c r="FN609" s="13"/>
      <c r="FO609" s="13"/>
      <c r="FP609" s="13"/>
      <c r="FQ609" s="13"/>
      <c r="FR609" s="13"/>
      <c r="FS609" s="13"/>
      <c r="FT609" s="13"/>
      <c r="FU609" s="13"/>
      <c r="FV609" s="13"/>
      <c r="FW609" s="13"/>
      <c r="FX609" s="13"/>
      <c r="FY609" s="13"/>
      <c r="FZ609" s="13"/>
      <c r="GA609" s="13"/>
    </row>
    <row r="610" spans="1:183" s="52" customFormat="1" ht="13.2" x14ac:dyDescent="0.25">
      <c r="A610" s="2"/>
      <c r="B610" s="2"/>
      <c r="C610" s="9">
        <v>1</v>
      </c>
      <c r="D610" s="9">
        <v>16</v>
      </c>
      <c r="E610" s="9">
        <v>45</v>
      </c>
      <c r="F610" s="9">
        <v>50</v>
      </c>
      <c r="G610" s="9">
        <v>54</v>
      </c>
      <c r="H610" s="9">
        <v>78</v>
      </c>
      <c r="I610" s="43"/>
      <c r="J610" s="9">
        <v>78</v>
      </c>
      <c r="K610" s="43"/>
      <c r="L610" s="39">
        <v>45280</v>
      </c>
      <c r="M610" s="43"/>
      <c r="N610"/>
      <c r="O610"/>
      <c r="P610"/>
      <c r="Q610"/>
      <c r="R610"/>
      <c r="S610"/>
      <c r="T610"/>
      <c r="U610"/>
      <c r="V610"/>
      <c r="X610" s="43"/>
      <c r="Y610"/>
      <c r="Z610"/>
      <c r="AA610"/>
      <c r="AB610"/>
      <c r="AC610"/>
      <c r="AD610"/>
      <c r="AE610"/>
      <c r="AF610"/>
      <c r="AG610"/>
      <c r="AI610" s="148"/>
      <c r="AJ610" s="1"/>
      <c r="AK610" s="1"/>
      <c r="AL610" s="54"/>
      <c r="AM610" s="1"/>
      <c r="AN610" s="43"/>
      <c r="AO610" s="1"/>
      <c r="AP610" s="1"/>
      <c r="AQ610" s="19"/>
      <c r="AR610" s="54"/>
      <c r="AS610" s="43"/>
      <c r="AT610" s="1"/>
      <c r="AU610" s="1"/>
      <c r="AV610" s="1"/>
      <c r="AW610" s="54"/>
      <c r="AX610" s="57"/>
      <c r="AY610" s="54"/>
      <c r="AZ610" s="54"/>
      <c r="BA610" s="54"/>
      <c r="BB610" s="54"/>
      <c r="BC610" s="57"/>
      <c r="BD610" s="1"/>
      <c r="BE610" s="1"/>
      <c r="BF610" s="1"/>
      <c r="BG610" s="54"/>
      <c r="BH610" s="43"/>
      <c r="BI610"/>
      <c r="BJ610" s="13"/>
      <c r="BK610" s="1"/>
      <c r="BL610"/>
      <c r="BM610"/>
      <c r="BN610"/>
      <c r="DY610" s="43"/>
      <c r="DZ610"/>
      <c r="EA610" s="19"/>
      <c r="EB610" s="19"/>
      <c r="EC610" s="9"/>
      <c r="ED610" s="9"/>
      <c r="EE610" s="9"/>
      <c r="EF610" s="9"/>
      <c r="EG610" s="9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  <c r="FI610" s="13"/>
      <c r="FJ610" s="13"/>
      <c r="FK610" s="13"/>
      <c r="FL610" s="13"/>
      <c r="FM610" s="13"/>
      <c r="FN610" s="13"/>
      <c r="FO610" s="13"/>
      <c r="FP610" s="13"/>
      <c r="FQ610" s="13"/>
      <c r="FR610" s="13"/>
      <c r="FS610" s="13"/>
      <c r="FT610" s="13"/>
      <c r="FU610" s="13"/>
      <c r="FV610" s="13"/>
      <c r="FW610" s="13"/>
      <c r="FX610" s="13"/>
      <c r="FY610" s="13"/>
      <c r="FZ610" s="13"/>
      <c r="GA610" s="13"/>
    </row>
    <row r="611" spans="1:183" s="52" customFormat="1" ht="13.2" x14ac:dyDescent="0.25">
      <c r="A611" s="2"/>
      <c r="B611" s="2"/>
      <c r="C611" s="9">
        <v>33</v>
      </c>
      <c r="D611" s="9">
        <v>45</v>
      </c>
      <c r="E611" s="9">
        <v>53</v>
      </c>
      <c r="F611" s="9">
        <v>80</v>
      </c>
      <c r="G611" s="9">
        <v>85</v>
      </c>
      <c r="H611" s="9">
        <v>89</v>
      </c>
      <c r="I611" s="43"/>
      <c r="J611" s="9">
        <v>89</v>
      </c>
      <c r="K611" s="43"/>
      <c r="L611" s="39">
        <v>45278</v>
      </c>
      <c r="M611" s="43"/>
      <c r="N611"/>
      <c r="O611"/>
      <c r="P611"/>
      <c r="Q611"/>
      <c r="R611"/>
      <c r="S611"/>
      <c r="T611"/>
      <c r="U611"/>
      <c r="V611"/>
      <c r="X611" s="43"/>
      <c r="Y611"/>
      <c r="Z611"/>
      <c r="AA611"/>
      <c r="AB611"/>
      <c r="AC611"/>
      <c r="AD611"/>
      <c r="AE611"/>
      <c r="AF611"/>
      <c r="AG611"/>
      <c r="AI611" s="148"/>
      <c r="AJ611" s="1"/>
      <c r="AK611" s="1"/>
      <c r="AL611" s="54"/>
      <c r="AM611" s="1"/>
      <c r="AN611" s="43"/>
      <c r="AO611" s="1"/>
      <c r="AP611" s="1"/>
      <c r="AQ611" s="19"/>
      <c r="AR611" s="54"/>
      <c r="AS611" s="43"/>
      <c r="AT611" s="1"/>
      <c r="AU611" s="1"/>
      <c r="AV611" s="1"/>
      <c r="AW611" s="54"/>
      <c r="AX611" s="57"/>
      <c r="AY611" s="54"/>
      <c r="AZ611" s="54"/>
      <c r="BA611" s="54"/>
      <c r="BB611" s="54"/>
      <c r="BC611" s="57"/>
      <c r="BD611" s="1"/>
      <c r="BE611" s="1"/>
      <c r="BF611" s="1"/>
      <c r="BG611" s="54"/>
      <c r="BH611" s="43"/>
      <c r="BI611"/>
      <c r="BJ611" s="13"/>
      <c r="BK611" s="1"/>
      <c r="BL611"/>
      <c r="BM611"/>
      <c r="BN611"/>
      <c r="DY611" s="43"/>
      <c r="DZ611"/>
      <c r="EA611" s="19"/>
      <c r="EB611" s="19"/>
      <c r="EC611" s="9"/>
      <c r="ED611" s="9"/>
      <c r="EE611" s="9"/>
      <c r="EF611" s="9"/>
      <c r="EG611" s="9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3"/>
      <c r="FJ611" s="13"/>
      <c r="FK611" s="13"/>
      <c r="FL611" s="13"/>
      <c r="FM611" s="13"/>
      <c r="FN611" s="13"/>
      <c r="FO611" s="13"/>
      <c r="FP611" s="13"/>
      <c r="FQ611" s="13"/>
      <c r="FR611" s="13"/>
      <c r="FS611" s="13"/>
      <c r="FT611" s="13"/>
      <c r="FU611" s="13"/>
      <c r="FV611" s="13"/>
      <c r="FW611" s="13"/>
      <c r="FX611" s="13"/>
      <c r="FY611" s="13"/>
      <c r="FZ611" s="13"/>
      <c r="GA611" s="13"/>
    </row>
    <row r="612" spans="1:183" s="52" customFormat="1" ht="13.2" x14ac:dyDescent="0.25">
      <c r="A612" s="2"/>
      <c r="B612" s="2"/>
      <c r="C612" s="9">
        <v>4</v>
      </c>
      <c r="D612" s="9">
        <v>10</v>
      </c>
      <c r="E612" s="9">
        <v>24</v>
      </c>
      <c r="F612" s="9">
        <v>41</v>
      </c>
      <c r="G612" s="9">
        <v>87</v>
      </c>
      <c r="H612" s="9">
        <v>88</v>
      </c>
      <c r="I612" s="43"/>
      <c r="J612" s="9">
        <v>88</v>
      </c>
      <c r="K612" s="43"/>
      <c r="L612" s="39">
        <v>45276</v>
      </c>
      <c r="M612" s="43"/>
      <c r="N612"/>
      <c r="O612"/>
      <c r="P612"/>
      <c r="Q612"/>
      <c r="R612"/>
      <c r="S612"/>
      <c r="T612"/>
      <c r="U612"/>
      <c r="V612"/>
      <c r="X612" s="43"/>
      <c r="Y612"/>
      <c r="Z612"/>
      <c r="AA612"/>
      <c r="AB612"/>
      <c r="AC612"/>
      <c r="AD612"/>
      <c r="AE612"/>
      <c r="AF612"/>
      <c r="AG612"/>
      <c r="AI612" s="148"/>
      <c r="AJ612" s="1"/>
      <c r="AK612" s="1"/>
      <c r="AL612" s="54"/>
      <c r="AM612" s="1"/>
      <c r="AN612" s="43"/>
      <c r="AO612" s="1"/>
      <c r="AP612" s="1"/>
      <c r="AQ612" s="19"/>
      <c r="AR612" s="54"/>
      <c r="AS612" s="43"/>
      <c r="AT612" s="1"/>
      <c r="AU612" s="1"/>
      <c r="AV612" s="1"/>
      <c r="AW612" s="54"/>
      <c r="AX612" s="57"/>
      <c r="AY612" s="54"/>
      <c r="AZ612" s="54"/>
      <c r="BA612" s="54"/>
      <c r="BB612" s="54"/>
      <c r="BC612" s="57"/>
      <c r="BD612" s="1"/>
      <c r="BE612" s="1"/>
      <c r="BF612" s="1"/>
      <c r="BG612" s="54"/>
      <c r="BH612" s="43"/>
      <c r="BI612"/>
      <c r="BJ612" s="13"/>
      <c r="BK612" s="1"/>
      <c r="BL612"/>
      <c r="BM612"/>
      <c r="BN612"/>
      <c r="DY612" s="43"/>
      <c r="DZ612"/>
      <c r="EA612" s="19"/>
      <c r="EB612" s="19"/>
      <c r="EC612" s="9"/>
      <c r="ED612" s="9"/>
      <c r="EE612" s="9"/>
      <c r="EF612" s="9"/>
      <c r="EG612" s="9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  <c r="FI612" s="13"/>
      <c r="FJ612" s="13"/>
      <c r="FK612" s="13"/>
      <c r="FL612" s="13"/>
      <c r="FM612" s="13"/>
      <c r="FN612" s="13"/>
      <c r="FO612" s="13"/>
      <c r="FP612" s="13"/>
      <c r="FQ612" s="13"/>
      <c r="FR612" s="13"/>
      <c r="FS612" s="13"/>
      <c r="FT612" s="13"/>
      <c r="FU612" s="13"/>
      <c r="FV612" s="13"/>
      <c r="FW612" s="13"/>
      <c r="FX612" s="13"/>
      <c r="FY612" s="13"/>
      <c r="FZ612" s="13"/>
      <c r="GA612" s="13"/>
    </row>
    <row r="613" spans="1:183" s="52" customFormat="1" ht="13.2" x14ac:dyDescent="0.25">
      <c r="A613" s="2"/>
      <c r="B613" s="2"/>
      <c r="C613" s="9">
        <v>1</v>
      </c>
      <c r="D613" s="9">
        <v>13</v>
      </c>
      <c r="E613" s="9">
        <v>20</v>
      </c>
      <c r="F613" s="9">
        <v>78</v>
      </c>
      <c r="G613" s="9">
        <v>86</v>
      </c>
      <c r="H613" s="9">
        <v>87</v>
      </c>
      <c r="I613" s="43"/>
      <c r="J613" s="9">
        <v>87</v>
      </c>
      <c r="K613" s="43"/>
      <c r="L613" s="39">
        <v>45273</v>
      </c>
      <c r="M613" s="43"/>
      <c r="N613"/>
      <c r="O613"/>
      <c r="P613"/>
      <c r="Q613"/>
      <c r="R613"/>
      <c r="S613"/>
      <c r="T613"/>
      <c r="U613"/>
      <c r="V613"/>
      <c r="X613" s="43"/>
      <c r="Y613"/>
      <c r="Z613"/>
      <c r="AA613"/>
      <c r="AB613"/>
      <c r="AC613"/>
      <c r="AD613"/>
      <c r="AE613"/>
      <c r="AF613"/>
      <c r="AG613"/>
      <c r="AI613" s="148"/>
      <c r="AJ613" s="1"/>
      <c r="AK613" s="1"/>
      <c r="AL613" s="54"/>
      <c r="AM613" s="1"/>
      <c r="AN613" s="43"/>
      <c r="AO613" s="1"/>
      <c r="AP613" s="1"/>
      <c r="AQ613" s="19"/>
      <c r="AR613" s="54"/>
      <c r="AS613" s="43"/>
      <c r="AT613" s="1"/>
      <c r="AU613" s="1"/>
      <c r="AV613" s="1"/>
      <c r="AW613" s="54"/>
      <c r="AX613" s="57"/>
      <c r="AY613" s="54"/>
      <c r="AZ613" s="54"/>
      <c r="BA613" s="54"/>
      <c r="BB613" s="54"/>
      <c r="BC613" s="57"/>
      <c r="BD613" s="1"/>
      <c r="BE613" s="1"/>
      <c r="BF613" s="1"/>
      <c r="BG613" s="54"/>
      <c r="BH613" s="43"/>
      <c r="BI613"/>
      <c r="BJ613" s="13"/>
      <c r="BK613" s="1"/>
      <c r="BL613"/>
      <c r="BM613"/>
      <c r="BN613"/>
      <c r="DY613" s="43"/>
      <c r="DZ613"/>
      <c r="EA613" s="19"/>
      <c r="EB613" s="19"/>
      <c r="EC613" s="9"/>
      <c r="ED613" s="9"/>
      <c r="EE613" s="9"/>
      <c r="EF613" s="9"/>
      <c r="EG613" s="9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  <c r="FQ613" s="13"/>
      <c r="FR613" s="13"/>
      <c r="FS613" s="13"/>
      <c r="FT613" s="13"/>
      <c r="FU613" s="13"/>
      <c r="FV613" s="13"/>
      <c r="FW613" s="13"/>
      <c r="FX613" s="13"/>
      <c r="FY613" s="13"/>
      <c r="FZ613" s="13"/>
      <c r="GA613" s="13"/>
    </row>
    <row r="614" spans="1:183" s="52" customFormat="1" ht="13.2" x14ac:dyDescent="0.25">
      <c r="A614" s="2"/>
      <c r="B614" s="2"/>
      <c r="C614" s="9">
        <v>27</v>
      </c>
      <c r="D614" s="9">
        <v>36</v>
      </c>
      <c r="E614" s="9">
        <v>41</v>
      </c>
      <c r="F614" s="9">
        <v>47</v>
      </c>
      <c r="G614" s="9">
        <v>59</v>
      </c>
      <c r="H614" s="9">
        <v>67</v>
      </c>
      <c r="I614" s="43"/>
      <c r="J614" s="9">
        <v>67</v>
      </c>
      <c r="K614" s="43"/>
      <c r="L614" s="39">
        <v>45271</v>
      </c>
      <c r="M614" s="43"/>
      <c r="N614"/>
      <c r="O614"/>
      <c r="P614"/>
      <c r="Q614"/>
      <c r="R614"/>
      <c r="S614"/>
      <c r="T614"/>
      <c r="U614"/>
      <c r="V614"/>
      <c r="X614" s="43"/>
      <c r="Y614"/>
      <c r="Z614"/>
      <c r="AA614"/>
      <c r="AB614"/>
      <c r="AC614"/>
      <c r="AD614"/>
      <c r="AE614"/>
      <c r="AF614"/>
      <c r="AG614"/>
      <c r="AI614" s="148"/>
      <c r="AJ614" s="1"/>
      <c r="AK614" s="1"/>
      <c r="AL614" s="54"/>
      <c r="AM614" s="1"/>
      <c r="AN614" s="43"/>
      <c r="AO614" s="1"/>
      <c r="AP614" s="1"/>
      <c r="AQ614" s="19"/>
      <c r="AR614" s="54"/>
      <c r="AS614" s="43"/>
      <c r="AT614" s="1"/>
      <c r="AU614" s="1"/>
      <c r="AV614" s="1"/>
      <c r="AW614" s="54"/>
      <c r="AX614" s="57"/>
      <c r="AY614" s="54"/>
      <c r="AZ614" s="54"/>
      <c r="BA614" s="54"/>
      <c r="BB614" s="54"/>
      <c r="BC614" s="57"/>
      <c r="BD614" s="1"/>
      <c r="BE614" s="1"/>
      <c r="BF614" s="1"/>
      <c r="BG614" s="54"/>
      <c r="BH614" s="43"/>
      <c r="BI614"/>
      <c r="BJ614" s="13"/>
      <c r="BK614" s="1"/>
      <c r="BL614"/>
      <c r="BM614"/>
      <c r="BN614"/>
      <c r="DY614" s="43"/>
      <c r="DZ614"/>
      <c r="EA614" s="19"/>
      <c r="EB614" s="19"/>
      <c r="EC614" s="9"/>
      <c r="ED614" s="9"/>
      <c r="EE614" s="9"/>
      <c r="EF614" s="9"/>
      <c r="EG614" s="9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3"/>
      <c r="FJ614" s="13"/>
      <c r="FK614" s="13"/>
      <c r="FL614" s="13"/>
      <c r="FM614" s="13"/>
      <c r="FN614" s="13"/>
      <c r="FO614" s="13"/>
      <c r="FP614" s="13"/>
      <c r="FQ614" s="13"/>
      <c r="FR614" s="13"/>
      <c r="FS614" s="13"/>
      <c r="FT614" s="13"/>
      <c r="FU614" s="13"/>
      <c r="FV614" s="13"/>
      <c r="FW614" s="13"/>
      <c r="FX614" s="13"/>
      <c r="FY614" s="13"/>
      <c r="FZ614" s="13"/>
      <c r="GA614" s="13"/>
    </row>
    <row r="615" spans="1:183" s="52" customFormat="1" ht="13.2" x14ac:dyDescent="0.25">
      <c r="A615" s="2"/>
      <c r="B615" s="2"/>
      <c r="C615" s="9">
        <v>9</v>
      </c>
      <c r="D615" s="9">
        <v>22</v>
      </c>
      <c r="E615" s="9">
        <v>29</v>
      </c>
      <c r="F615" s="9">
        <v>53</v>
      </c>
      <c r="G615" s="9">
        <v>72</v>
      </c>
      <c r="H615" s="9">
        <v>87</v>
      </c>
      <c r="I615" s="43"/>
      <c r="J615" s="9">
        <v>87</v>
      </c>
      <c r="K615" s="43"/>
      <c r="L615" s="39">
        <v>45269</v>
      </c>
      <c r="M615" s="43"/>
      <c r="N615"/>
      <c r="O615"/>
      <c r="P615"/>
      <c r="Q615"/>
      <c r="R615"/>
      <c r="S615"/>
      <c r="T615"/>
      <c r="U615"/>
      <c r="V615"/>
      <c r="X615" s="43"/>
      <c r="Y615"/>
      <c r="Z615"/>
      <c r="AA615"/>
      <c r="AB615"/>
      <c r="AC615"/>
      <c r="AD615"/>
      <c r="AE615"/>
      <c r="AF615"/>
      <c r="AG615"/>
      <c r="AI615" s="148"/>
      <c r="AJ615" s="1"/>
      <c r="AK615" s="1"/>
      <c r="AL615" s="54"/>
      <c r="AM615" s="1"/>
      <c r="AN615" s="43"/>
      <c r="AO615" s="1"/>
      <c r="AP615" s="1"/>
      <c r="AQ615" s="19"/>
      <c r="AR615" s="54"/>
      <c r="AS615" s="43"/>
      <c r="AT615" s="1"/>
      <c r="AU615" s="1"/>
      <c r="AV615" s="1"/>
      <c r="AW615" s="54"/>
      <c r="AX615" s="57"/>
      <c r="AY615" s="54"/>
      <c r="AZ615" s="54"/>
      <c r="BA615" s="54"/>
      <c r="BB615" s="54"/>
      <c r="BC615" s="57"/>
      <c r="BD615" s="1"/>
      <c r="BE615" s="1"/>
      <c r="BF615" s="1"/>
      <c r="BG615" s="54"/>
      <c r="BH615" s="43"/>
      <c r="BI615"/>
      <c r="BJ615" s="13"/>
      <c r="BK615" s="1"/>
      <c r="BL615"/>
      <c r="BM615"/>
      <c r="BN615"/>
      <c r="DY615" s="43"/>
      <c r="DZ615"/>
      <c r="EA615" s="19"/>
      <c r="EB615" s="19"/>
      <c r="EC615" s="9"/>
      <c r="ED615" s="9"/>
      <c r="EE615" s="9"/>
      <c r="EF615" s="9"/>
      <c r="EG615" s="9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3"/>
      <c r="FD615" s="13"/>
      <c r="FE615" s="13"/>
      <c r="FF615" s="13"/>
      <c r="FG615" s="13"/>
      <c r="FH615" s="13"/>
      <c r="FI615" s="13"/>
      <c r="FJ615" s="13"/>
      <c r="FK615" s="13"/>
      <c r="FL615" s="13"/>
      <c r="FM615" s="13"/>
      <c r="FN615" s="13"/>
      <c r="FO615" s="13"/>
      <c r="FP615" s="13"/>
      <c r="FQ615" s="13"/>
      <c r="FR615" s="13"/>
      <c r="FS615" s="13"/>
      <c r="FT615" s="13"/>
      <c r="FU615" s="13"/>
      <c r="FV615" s="13"/>
      <c r="FW615" s="13"/>
      <c r="FX615" s="13"/>
      <c r="FY615" s="13"/>
      <c r="FZ615" s="13"/>
      <c r="GA615" s="13"/>
    </row>
    <row r="616" spans="1:183" s="52" customFormat="1" ht="13.2" x14ac:dyDescent="0.25">
      <c r="A616" s="2"/>
      <c r="B616" s="2"/>
      <c r="C616" s="9">
        <v>14</v>
      </c>
      <c r="D616" s="9">
        <v>16</v>
      </c>
      <c r="E616" s="9">
        <v>44</v>
      </c>
      <c r="F616" s="9">
        <v>59</v>
      </c>
      <c r="G616" s="9">
        <v>70</v>
      </c>
      <c r="H616" s="9">
        <v>89</v>
      </c>
      <c r="I616" s="43"/>
      <c r="J616" s="9">
        <v>89</v>
      </c>
      <c r="K616" s="43"/>
      <c r="L616" s="39">
        <v>45266</v>
      </c>
      <c r="M616" s="43"/>
      <c r="N616"/>
      <c r="O616"/>
      <c r="P616"/>
      <c r="Q616"/>
      <c r="R616"/>
      <c r="S616"/>
      <c r="T616"/>
      <c r="U616"/>
      <c r="V616"/>
      <c r="X616" s="43"/>
      <c r="Y616"/>
      <c r="Z616"/>
      <c r="AA616"/>
      <c r="AB616"/>
      <c r="AC616"/>
      <c r="AD616"/>
      <c r="AE616"/>
      <c r="AF616"/>
      <c r="AG616"/>
      <c r="AI616" s="148"/>
      <c r="AJ616" s="1"/>
      <c r="AK616" s="1"/>
      <c r="AL616" s="54"/>
      <c r="AM616" s="1"/>
      <c r="AN616" s="43"/>
      <c r="AO616" s="1"/>
      <c r="AP616" s="1"/>
      <c r="AQ616" s="19"/>
      <c r="AR616" s="54"/>
      <c r="AS616" s="43"/>
      <c r="AT616" s="1"/>
      <c r="AU616" s="1"/>
      <c r="AV616" s="1"/>
      <c r="AW616" s="54"/>
      <c r="AX616" s="57"/>
      <c r="AY616" s="54"/>
      <c r="AZ616" s="54"/>
      <c r="BA616" s="54"/>
      <c r="BB616" s="54"/>
      <c r="BC616" s="57"/>
      <c r="BD616" s="1"/>
      <c r="BE616" s="1"/>
      <c r="BF616" s="1"/>
      <c r="BG616" s="54"/>
      <c r="BH616" s="43"/>
      <c r="BI616"/>
      <c r="BJ616" s="13"/>
      <c r="BK616" s="1"/>
      <c r="BL616"/>
      <c r="BM616"/>
      <c r="BN616"/>
      <c r="DY616" s="43"/>
      <c r="DZ616"/>
      <c r="EA616" s="19"/>
      <c r="EB616" s="19"/>
      <c r="EC616" s="9"/>
      <c r="ED616" s="9"/>
      <c r="EE616" s="9"/>
      <c r="EF616" s="9"/>
      <c r="EG616" s="9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  <c r="FT616" s="13"/>
      <c r="FU616" s="13"/>
      <c r="FV616" s="13"/>
      <c r="FW616" s="13"/>
      <c r="FX616" s="13"/>
      <c r="FY616" s="13"/>
      <c r="FZ616" s="13"/>
      <c r="GA616" s="13"/>
    </row>
    <row r="617" spans="1:183" s="52" customFormat="1" ht="13.2" x14ac:dyDescent="0.25">
      <c r="A617" s="2"/>
      <c r="B617" s="2"/>
      <c r="C617" s="9">
        <v>5</v>
      </c>
      <c r="D617" s="9">
        <v>29</v>
      </c>
      <c r="E617" s="9">
        <v>36</v>
      </c>
      <c r="F617" s="9">
        <v>39</v>
      </c>
      <c r="G617" s="9">
        <v>47</v>
      </c>
      <c r="H617" s="9">
        <v>51</v>
      </c>
      <c r="I617" s="43"/>
      <c r="J617" s="9">
        <v>51</v>
      </c>
      <c r="K617" s="43"/>
      <c r="L617" s="39">
        <v>45264</v>
      </c>
      <c r="M617" s="43"/>
      <c r="N617"/>
      <c r="O617"/>
      <c r="P617"/>
      <c r="Q617"/>
      <c r="R617"/>
      <c r="S617"/>
      <c r="T617"/>
      <c r="U617"/>
      <c r="V617"/>
      <c r="X617" s="43"/>
      <c r="Y617"/>
      <c r="Z617"/>
      <c r="AA617"/>
      <c r="AB617"/>
      <c r="AC617"/>
      <c r="AD617"/>
      <c r="AE617"/>
      <c r="AF617"/>
      <c r="AG617"/>
      <c r="AI617" s="148"/>
      <c r="AJ617" s="1"/>
      <c r="AK617" s="1"/>
      <c r="AL617" s="54"/>
      <c r="AM617" s="1"/>
      <c r="AN617" s="43"/>
      <c r="AO617" s="1"/>
      <c r="AP617" s="1"/>
      <c r="AQ617" s="19"/>
      <c r="AR617" s="54"/>
      <c r="AS617" s="43"/>
      <c r="AT617" s="1"/>
      <c r="AU617" s="1"/>
      <c r="AV617" s="1"/>
      <c r="AW617" s="54"/>
      <c r="AX617" s="57"/>
      <c r="AY617" s="54"/>
      <c r="AZ617" s="54"/>
      <c r="BA617" s="54"/>
      <c r="BB617" s="54"/>
      <c r="BC617" s="57"/>
      <c r="BD617" s="1"/>
      <c r="BE617" s="1"/>
      <c r="BF617" s="1"/>
      <c r="BG617" s="54"/>
      <c r="BH617" s="43"/>
      <c r="BI617"/>
      <c r="BJ617" s="13"/>
      <c r="BK617" s="1"/>
      <c r="BL617"/>
      <c r="BM617"/>
      <c r="BN617"/>
      <c r="DY617" s="43"/>
      <c r="DZ617"/>
      <c r="EA617" s="19"/>
      <c r="EB617" s="19"/>
      <c r="EC617" s="9"/>
      <c r="ED617" s="9"/>
      <c r="EE617" s="9"/>
      <c r="EF617" s="9"/>
      <c r="EG617" s="9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3"/>
      <c r="FJ617" s="13"/>
      <c r="FK617" s="13"/>
      <c r="FL617" s="13"/>
      <c r="FM617" s="13"/>
      <c r="FN617" s="13"/>
      <c r="FO617" s="13"/>
      <c r="FP617" s="13"/>
      <c r="FQ617" s="13"/>
      <c r="FR617" s="13"/>
      <c r="FS617" s="13"/>
      <c r="FT617" s="13"/>
      <c r="FU617" s="13"/>
      <c r="FV617" s="13"/>
      <c r="FW617" s="13"/>
      <c r="FX617" s="13"/>
      <c r="FY617" s="13"/>
      <c r="FZ617" s="13"/>
      <c r="GA617" s="13"/>
    </row>
    <row r="618" spans="1:183" s="52" customFormat="1" ht="13.2" x14ac:dyDescent="0.25">
      <c r="A618" s="2"/>
      <c r="B618" s="2"/>
      <c r="C618" s="9">
        <v>43</v>
      </c>
      <c r="D618" s="9">
        <v>48</v>
      </c>
      <c r="E618" s="9">
        <v>51</v>
      </c>
      <c r="F618" s="9">
        <v>69</v>
      </c>
      <c r="G618" s="9">
        <v>82</v>
      </c>
      <c r="H618" s="9">
        <v>86</v>
      </c>
      <c r="I618" s="43"/>
      <c r="J618" s="9">
        <v>86</v>
      </c>
      <c r="K618" s="43"/>
      <c r="L618" s="39">
        <v>45262</v>
      </c>
      <c r="M618" s="43"/>
      <c r="N618"/>
      <c r="O618"/>
      <c r="P618"/>
      <c r="Q618"/>
      <c r="R618"/>
      <c r="S618"/>
      <c r="T618"/>
      <c r="U618"/>
      <c r="V618"/>
      <c r="X618" s="43"/>
      <c r="Y618"/>
      <c r="Z618"/>
      <c r="AA618"/>
      <c r="AB618"/>
      <c r="AC618"/>
      <c r="AD618"/>
      <c r="AE618"/>
      <c r="AF618"/>
      <c r="AG618"/>
      <c r="AI618" s="148"/>
      <c r="AJ618" s="1"/>
      <c r="AK618" s="1"/>
      <c r="AL618" s="54"/>
      <c r="AM618" s="1"/>
      <c r="AN618" s="43"/>
      <c r="AO618" s="1"/>
      <c r="AP618" s="1"/>
      <c r="AQ618" s="19"/>
      <c r="AR618" s="54"/>
      <c r="AS618" s="43"/>
      <c r="AT618" s="1"/>
      <c r="AU618" s="1"/>
      <c r="AV618" s="1"/>
      <c r="AW618" s="54"/>
      <c r="AX618" s="57"/>
      <c r="AY618" s="54"/>
      <c r="AZ618" s="54"/>
      <c r="BA618" s="54"/>
      <c r="BB618" s="54"/>
      <c r="BC618" s="57"/>
      <c r="BD618" s="1"/>
      <c r="BE618" s="1"/>
      <c r="BF618" s="1"/>
      <c r="BG618" s="54"/>
      <c r="BH618" s="43"/>
      <c r="BI618"/>
      <c r="BJ618" s="13"/>
      <c r="BK618" s="1"/>
      <c r="BL618"/>
      <c r="BM618"/>
      <c r="BN618"/>
      <c r="DY618" s="43"/>
      <c r="DZ618"/>
      <c r="EA618" s="19"/>
      <c r="EB618" s="19"/>
      <c r="EC618" s="9"/>
      <c r="ED618" s="9"/>
      <c r="EE618" s="9"/>
      <c r="EF618" s="9"/>
      <c r="EG618" s="9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3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  <c r="FT618" s="13"/>
      <c r="FU618" s="13"/>
      <c r="FV618" s="13"/>
      <c r="FW618" s="13"/>
      <c r="FX618" s="13"/>
      <c r="FY618" s="13"/>
      <c r="FZ618" s="13"/>
      <c r="GA618" s="13"/>
    </row>
    <row r="619" spans="1:183" s="52" customFormat="1" ht="13.2" x14ac:dyDescent="0.25">
      <c r="A619" s="2"/>
      <c r="B619" s="2"/>
      <c r="C619" s="9">
        <v>13</v>
      </c>
      <c r="D619" s="9">
        <v>42</v>
      </c>
      <c r="E619" s="9">
        <v>44</v>
      </c>
      <c r="F619" s="9">
        <v>52</v>
      </c>
      <c r="G619" s="9">
        <v>67</v>
      </c>
      <c r="H619" s="9">
        <v>75</v>
      </c>
      <c r="I619" s="43"/>
      <c r="J619" s="9">
        <v>75</v>
      </c>
      <c r="K619" s="43"/>
      <c r="L619" s="39">
        <v>45259</v>
      </c>
      <c r="M619" s="43"/>
      <c r="N619"/>
      <c r="O619"/>
      <c r="P619"/>
      <c r="Q619"/>
      <c r="R619"/>
      <c r="S619"/>
      <c r="T619"/>
      <c r="U619"/>
      <c r="V619"/>
      <c r="X619" s="43"/>
      <c r="Y619"/>
      <c r="Z619"/>
      <c r="AA619"/>
      <c r="AB619"/>
      <c r="AC619"/>
      <c r="AD619"/>
      <c r="AE619"/>
      <c r="AF619"/>
      <c r="AG619"/>
      <c r="AI619" s="148"/>
      <c r="AJ619" s="1"/>
      <c r="AK619" s="1"/>
      <c r="AL619" s="54"/>
      <c r="AM619" s="1"/>
      <c r="AN619" s="43"/>
      <c r="AO619" s="1"/>
      <c r="AP619" s="1"/>
      <c r="AQ619" s="19"/>
      <c r="AR619" s="54"/>
      <c r="AS619" s="43"/>
      <c r="AT619" s="1"/>
      <c r="AU619" s="1"/>
      <c r="AV619" s="1"/>
      <c r="AW619" s="54"/>
      <c r="AX619" s="57"/>
      <c r="AY619" s="54"/>
      <c r="AZ619" s="54"/>
      <c r="BA619" s="54"/>
      <c r="BB619" s="54"/>
      <c r="BC619" s="57"/>
      <c r="BD619" s="1"/>
      <c r="BE619" s="1"/>
      <c r="BF619" s="1"/>
      <c r="BG619" s="54"/>
      <c r="BH619" s="43"/>
      <c r="BI619"/>
      <c r="BJ619" s="13"/>
      <c r="BK619" s="1"/>
      <c r="BL619"/>
      <c r="BM619"/>
      <c r="BN619"/>
      <c r="DY619" s="43"/>
      <c r="DZ619"/>
      <c r="EA619" s="19"/>
      <c r="EB619" s="19"/>
      <c r="EC619" s="9"/>
      <c r="ED619" s="9"/>
      <c r="EE619" s="9"/>
      <c r="EF619" s="9"/>
      <c r="EG619" s="9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/>
      <c r="FQ619" s="13"/>
      <c r="FR619" s="13"/>
      <c r="FS619" s="13"/>
      <c r="FT619" s="13"/>
      <c r="FU619" s="13"/>
      <c r="FV619" s="13"/>
      <c r="FW619" s="13"/>
      <c r="FX619" s="13"/>
      <c r="FY619" s="13"/>
      <c r="FZ619" s="13"/>
      <c r="GA619" s="13"/>
    </row>
    <row r="620" spans="1:183" s="52" customFormat="1" ht="13.2" x14ac:dyDescent="0.25">
      <c r="A620" s="2"/>
      <c r="B620" s="2"/>
      <c r="C620" s="9">
        <v>32</v>
      </c>
      <c r="D620" s="9">
        <v>35</v>
      </c>
      <c r="E620" s="9">
        <v>36</v>
      </c>
      <c r="F620" s="9">
        <v>47</v>
      </c>
      <c r="G620" s="9">
        <v>62</v>
      </c>
      <c r="H620" s="9">
        <v>63</v>
      </c>
      <c r="I620" s="43"/>
      <c r="J620" s="9">
        <v>63</v>
      </c>
      <c r="K620" s="43"/>
      <c r="L620" s="39">
        <v>45257</v>
      </c>
      <c r="M620" s="43"/>
      <c r="N620"/>
      <c r="O620"/>
      <c r="P620"/>
      <c r="Q620"/>
      <c r="R620"/>
      <c r="S620"/>
      <c r="T620"/>
      <c r="U620"/>
      <c r="V620"/>
      <c r="X620" s="43"/>
      <c r="Y620"/>
      <c r="Z620"/>
      <c r="AA620"/>
      <c r="AB620"/>
      <c r="AC620"/>
      <c r="AD620"/>
      <c r="AE620"/>
      <c r="AF620"/>
      <c r="AG620"/>
      <c r="AI620" s="148"/>
      <c r="AJ620" s="1"/>
      <c r="AK620" s="1"/>
      <c r="AL620" s="54"/>
      <c r="AM620" s="1"/>
      <c r="AN620" s="43"/>
      <c r="AO620" s="1"/>
      <c r="AP620" s="1"/>
      <c r="AQ620" s="19"/>
      <c r="AR620" s="54"/>
      <c r="AS620" s="43"/>
      <c r="AT620" s="1"/>
      <c r="AU620" s="1"/>
      <c r="AV620" s="1"/>
      <c r="AW620" s="54"/>
      <c r="AX620" s="57"/>
      <c r="AY620" s="54"/>
      <c r="AZ620" s="54"/>
      <c r="BA620" s="54"/>
      <c r="BB620" s="54"/>
      <c r="BC620" s="57"/>
      <c r="BD620" s="1"/>
      <c r="BE620" s="1"/>
      <c r="BF620" s="1"/>
      <c r="BG620" s="54"/>
      <c r="BH620" s="43"/>
      <c r="BI620"/>
      <c r="BJ620" s="13"/>
      <c r="BK620" s="1"/>
      <c r="BL620"/>
      <c r="BM620"/>
      <c r="BN620"/>
      <c r="DY620" s="43"/>
      <c r="DZ620"/>
      <c r="EA620" s="19"/>
      <c r="EB620" s="19"/>
      <c r="EC620" s="9"/>
      <c r="ED620" s="9"/>
      <c r="EE620" s="9"/>
      <c r="EF620" s="9"/>
      <c r="EG620" s="9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  <c r="FI620" s="13"/>
      <c r="FJ620" s="13"/>
      <c r="FK620" s="13"/>
      <c r="FL620" s="13"/>
      <c r="FM620" s="13"/>
      <c r="FN620" s="13"/>
      <c r="FO620" s="13"/>
      <c r="FP620" s="13"/>
      <c r="FQ620" s="13"/>
      <c r="FR620" s="13"/>
      <c r="FS620" s="13"/>
      <c r="FT620" s="13"/>
      <c r="FU620" s="13"/>
      <c r="FV620" s="13"/>
      <c r="FW620" s="13"/>
      <c r="FX620" s="13"/>
      <c r="FY620" s="13"/>
      <c r="FZ620" s="13"/>
      <c r="GA620" s="13"/>
    </row>
    <row r="621" spans="1:183" s="52" customFormat="1" ht="13.2" x14ac:dyDescent="0.25">
      <c r="A621" s="2"/>
      <c r="B621" s="2"/>
      <c r="C621" s="9">
        <v>25</v>
      </c>
      <c r="D621" s="9">
        <v>28</v>
      </c>
      <c r="E621" s="9">
        <v>40</v>
      </c>
      <c r="F621" s="9">
        <v>50</v>
      </c>
      <c r="G621" s="9">
        <v>53</v>
      </c>
      <c r="H621" s="9">
        <v>90</v>
      </c>
      <c r="I621" s="43"/>
      <c r="J621" s="9">
        <v>90</v>
      </c>
      <c r="K621" s="43"/>
      <c r="L621" s="39">
        <v>45255</v>
      </c>
      <c r="M621" s="43"/>
      <c r="N621"/>
      <c r="O621"/>
      <c r="P621"/>
      <c r="Q621"/>
      <c r="R621"/>
      <c r="S621"/>
      <c r="T621"/>
      <c r="U621"/>
      <c r="V621"/>
      <c r="X621" s="43"/>
      <c r="Y621"/>
      <c r="Z621"/>
      <c r="AA621"/>
      <c r="AB621"/>
      <c r="AC621"/>
      <c r="AD621"/>
      <c r="AE621"/>
      <c r="AF621"/>
      <c r="AG621"/>
      <c r="AI621" s="148"/>
      <c r="AJ621" s="1"/>
      <c r="AK621" s="1"/>
      <c r="AL621" s="54"/>
      <c r="AM621" s="1"/>
      <c r="AN621" s="43"/>
      <c r="AO621" s="1"/>
      <c r="AP621" s="1"/>
      <c r="AQ621" s="19"/>
      <c r="AR621" s="54"/>
      <c r="AS621" s="43"/>
      <c r="AT621" s="1"/>
      <c r="AU621" s="1"/>
      <c r="AV621" s="1"/>
      <c r="AW621" s="54"/>
      <c r="AX621" s="57"/>
      <c r="AY621" s="54"/>
      <c r="AZ621" s="54"/>
      <c r="BA621" s="54"/>
      <c r="BB621" s="54"/>
      <c r="BC621" s="57"/>
      <c r="BD621" s="1"/>
      <c r="BE621" s="1"/>
      <c r="BF621" s="1"/>
      <c r="BG621" s="54"/>
      <c r="BH621" s="43"/>
      <c r="BI621"/>
      <c r="BJ621" s="13"/>
      <c r="BK621" s="1"/>
      <c r="BL621"/>
      <c r="BM621"/>
      <c r="BN621"/>
      <c r="DY621" s="43"/>
      <c r="DZ621"/>
      <c r="EA621" s="19"/>
      <c r="EB621" s="19"/>
      <c r="EC621" s="9"/>
      <c r="ED621" s="9"/>
      <c r="EE621" s="9"/>
      <c r="EF621" s="9"/>
      <c r="EG621" s="9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3"/>
      <c r="FJ621" s="13"/>
      <c r="FK621" s="13"/>
      <c r="FL621" s="13"/>
      <c r="FM621" s="13"/>
      <c r="FN621" s="13"/>
      <c r="FO621" s="13"/>
      <c r="FP621" s="13"/>
      <c r="FQ621" s="13"/>
      <c r="FR621" s="13"/>
      <c r="FS621" s="13"/>
      <c r="FT621" s="13"/>
      <c r="FU621" s="13"/>
      <c r="FV621" s="13"/>
      <c r="FW621" s="13"/>
      <c r="FX621" s="13"/>
      <c r="FY621" s="13"/>
      <c r="FZ621" s="13"/>
      <c r="GA621" s="13"/>
    </row>
    <row r="622" spans="1:183" s="52" customFormat="1" ht="13.2" x14ac:dyDescent="0.25">
      <c r="A622" s="2"/>
      <c r="B622" s="2"/>
      <c r="C622" s="9">
        <v>2</v>
      </c>
      <c r="D622" s="9">
        <v>5</v>
      </c>
      <c r="E622" s="9">
        <v>15</v>
      </c>
      <c r="F622" s="9">
        <v>23</v>
      </c>
      <c r="G622" s="9">
        <v>36</v>
      </c>
      <c r="H622" s="9">
        <v>49</v>
      </c>
      <c r="I622" s="43"/>
      <c r="J622" s="9">
        <v>49</v>
      </c>
      <c r="K622" s="43"/>
      <c r="L622" s="39">
        <v>45252</v>
      </c>
      <c r="M622" s="43"/>
      <c r="N622"/>
      <c r="O622"/>
      <c r="P622"/>
      <c r="Q622"/>
      <c r="R622"/>
      <c r="S622"/>
      <c r="T622"/>
      <c r="U622"/>
      <c r="V622"/>
      <c r="X622" s="43"/>
      <c r="Y622"/>
      <c r="Z622"/>
      <c r="AA622"/>
      <c r="AB622"/>
      <c r="AC622"/>
      <c r="AD622"/>
      <c r="AE622"/>
      <c r="AF622"/>
      <c r="AG622"/>
      <c r="AI622" s="148"/>
      <c r="AJ622" s="1"/>
      <c r="AK622" s="1"/>
      <c r="AL622" s="54"/>
      <c r="AM622" s="1"/>
      <c r="AN622" s="43"/>
      <c r="AO622" s="1"/>
      <c r="AP622" s="1"/>
      <c r="AQ622" s="19"/>
      <c r="AR622" s="54"/>
      <c r="AS622" s="43"/>
      <c r="AT622" s="1"/>
      <c r="AU622" s="1"/>
      <c r="AV622" s="1"/>
      <c r="AW622" s="54"/>
      <c r="AX622" s="57"/>
      <c r="AY622" s="54"/>
      <c r="AZ622" s="54"/>
      <c r="BA622" s="54"/>
      <c r="BB622" s="54"/>
      <c r="BC622" s="57"/>
      <c r="BD622" s="1"/>
      <c r="BE622" s="1"/>
      <c r="BF622" s="1"/>
      <c r="BG622" s="54"/>
      <c r="BH622" s="43"/>
      <c r="BI622"/>
      <c r="BJ622" s="13"/>
      <c r="BK622" s="1"/>
      <c r="BL622"/>
      <c r="BM622"/>
      <c r="BN622"/>
      <c r="DY622" s="43"/>
      <c r="DZ622"/>
      <c r="EA622" s="19"/>
      <c r="EB622" s="19"/>
      <c r="EC622" s="9"/>
      <c r="ED622" s="9"/>
      <c r="EE622" s="9"/>
      <c r="EF622" s="9"/>
      <c r="EG622" s="9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  <c r="FT622" s="13"/>
      <c r="FU622" s="13"/>
      <c r="FV622" s="13"/>
      <c r="FW622" s="13"/>
      <c r="FX622" s="13"/>
      <c r="FY622" s="13"/>
      <c r="FZ622" s="13"/>
      <c r="GA622" s="13"/>
    </row>
    <row r="623" spans="1:183" s="52" customFormat="1" ht="13.2" x14ac:dyDescent="0.25">
      <c r="A623" s="2"/>
      <c r="B623" s="2"/>
      <c r="C623" s="9">
        <v>24</v>
      </c>
      <c r="D623" s="9">
        <v>25</v>
      </c>
      <c r="E623" s="9">
        <v>31</v>
      </c>
      <c r="F623" s="9">
        <v>68</v>
      </c>
      <c r="G623" s="9">
        <v>74</v>
      </c>
      <c r="H623" s="9">
        <v>75</v>
      </c>
      <c r="I623" s="43"/>
      <c r="J623" s="9">
        <v>75</v>
      </c>
      <c r="K623" s="43"/>
      <c r="L623" s="39">
        <v>45250</v>
      </c>
      <c r="M623" s="43"/>
      <c r="N623"/>
      <c r="O623"/>
      <c r="P623"/>
      <c r="Q623"/>
      <c r="R623"/>
      <c r="S623"/>
      <c r="T623"/>
      <c r="U623"/>
      <c r="V623"/>
      <c r="X623" s="43"/>
      <c r="Y623"/>
      <c r="Z623"/>
      <c r="AA623"/>
      <c r="AB623"/>
      <c r="AC623"/>
      <c r="AD623"/>
      <c r="AE623"/>
      <c r="AF623"/>
      <c r="AG623"/>
      <c r="AI623" s="148"/>
      <c r="AJ623" s="1"/>
      <c r="AK623" s="1"/>
      <c r="AL623" s="54"/>
      <c r="AM623" s="1"/>
      <c r="AN623" s="43"/>
      <c r="AO623" s="1"/>
      <c r="AP623" s="1"/>
      <c r="AQ623" s="19"/>
      <c r="AR623" s="54"/>
      <c r="AS623" s="43"/>
      <c r="AT623" s="1"/>
      <c r="AU623" s="1"/>
      <c r="AV623" s="1"/>
      <c r="AW623" s="54"/>
      <c r="AX623" s="57"/>
      <c r="AY623" s="54"/>
      <c r="AZ623" s="54"/>
      <c r="BA623" s="54"/>
      <c r="BB623" s="54"/>
      <c r="BC623" s="57"/>
      <c r="BD623" s="1"/>
      <c r="BE623" s="1"/>
      <c r="BF623" s="1"/>
      <c r="BG623" s="54"/>
      <c r="BH623" s="43"/>
      <c r="BI623"/>
      <c r="BJ623" s="13"/>
      <c r="BK623" s="1"/>
      <c r="BL623"/>
      <c r="BM623"/>
      <c r="BN623"/>
      <c r="DY623" s="43"/>
      <c r="DZ623"/>
      <c r="EA623" s="19"/>
      <c r="EB623" s="19"/>
      <c r="EC623" s="9"/>
      <c r="ED623" s="9"/>
      <c r="EE623" s="9"/>
      <c r="EF623" s="9"/>
      <c r="EG623" s="9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/>
      <c r="FF623" s="13"/>
      <c r="FG623" s="13"/>
      <c r="FH623" s="13"/>
      <c r="FI623" s="13"/>
      <c r="FJ623" s="13"/>
      <c r="FK623" s="13"/>
      <c r="FL623" s="13"/>
      <c r="FM623" s="13"/>
      <c r="FN623" s="13"/>
      <c r="FO623" s="13"/>
      <c r="FP623" s="13"/>
      <c r="FQ623" s="13"/>
      <c r="FR623" s="13"/>
      <c r="FS623" s="13"/>
      <c r="FT623" s="13"/>
      <c r="FU623" s="13"/>
      <c r="FV623" s="13"/>
      <c r="FW623" s="13"/>
      <c r="FX623" s="13"/>
      <c r="FY623" s="13"/>
      <c r="FZ623" s="13"/>
      <c r="GA623" s="13"/>
    </row>
    <row r="624" spans="1:183" s="52" customFormat="1" ht="13.2" x14ac:dyDescent="0.25">
      <c r="A624" s="2"/>
      <c r="B624" s="2"/>
      <c r="C624" s="9">
        <v>3</v>
      </c>
      <c r="D624" s="9">
        <v>49</v>
      </c>
      <c r="E624" s="9">
        <v>55</v>
      </c>
      <c r="F624" s="9">
        <v>76</v>
      </c>
      <c r="G624" s="9">
        <v>81</v>
      </c>
      <c r="H624" s="9">
        <v>86</v>
      </c>
      <c r="I624" s="43"/>
      <c r="J624" s="9">
        <v>86</v>
      </c>
      <c r="K624" s="43"/>
      <c r="L624" s="39">
        <v>45248</v>
      </c>
      <c r="M624" s="43"/>
      <c r="N624"/>
      <c r="O624"/>
      <c r="P624"/>
      <c r="Q624"/>
      <c r="R624"/>
      <c r="S624"/>
      <c r="T624"/>
      <c r="U624"/>
      <c r="V624"/>
      <c r="X624" s="43"/>
      <c r="Y624"/>
      <c r="Z624"/>
      <c r="AA624"/>
      <c r="AB624"/>
      <c r="AC624"/>
      <c r="AD624"/>
      <c r="AE624"/>
      <c r="AF624"/>
      <c r="AG624"/>
      <c r="AI624" s="148"/>
      <c r="AJ624" s="1"/>
      <c r="AK624" s="1"/>
      <c r="AL624" s="54"/>
      <c r="AM624" s="1"/>
      <c r="AN624" s="43"/>
      <c r="AO624" s="1"/>
      <c r="AP624" s="1"/>
      <c r="AQ624" s="19"/>
      <c r="AR624" s="54"/>
      <c r="AS624" s="43"/>
      <c r="AT624" s="1"/>
      <c r="AU624" s="1"/>
      <c r="AV624" s="1"/>
      <c r="AW624" s="54"/>
      <c r="AX624" s="57"/>
      <c r="AY624" s="54"/>
      <c r="AZ624" s="54"/>
      <c r="BA624" s="54"/>
      <c r="BB624" s="54"/>
      <c r="BC624" s="57"/>
      <c r="BD624" s="1"/>
      <c r="BE624" s="1"/>
      <c r="BF624" s="1"/>
      <c r="BG624" s="54"/>
      <c r="BH624" s="43"/>
      <c r="BI624"/>
      <c r="BJ624" s="13"/>
      <c r="BK624" s="1"/>
      <c r="BL624"/>
      <c r="BM624"/>
      <c r="BN624"/>
      <c r="DY624" s="43"/>
      <c r="DZ624"/>
      <c r="EA624" s="19"/>
      <c r="EB624" s="19"/>
      <c r="EC624" s="9"/>
      <c r="ED624" s="9"/>
      <c r="EE624" s="9"/>
      <c r="EF624" s="9"/>
      <c r="EG624" s="9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  <c r="FU624" s="13"/>
      <c r="FV624" s="13"/>
      <c r="FW624" s="13"/>
      <c r="FX624" s="13"/>
      <c r="FY624" s="13"/>
      <c r="FZ624" s="13"/>
      <c r="GA624" s="13"/>
    </row>
    <row r="625" spans="1:183" s="52" customFormat="1" ht="13.2" x14ac:dyDescent="0.25">
      <c r="A625" s="2"/>
      <c r="B625" s="2"/>
      <c r="C625" s="9">
        <v>31</v>
      </c>
      <c r="D625" s="9">
        <v>33</v>
      </c>
      <c r="E625" s="9">
        <v>38</v>
      </c>
      <c r="F625" s="9">
        <v>56</v>
      </c>
      <c r="G625" s="9">
        <v>67</v>
      </c>
      <c r="H625" s="9">
        <v>78</v>
      </c>
      <c r="I625" s="43"/>
      <c r="J625" s="9">
        <v>78</v>
      </c>
      <c r="K625" s="43"/>
      <c r="L625" s="39">
        <v>45245</v>
      </c>
      <c r="M625" s="43"/>
      <c r="N625"/>
      <c r="O625"/>
      <c r="P625"/>
      <c r="Q625"/>
      <c r="R625"/>
      <c r="S625"/>
      <c r="T625"/>
      <c r="U625"/>
      <c r="V625"/>
      <c r="X625" s="43"/>
      <c r="Y625"/>
      <c r="Z625"/>
      <c r="AA625"/>
      <c r="AB625"/>
      <c r="AC625"/>
      <c r="AD625"/>
      <c r="AE625"/>
      <c r="AF625"/>
      <c r="AG625"/>
      <c r="AI625" s="148"/>
      <c r="AJ625" s="1"/>
      <c r="AK625" s="1"/>
      <c r="AL625" s="54"/>
      <c r="AM625" s="1"/>
      <c r="AN625" s="43"/>
      <c r="AO625" s="1"/>
      <c r="AP625" s="1"/>
      <c r="AQ625" s="19"/>
      <c r="AR625" s="54"/>
      <c r="AS625" s="43"/>
      <c r="AT625" s="1"/>
      <c r="AU625" s="1"/>
      <c r="AV625" s="1"/>
      <c r="AW625" s="54"/>
      <c r="AX625" s="57"/>
      <c r="AY625" s="54"/>
      <c r="AZ625" s="54"/>
      <c r="BA625" s="54"/>
      <c r="BB625" s="54"/>
      <c r="BC625" s="57"/>
      <c r="BD625" s="1"/>
      <c r="BE625" s="1"/>
      <c r="BF625" s="1"/>
      <c r="BG625" s="54"/>
      <c r="BH625" s="43"/>
      <c r="BI625"/>
      <c r="BJ625" s="13"/>
      <c r="BK625" s="1"/>
      <c r="BL625"/>
      <c r="BM625"/>
      <c r="BN625"/>
      <c r="DY625" s="43"/>
      <c r="DZ625"/>
      <c r="EA625" s="19"/>
      <c r="EB625" s="19"/>
      <c r="EC625" s="9"/>
      <c r="ED625" s="9"/>
      <c r="EE625" s="9"/>
      <c r="EF625" s="9"/>
      <c r="EG625" s="9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  <c r="FT625" s="13"/>
      <c r="FU625" s="13"/>
      <c r="FV625" s="13"/>
      <c r="FW625" s="13"/>
      <c r="FX625" s="13"/>
      <c r="FY625" s="13"/>
      <c r="FZ625" s="13"/>
      <c r="GA625" s="13"/>
    </row>
    <row r="626" spans="1:183" s="52" customFormat="1" ht="13.2" x14ac:dyDescent="0.25">
      <c r="A626" s="2"/>
      <c r="B626" s="2"/>
      <c r="C626" s="9">
        <v>43</v>
      </c>
      <c r="D626" s="9">
        <v>60</v>
      </c>
      <c r="E626" s="9">
        <v>68</v>
      </c>
      <c r="F626" s="9">
        <v>71</v>
      </c>
      <c r="G626" s="9">
        <v>74</v>
      </c>
      <c r="H626" s="9">
        <v>90</v>
      </c>
      <c r="I626" s="43"/>
      <c r="J626" s="9">
        <v>90</v>
      </c>
      <c r="K626" s="43"/>
      <c r="L626" s="39">
        <v>45243</v>
      </c>
      <c r="M626" s="43"/>
      <c r="N626"/>
      <c r="O626"/>
      <c r="P626"/>
      <c r="Q626"/>
      <c r="R626"/>
      <c r="S626"/>
      <c r="T626"/>
      <c r="U626"/>
      <c r="V626"/>
      <c r="X626" s="43"/>
      <c r="Y626"/>
      <c r="Z626"/>
      <c r="AA626"/>
      <c r="AB626"/>
      <c r="AC626"/>
      <c r="AD626"/>
      <c r="AE626"/>
      <c r="AF626"/>
      <c r="AG626"/>
      <c r="AI626" s="148"/>
      <c r="AJ626" s="1"/>
      <c r="AK626" s="1"/>
      <c r="AL626" s="54"/>
      <c r="AM626" s="1"/>
      <c r="AN626" s="43"/>
      <c r="AO626" s="1"/>
      <c r="AP626" s="1"/>
      <c r="AQ626" s="19"/>
      <c r="AR626" s="54"/>
      <c r="AS626" s="43"/>
      <c r="AT626" s="1"/>
      <c r="AU626" s="1"/>
      <c r="AV626" s="1"/>
      <c r="AW626" s="54"/>
      <c r="AX626" s="57"/>
      <c r="AY626" s="54"/>
      <c r="AZ626" s="54"/>
      <c r="BA626" s="54"/>
      <c r="BB626" s="54"/>
      <c r="BC626" s="57"/>
      <c r="BD626" s="1"/>
      <c r="BE626" s="1"/>
      <c r="BF626" s="1"/>
      <c r="BG626" s="54"/>
      <c r="BH626" s="43"/>
      <c r="BI626"/>
      <c r="BJ626" s="13"/>
      <c r="BK626" s="1"/>
      <c r="BL626"/>
      <c r="BM626"/>
      <c r="BN626"/>
      <c r="DY626" s="43"/>
      <c r="DZ626"/>
      <c r="EA626" s="19"/>
      <c r="EB626" s="19"/>
      <c r="EC626" s="9"/>
      <c r="ED626" s="9"/>
      <c r="EE626" s="9"/>
      <c r="EF626" s="9"/>
      <c r="EG626" s="9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  <c r="FI626" s="13"/>
      <c r="FJ626" s="13"/>
      <c r="FK626" s="13"/>
      <c r="FL626" s="13"/>
      <c r="FM626" s="13"/>
      <c r="FN626" s="13"/>
      <c r="FO626" s="13"/>
      <c r="FP626" s="13"/>
      <c r="FQ626" s="13"/>
      <c r="FR626" s="13"/>
      <c r="FS626" s="13"/>
      <c r="FT626" s="13"/>
      <c r="FU626" s="13"/>
      <c r="FV626" s="13"/>
      <c r="FW626" s="13"/>
      <c r="FX626" s="13"/>
      <c r="FY626" s="13"/>
      <c r="FZ626" s="13"/>
      <c r="GA626" s="13"/>
    </row>
    <row r="627" spans="1:183" s="52" customFormat="1" ht="13.2" x14ac:dyDescent="0.25">
      <c r="A627" s="2"/>
      <c r="B627" s="2"/>
      <c r="C627" s="9">
        <v>24</v>
      </c>
      <c r="D627" s="9">
        <v>30</v>
      </c>
      <c r="E627" s="9">
        <v>56</v>
      </c>
      <c r="F627" s="9">
        <v>60</v>
      </c>
      <c r="G627" s="9">
        <v>63</v>
      </c>
      <c r="H627" s="9">
        <v>85</v>
      </c>
      <c r="I627" s="43"/>
      <c r="J627" s="9">
        <v>85</v>
      </c>
      <c r="K627" s="43"/>
      <c r="L627" s="39">
        <v>45241</v>
      </c>
      <c r="M627" s="43"/>
      <c r="N627"/>
      <c r="O627"/>
      <c r="P627"/>
      <c r="Q627"/>
      <c r="R627"/>
      <c r="S627"/>
      <c r="T627"/>
      <c r="U627"/>
      <c r="V627"/>
      <c r="X627" s="43"/>
      <c r="Y627"/>
      <c r="Z627"/>
      <c r="AA627"/>
      <c r="AB627"/>
      <c r="AC627"/>
      <c r="AD627"/>
      <c r="AE627"/>
      <c r="AF627"/>
      <c r="AG627"/>
      <c r="AI627" s="148"/>
      <c r="AJ627" s="1"/>
      <c r="AK627" s="1"/>
      <c r="AL627" s="54"/>
      <c r="AM627" s="1"/>
      <c r="AN627" s="43"/>
      <c r="AO627" s="1"/>
      <c r="AP627" s="1"/>
      <c r="AQ627" s="19"/>
      <c r="AR627" s="54"/>
      <c r="AS627" s="43"/>
      <c r="AT627" s="1"/>
      <c r="AU627" s="1"/>
      <c r="AV627" s="1"/>
      <c r="AW627" s="54"/>
      <c r="AX627" s="57"/>
      <c r="AY627" s="54"/>
      <c r="AZ627" s="54"/>
      <c r="BA627" s="54"/>
      <c r="BB627" s="54"/>
      <c r="BC627" s="57"/>
      <c r="BD627" s="1"/>
      <c r="BE627" s="1"/>
      <c r="BF627" s="1"/>
      <c r="BG627" s="54"/>
      <c r="BH627" s="43"/>
      <c r="BI627"/>
      <c r="BJ627" s="13"/>
      <c r="BK627" s="1"/>
      <c r="BL627"/>
      <c r="BM627"/>
      <c r="BN627"/>
      <c r="DY627" s="43"/>
      <c r="DZ627"/>
      <c r="EA627" s="19"/>
      <c r="EB627" s="19"/>
      <c r="EC627" s="9"/>
      <c r="ED627" s="9"/>
      <c r="EE627" s="9"/>
      <c r="EF627" s="9"/>
      <c r="EG627" s="9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/>
      <c r="FJ627" s="13"/>
      <c r="FK627" s="13"/>
      <c r="FL627" s="13"/>
      <c r="FM627" s="13"/>
      <c r="FN627" s="13"/>
      <c r="FO627" s="13"/>
      <c r="FP627" s="13"/>
      <c r="FQ627" s="13"/>
      <c r="FR627" s="13"/>
      <c r="FS627" s="13"/>
      <c r="FT627" s="13"/>
      <c r="FU627" s="13"/>
      <c r="FV627" s="13"/>
      <c r="FW627" s="13"/>
      <c r="FX627" s="13"/>
      <c r="FY627" s="13"/>
      <c r="FZ627" s="13"/>
      <c r="GA627" s="13"/>
    </row>
    <row r="628" spans="1:183" s="52" customFormat="1" ht="13.2" x14ac:dyDescent="0.25">
      <c r="A628" s="2"/>
      <c r="B628" s="2"/>
      <c r="C628" s="9">
        <v>6</v>
      </c>
      <c r="D628" s="9">
        <v>19</v>
      </c>
      <c r="E628" s="9">
        <v>44</v>
      </c>
      <c r="F628" s="9">
        <v>45</v>
      </c>
      <c r="G628" s="9">
        <v>50</v>
      </c>
      <c r="H628" s="9">
        <v>81</v>
      </c>
      <c r="I628" s="43"/>
      <c r="J628" s="9">
        <v>81</v>
      </c>
      <c r="K628" s="43"/>
      <c r="L628" s="39">
        <v>45238</v>
      </c>
      <c r="M628" s="43"/>
      <c r="N628"/>
      <c r="O628"/>
      <c r="P628"/>
      <c r="Q628"/>
      <c r="R628"/>
      <c r="S628"/>
      <c r="T628"/>
      <c r="U628"/>
      <c r="V628"/>
      <c r="X628" s="43"/>
      <c r="Y628"/>
      <c r="Z628"/>
      <c r="AA628"/>
      <c r="AB628"/>
      <c r="AC628"/>
      <c r="AD628"/>
      <c r="AE628"/>
      <c r="AF628"/>
      <c r="AG628"/>
      <c r="AI628" s="148"/>
      <c r="AJ628" s="1"/>
      <c r="AK628" s="1"/>
      <c r="AL628" s="54"/>
      <c r="AM628" s="1"/>
      <c r="AN628" s="43"/>
      <c r="AO628" s="1"/>
      <c r="AP628" s="1"/>
      <c r="AQ628" s="19"/>
      <c r="AR628" s="54"/>
      <c r="AS628" s="43"/>
      <c r="AT628" s="1"/>
      <c r="AU628" s="1"/>
      <c r="AV628" s="1"/>
      <c r="AW628" s="54"/>
      <c r="AX628" s="57"/>
      <c r="AY628" s="54"/>
      <c r="AZ628" s="54"/>
      <c r="BA628" s="54"/>
      <c r="BB628" s="54"/>
      <c r="BC628" s="57"/>
      <c r="BD628" s="1"/>
      <c r="BE628" s="1"/>
      <c r="BF628" s="1"/>
      <c r="BG628" s="54"/>
      <c r="BH628" s="43"/>
      <c r="BI628"/>
      <c r="BJ628" s="13"/>
      <c r="BK628" s="1"/>
      <c r="BL628"/>
      <c r="BM628"/>
      <c r="BN628"/>
      <c r="DY628" s="43"/>
      <c r="DZ628"/>
      <c r="EA628" s="19"/>
      <c r="EB628" s="19"/>
      <c r="EC628" s="9"/>
      <c r="ED628" s="9"/>
      <c r="EE628" s="9"/>
      <c r="EF628" s="9"/>
      <c r="EG628" s="9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  <c r="FT628" s="13"/>
      <c r="FU628" s="13"/>
      <c r="FV628" s="13"/>
      <c r="FW628" s="13"/>
      <c r="FX628" s="13"/>
      <c r="FY628" s="13"/>
      <c r="FZ628" s="13"/>
      <c r="GA628" s="13"/>
    </row>
    <row r="629" spans="1:183" s="52" customFormat="1" ht="13.2" x14ac:dyDescent="0.25">
      <c r="A629" s="2"/>
      <c r="B629" s="2"/>
      <c r="C629" s="9">
        <v>22</v>
      </c>
      <c r="D629" s="9">
        <v>34</v>
      </c>
      <c r="E629" s="9">
        <v>36</v>
      </c>
      <c r="F629" s="9">
        <v>46</v>
      </c>
      <c r="G629" s="9">
        <v>50</v>
      </c>
      <c r="H629" s="9">
        <v>69</v>
      </c>
      <c r="I629" s="43"/>
      <c r="J629" s="9">
        <v>69</v>
      </c>
      <c r="K629" s="43"/>
      <c r="L629" s="39">
        <v>45236</v>
      </c>
      <c r="M629" s="43"/>
      <c r="N629"/>
      <c r="O629"/>
      <c r="P629"/>
      <c r="Q629"/>
      <c r="R629"/>
      <c r="S629"/>
      <c r="T629"/>
      <c r="U629"/>
      <c r="V629"/>
      <c r="X629" s="43"/>
      <c r="Y629"/>
      <c r="Z629"/>
      <c r="AA629"/>
      <c r="AB629"/>
      <c r="AC629"/>
      <c r="AD629"/>
      <c r="AE629"/>
      <c r="AF629"/>
      <c r="AG629"/>
      <c r="AI629" s="148"/>
      <c r="AJ629" s="1"/>
      <c r="AK629" s="1"/>
      <c r="AL629" s="54"/>
      <c r="AM629" s="1"/>
      <c r="AN629" s="43"/>
      <c r="AO629" s="1"/>
      <c r="AP629" s="1"/>
      <c r="AQ629" s="19"/>
      <c r="AR629" s="54"/>
      <c r="AS629" s="43"/>
      <c r="AT629" s="1"/>
      <c r="AU629" s="1"/>
      <c r="AV629" s="1"/>
      <c r="AW629" s="54"/>
      <c r="AX629" s="57"/>
      <c r="AY629" s="54"/>
      <c r="AZ629" s="54"/>
      <c r="BA629" s="54"/>
      <c r="BB629" s="54"/>
      <c r="BC629" s="57"/>
      <c r="BD629" s="1"/>
      <c r="BE629" s="1"/>
      <c r="BF629" s="1"/>
      <c r="BG629" s="54"/>
      <c r="BH629" s="43"/>
      <c r="BI629"/>
      <c r="BJ629" s="13"/>
      <c r="BK629" s="1"/>
      <c r="BL629"/>
      <c r="BM629"/>
      <c r="BN629"/>
      <c r="DY629" s="43"/>
      <c r="DZ629"/>
      <c r="EA629" s="19"/>
      <c r="EB629" s="19"/>
      <c r="EC629" s="9"/>
      <c r="ED629" s="9"/>
      <c r="EE629" s="9"/>
      <c r="EF629" s="9"/>
      <c r="EG629" s="9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  <c r="FI629" s="13"/>
      <c r="FJ629" s="13"/>
      <c r="FK629" s="13"/>
      <c r="FL629" s="13"/>
      <c r="FM629" s="13"/>
      <c r="FN629" s="13"/>
      <c r="FO629" s="13"/>
      <c r="FP629" s="13"/>
      <c r="FQ629" s="13"/>
      <c r="FR629" s="13"/>
      <c r="FS629" s="13"/>
      <c r="FT629" s="13"/>
      <c r="FU629" s="13"/>
      <c r="FV629" s="13"/>
      <c r="FW629" s="13"/>
      <c r="FX629" s="13"/>
      <c r="FY629" s="13"/>
      <c r="FZ629" s="13"/>
      <c r="GA629" s="13"/>
    </row>
    <row r="630" spans="1:183" s="52" customFormat="1" ht="13.2" x14ac:dyDescent="0.25">
      <c r="A630" s="2"/>
      <c r="B630" s="2"/>
      <c r="C630" s="9">
        <v>8</v>
      </c>
      <c r="D630" s="9">
        <v>42</v>
      </c>
      <c r="E630" s="9">
        <v>64</v>
      </c>
      <c r="F630" s="9">
        <v>76</v>
      </c>
      <c r="G630" s="9">
        <v>83</v>
      </c>
      <c r="H630" s="9">
        <v>86</v>
      </c>
      <c r="I630" s="43"/>
      <c r="J630" s="9">
        <v>86</v>
      </c>
      <c r="K630" s="43"/>
      <c r="L630" s="39">
        <v>45234</v>
      </c>
      <c r="M630" s="43"/>
      <c r="N630"/>
      <c r="O630"/>
      <c r="P630"/>
      <c r="Q630"/>
      <c r="R630"/>
      <c r="S630"/>
      <c r="T630"/>
      <c r="U630"/>
      <c r="V630"/>
      <c r="X630" s="43"/>
      <c r="Y630"/>
      <c r="Z630"/>
      <c r="AA630"/>
      <c r="AB630"/>
      <c r="AC630"/>
      <c r="AD630"/>
      <c r="AE630"/>
      <c r="AF630"/>
      <c r="AG630"/>
      <c r="AI630" s="148"/>
      <c r="AJ630" s="1"/>
      <c r="AK630" s="1"/>
      <c r="AL630" s="54"/>
      <c r="AM630" s="1"/>
      <c r="AN630" s="43"/>
      <c r="AO630" s="1"/>
      <c r="AP630" s="1"/>
      <c r="AQ630" s="19"/>
      <c r="AR630" s="54"/>
      <c r="AS630" s="43"/>
      <c r="AT630" s="1"/>
      <c r="AU630" s="1"/>
      <c r="AV630" s="1"/>
      <c r="AW630" s="54"/>
      <c r="AX630" s="57"/>
      <c r="AY630" s="54"/>
      <c r="AZ630" s="54"/>
      <c r="BA630" s="54"/>
      <c r="BB630" s="54"/>
      <c r="BC630" s="57"/>
      <c r="BD630" s="1"/>
      <c r="BE630" s="1"/>
      <c r="BF630" s="1"/>
      <c r="BG630" s="54"/>
      <c r="BH630" s="43"/>
      <c r="BI630"/>
      <c r="BJ630" s="13"/>
      <c r="BK630" s="1"/>
      <c r="BL630"/>
      <c r="BM630"/>
      <c r="BN630"/>
      <c r="DY630" s="43"/>
      <c r="DZ630"/>
      <c r="EA630" s="19"/>
      <c r="EB630" s="19"/>
      <c r="EC630" s="9"/>
      <c r="ED630" s="9"/>
      <c r="EE630" s="9"/>
      <c r="EF630" s="9"/>
      <c r="EG630" s="9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/>
      <c r="FU630" s="13"/>
      <c r="FV630" s="13"/>
      <c r="FW630" s="13"/>
      <c r="FX630" s="13"/>
      <c r="FY630" s="13"/>
      <c r="FZ630" s="13"/>
      <c r="GA630" s="13"/>
    </row>
    <row r="631" spans="1:183" s="52" customFormat="1" ht="13.2" x14ac:dyDescent="0.25">
      <c r="A631" s="2"/>
      <c r="B631" s="2"/>
      <c r="C631" s="9">
        <v>2</v>
      </c>
      <c r="D631" s="9">
        <v>31</v>
      </c>
      <c r="E631" s="9">
        <v>33</v>
      </c>
      <c r="F631" s="9">
        <v>65</v>
      </c>
      <c r="G631" s="9">
        <v>69</v>
      </c>
      <c r="H631" s="9">
        <v>87</v>
      </c>
      <c r="I631" s="43"/>
      <c r="J631" s="9">
        <v>87</v>
      </c>
      <c r="K631" s="43"/>
      <c r="L631" s="39">
        <v>45231</v>
      </c>
      <c r="M631" s="43"/>
      <c r="N631"/>
      <c r="O631"/>
      <c r="P631"/>
      <c r="Q631"/>
      <c r="R631"/>
      <c r="S631"/>
      <c r="T631"/>
      <c r="U631"/>
      <c r="V631"/>
      <c r="X631" s="43"/>
      <c r="Y631"/>
      <c r="Z631"/>
      <c r="AA631"/>
      <c r="AB631"/>
      <c r="AC631"/>
      <c r="AD631"/>
      <c r="AE631"/>
      <c r="AF631"/>
      <c r="AG631"/>
      <c r="AI631" s="148"/>
      <c r="AJ631" s="1"/>
      <c r="AK631" s="1"/>
      <c r="AL631" s="54"/>
      <c r="AM631" s="1"/>
      <c r="AN631" s="43"/>
      <c r="AO631" s="1"/>
      <c r="AP631" s="1"/>
      <c r="AQ631" s="19"/>
      <c r="AR631" s="54"/>
      <c r="AS631" s="43"/>
      <c r="AT631" s="1"/>
      <c r="AU631" s="1"/>
      <c r="AV631" s="1"/>
      <c r="AW631" s="54"/>
      <c r="AX631" s="57"/>
      <c r="AY631" s="54"/>
      <c r="AZ631" s="54"/>
      <c r="BA631" s="54"/>
      <c r="BB631" s="54"/>
      <c r="BC631" s="57"/>
      <c r="BD631" s="1"/>
      <c r="BE631" s="1"/>
      <c r="BF631" s="1"/>
      <c r="BG631" s="54"/>
      <c r="BH631" s="43"/>
      <c r="BI631"/>
      <c r="BJ631" s="13"/>
      <c r="BK631" s="1"/>
      <c r="BL631"/>
      <c r="BM631"/>
      <c r="BN631"/>
      <c r="DY631" s="43"/>
      <c r="DZ631"/>
      <c r="EA631" s="19"/>
      <c r="EB631" s="19"/>
      <c r="EC631" s="9"/>
      <c r="ED631" s="9"/>
      <c r="EE631" s="9"/>
      <c r="EF631" s="9"/>
      <c r="EG631" s="9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  <c r="FT631" s="13"/>
      <c r="FU631" s="13"/>
      <c r="FV631" s="13"/>
      <c r="FW631" s="13"/>
      <c r="FX631" s="13"/>
      <c r="FY631" s="13"/>
      <c r="FZ631" s="13"/>
      <c r="GA631" s="13"/>
    </row>
    <row r="632" spans="1:183" s="52" customFormat="1" ht="13.2" x14ac:dyDescent="0.25">
      <c r="A632" s="2"/>
      <c r="B632" s="2"/>
      <c r="C632" s="9">
        <v>6</v>
      </c>
      <c r="D632" s="9">
        <v>34</v>
      </c>
      <c r="E632" s="9">
        <v>46</v>
      </c>
      <c r="F632" s="9">
        <v>66</v>
      </c>
      <c r="G632" s="9">
        <v>71</v>
      </c>
      <c r="H632" s="9">
        <v>83</v>
      </c>
      <c r="I632" s="43"/>
      <c r="J632" s="9">
        <v>83</v>
      </c>
      <c r="K632" s="43"/>
      <c r="L632" s="39">
        <v>45229</v>
      </c>
      <c r="M632" s="43"/>
      <c r="N632"/>
      <c r="O632"/>
      <c r="P632"/>
      <c r="Q632"/>
      <c r="R632"/>
      <c r="S632"/>
      <c r="T632"/>
      <c r="U632"/>
      <c r="V632"/>
      <c r="X632" s="43"/>
      <c r="Y632"/>
      <c r="Z632"/>
      <c r="AA632"/>
      <c r="AB632"/>
      <c r="AC632"/>
      <c r="AD632"/>
      <c r="AE632"/>
      <c r="AF632"/>
      <c r="AG632"/>
      <c r="AI632" s="148"/>
      <c r="AJ632" s="1"/>
      <c r="AK632" s="1"/>
      <c r="AL632" s="54"/>
      <c r="AM632" s="1"/>
      <c r="AN632" s="43"/>
      <c r="AO632" s="1"/>
      <c r="AP632" s="1"/>
      <c r="AQ632" s="19"/>
      <c r="AR632" s="54"/>
      <c r="AS632" s="43"/>
      <c r="AT632" s="1"/>
      <c r="AU632" s="1"/>
      <c r="AV632" s="1"/>
      <c r="AW632" s="54"/>
      <c r="AX632" s="57"/>
      <c r="AY632" s="54"/>
      <c r="AZ632" s="54"/>
      <c r="BA632" s="54"/>
      <c r="BB632" s="54"/>
      <c r="BC632" s="57"/>
      <c r="BD632" s="1"/>
      <c r="BE632" s="1"/>
      <c r="BF632" s="1"/>
      <c r="BG632" s="54"/>
      <c r="BH632" s="43"/>
      <c r="BI632"/>
      <c r="BJ632" s="13"/>
      <c r="BK632" s="1"/>
      <c r="BL632"/>
      <c r="BM632"/>
      <c r="BN632"/>
      <c r="DY632" s="43"/>
      <c r="DZ632"/>
      <c r="EA632" s="19"/>
      <c r="EB632" s="19"/>
      <c r="EC632" s="9"/>
      <c r="ED632" s="9"/>
      <c r="EE632" s="9"/>
      <c r="EF632" s="9"/>
      <c r="EG632" s="9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/>
      <c r="FX632" s="13"/>
      <c r="FY632" s="13"/>
      <c r="FZ632" s="13"/>
      <c r="GA632" s="13"/>
    </row>
    <row r="633" spans="1:183" s="52" customFormat="1" ht="13.2" x14ac:dyDescent="0.25">
      <c r="A633" s="2"/>
      <c r="B633" s="2"/>
      <c r="C633" s="9">
        <v>1</v>
      </c>
      <c r="D633" s="9">
        <v>2</v>
      </c>
      <c r="E633" s="9">
        <v>11</v>
      </c>
      <c r="F633" s="9">
        <v>20</v>
      </c>
      <c r="G633" s="9">
        <v>21</v>
      </c>
      <c r="H633" s="9">
        <v>41</v>
      </c>
      <c r="I633" s="43"/>
      <c r="J633" s="9">
        <v>41</v>
      </c>
      <c r="K633" s="43"/>
      <c r="L633" s="39">
        <v>45227</v>
      </c>
      <c r="M633" s="43"/>
      <c r="N633"/>
      <c r="O633"/>
      <c r="P633"/>
      <c r="Q633"/>
      <c r="R633"/>
      <c r="S633"/>
      <c r="T633"/>
      <c r="U633"/>
      <c r="V633"/>
      <c r="X633" s="43"/>
      <c r="Y633"/>
      <c r="Z633"/>
      <c r="AA633"/>
      <c r="AB633"/>
      <c r="AC633"/>
      <c r="AD633"/>
      <c r="AE633"/>
      <c r="AF633"/>
      <c r="AG633"/>
      <c r="AI633" s="148"/>
      <c r="AJ633" s="1"/>
      <c r="AK633" s="1"/>
      <c r="AL633" s="54"/>
      <c r="AM633" s="1"/>
      <c r="AN633" s="43"/>
      <c r="AO633" s="1"/>
      <c r="AP633" s="1"/>
      <c r="AQ633" s="19"/>
      <c r="AR633" s="54"/>
      <c r="AS633" s="43"/>
      <c r="AT633" s="1"/>
      <c r="AU633" s="1"/>
      <c r="AV633" s="1"/>
      <c r="AW633" s="54"/>
      <c r="AX633" s="57"/>
      <c r="AY633" s="54"/>
      <c r="AZ633" s="54"/>
      <c r="BA633" s="54"/>
      <c r="BB633" s="54"/>
      <c r="BC633" s="57"/>
      <c r="BD633" s="1"/>
      <c r="BE633" s="1"/>
      <c r="BF633" s="1"/>
      <c r="BG633" s="54"/>
      <c r="BH633" s="43"/>
      <c r="BI633"/>
      <c r="BJ633" s="13"/>
      <c r="BK633" s="1"/>
      <c r="BL633"/>
      <c r="BM633"/>
      <c r="BN633"/>
      <c r="DY633" s="43"/>
      <c r="DZ633"/>
      <c r="EA633" s="19"/>
      <c r="EB633" s="19"/>
      <c r="EC633" s="9"/>
      <c r="ED633" s="9"/>
      <c r="EE633" s="9"/>
      <c r="EF633" s="9"/>
      <c r="EG633" s="9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3"/>
      <c r="FJ633" s="13"/>
      <c r="FK633" s="13"/>
      <c r="FL633" s="13"/>
      <c r="FM633" s="13"/>
      <c r="FN633" s="13"/>
      <c r="FO633" s="13"/>
      <c r="FP633" s="13"/>
      <c r="FQ633" s="13"/>
      <c r="FR633" s="13"/>
      <c r="FS633" s="13"/>
      <c r="FT633" s="13"/>
      <c r="FU633" s="13"/>
      <c r="FV633" s="13"/>
      <c r="FW633" s="13"/>
      <c r="FX633" s="13"/>
      <c r="FY633" s="13"/>
      <c r="FZ633" s="13"/>
      <c r="GA633" s="13"/>
    </row>
    <row r="634" spans="1:183" s="52" customFormat="1" ht="13.2" x14ac:dyDescent="0.25">
      <c r="A634" s="2"/>
      <c r="B634" s="2"/>
      <c r="C634" s="9">
        <v>11</v>
      </c>
      <c r="D634" s="9">
        <v>20</v>
      </c>
      <c r="E634" s="9">
        <v>42</v>
      </c>
      <c r="F634" s="9">
        <v>47</v>
      </c>
      <c r="G634" s="9">
        <v>54</v>
      </c>
      <c r="H634" s="9">
        <v>57</v>
      </c>
      <c r="I634" s="43"/>
      <c r="J634" s="9">
        <v>57</v>
      </c>
      <c r="K634" s="43"/>
      <c r="L634" s="39">
        <v>45224</v>
      </c>
      <c r="M634" s="43"/>
      <c r="N634"/>
      <c r="O634"/>
      <c r="P634"/>
      <c r="Q634"/>
      <c r="R634"/>
      <c r="S634"/>
      <c r="T634"/>
      <c r="U634"/>
      <c r="V634"/>
      <c r="X634" s="43"/>
      <c r="Y634"/>
      <c r="Z634"/>
      <c r="AA634"/>
      <c r="AB634"/>
      <c r="AC634"/>
      <c r="AD634"/>
      <c r="AE634"/>
      <c r="AF634"/>
      <c r="AG634"/>
      <c r="AI634" s="148"/>
      <c r="AJ634" s="1"/>
      <c r="AK634" s="1"/>
      <c r="AL634" s="54"/>
      <c r="AM634" s="1"/>
      <c r="AN634" s="43"/>
      <c r="AO634" s="1"/>
      <c r="AP634" s="1"/>
      <c r="AQ634" s="19"/>
      <c r="AR634" s="54"/>
      <c r="AS634" s="43"/>
      <c r="AT634" s="1"/>
      <c r="AU634" s="1"/>
      <c r="AV634" s="1"/>
      <c r="AW634" s="54"/>
      <c r="AX634" s="57"/>
      <c r="AY634" s="54"/>
      <c r="AZ634" s="54"/>
      <c r="BA634" s="54"/>
      <c r="BB634" s="54"/>
      <c r="BC634" s="57"/>
      <c r="BD634" s="1"/>
      <c r="BE634" s="1"/>
      <c r="BF634" s="1"/>
      <c r="BG634" s="54"/>
      <c r="BH634" s="43"/>
      <c r="BI634"/>
      <c r="BJ634" s="13"/>
      <c r="BK634" s="1"/>
      <c r="BL634"/>
      <c r="BM634"/>
      <c r="BN634"/>
      <c r="DY634" s="43"/>
      <c r="DZ634"/>
      <c r="EA634" s="19"/>
      <c r="EB634" s="19"/>
      <c r="EC634" s="9"/>
      <c r="ED634" s="9"/>
      <c r="EE634" s="9"/>
      <c r="EF634" s="9"/>
      <c r="EG634" s="9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  <c r="FT634" s="13"/>
      <c r="FU634" s="13"/>
      <c r="FV634" s="13"/>
      <c r="FW634" s="13"/>
      <c r="FX634" s="13"/>
      <c r="FY634" s="13"/>
      <c r="FZ634" s="13"/>
      <c r="GA634" s="13"/>
    </row>
    <row r="635" spans="1:183" s="52" customFormat="1" ht="13.2" x14ac:dyDescent="0.25">
      <c r="A635" s="2"/>
      <c r="B635" s="2"/>
      <c r="C635" s="9">
        <v>35</v>
      </c>
      <c r="D635" s="9">
        <v>37</v>
      </c>
      <c r="E635" s="9">
        <v>59</v>
      </c>
      <c r="F635" s="9">
        <v>60</v>
      </c>
      <c r="G635" s="9">
        <v>75</v>
      </c>
      <c r="H635" s="9">
        <v>85</v>
      </c>
      <c r="I635" s="43"/>
      <c r="J635" s="9">
        <v>85</v>
      </c>
      <c r="K635" s="43"/>
      <c r="L635" s="39">
        <v>45222</v>
      </c>
      <c r="M635" s="43"/>
      <c r="N635"/>
      <c r="O635"/>
      <c r="P635"/>
      <c r="Q635"/>
      <c r="R635"/>
      <c r="S635"/>
      <c r="T635"/>
      <c r="U635"/>
      <c r="V635"/>
      <c r="X635" s="43"/>
      <c r="Y635"/>
      <c r="Z635"/>
      <c r="AA635"/>
      <c r="AB635"/>
      <c r="AC635"/>
      <c r="AD635"/>
      <c r="AE635"/>
      <c r="AF635"/>
      <c r="AG635"/>
      <c r="AI635" s="148"/>
      <c r="AJ635" s="1"/>
      <c r="AK635" s="1"/>
      <c r="AL635" s="54"/>
      <c r="AM635" s="1"/>
      <c r="AN635" s="43"/>
      <c r="AO635" s="1"/>
      <c r="AP635" s="1"/>
      <c r="AQ635" s="19"/>
      <c r="AR635" s="54"/>
      <c r="AS635" s="43"/>
      <c r="AT635" s="1"/>
      <c r="AU635" s="1"/>
      <c r="AV635" s="1"/>
      <c r="AW635" s="54"/>
      <c r="AX635" s="57"/>
      <c r="AY635" s="54"/>
      <c r="AZ635" s="54"/>
      <c r="BA635" s="54"/>
      <c r="BB635" s="54"/>
      <c r="BC635" s="57"/>
      <c r="BD635" s="1"/>
      <c r="BE635" s="1"/>
      <c r="BF635" s="1"/>
      <c r="BG635" s="54"/>
      <c r="BH635" s="43"/>
      <c r="BI635"/>
      <c r="BJ635" s="13"/>
      <c r="BK635" s="1"/>
      <c r="BL635"/>
      <c r="BM635"/>
      <c r="BN635"/>
      <c r="DY635" s="43"/>
      <c r="DZ635"/>
      <c r="EA635" s="19"/>
      <c r="EB635" s="19"/>
      <c r="EC635" s="9"/>
      <c r="ED635" s="9"/>
      <c r="EE635" s="9"/>
      <c r="EF635" s="9"/>
      <c r="EG635" s="9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  <c r="FT635" s="13"/>
      <c r="FU635" s="13"/>
      <c r="FV635" s="13"/>
      <c r="FW635" s="13"/>
      <c r="FX635" s="13"/>
      <c r="FY635" s="13"/>
      <c r="FZ635" s="13"/>
      <c r="GA635" s="13"/>
    </row>
    <row r="636" spans="1:183" s="52" customFormat="1" ht="13.2" x14ac:dyDescent="0.25">
      <c r="A636" s="2"/>
      <c r="B636" s="2"/>
      <c r="C636" s="9">
        <v>13</v>
      </c>
      <c r="D636" s="9">
        <v>18</v>
      </c>
      <c r="E636" s="9">
        <v>32</v>
      </c>
      <c r="F636" s="9">
        <v>37</v>
      </c>
      <c r="G636" s="9">
        <v>58</v>
      </c>
      <c r="H636" s="9">
        <v>75</v>
      </c>
      <c r="I636" s="43"/>
      <c r="J636" s="9">
        <v>75</v>
      </c>
      <c r="K636" s="43"/>
      <c r="L636" s="39">
        <v>45220</v>
      </c>
      <c r="M636" s="43"/>
      <c r="N636"/>
      <c r="O636"/>
      <c r="P636"/>
      <c r="Q636"/>
      <c r="R636"/>
      <c r="S636"/>
      <c r="T636"/>
      <c r="U636"/>
      <c r="V636"/>
      <c r="X636" s="43"/>
      <c r="Y636"/>
      <c r="Z636"/>
      <c r="AA636"/>
      <c r="AB636"/>
      <c r="AC636"/>
      <c r="AD636"/>
      <c r="AE636"/>
      <c r="AF636"/>
      <c r="AG636"/>
      <c r="AI636" s="148"/>
      <c r="AJ636" s="1"/>
      <c r="AK636" s="1"/>
      <c r="AL636" s="54"/>
      <c r="AM636" s="1"/>
      <c r="AN636" s="43"/>
      <c r="AO636" s="1"/>
      <c r="AP636" s="1"/>
      <c r="AQ636" s="19"/>
      <c r="AR636" s="54"/>
      <c r="AS636" s="43"/>
      <c r="AT636" s="1"/>
      <c r="AU636" s="1"/>
      <c r="AV636" s="1"/>
      <c r="AW636" s="54"/>
      <c r="AX636" s="57"/>
      <c r="AY636" s="54"/>
      <c r="AZ636" s="54"/>
      <c r="BA636" s="54"/>
      <c r="BB636" s="54"/>
      <c r="BC636" s="57"/>
      <c r="BD636" s="1"/>
      <c r="BE636" s="1"/>
      <c r="BF636" s="1"/>
      <c r="BG636" s="54"/>
      <c r="BH636" s="43"/>
      <c r="BI636"/>
      <c r="BJ636" s="13"/>
      <c r="BK636" s="1"/>
      <c r="BL636"/>
      <c r="BM636"/>
      <c r="BN636"/>
      <c r="DY636" s="43"/>
      <c r="DZ636"/>
      <c r="EA636" s="19"/>
      <c r="EB636" s="19"/>
      <c r="EC636" s="9"/>
      <c r="ED636" s="9"/>
      <c r="EE636" s="9"/>
      <c r="EF636" s="9"/>
      <c r="EG636" s="9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3"/>
      <c r="FD636" s="13"/>
      <c r="FE636" s="13"/>
      <c r="FF636" s="13"/>
      <c r="FG636" s="13"/>
      <c r="FH636" s="13"/>
      <c r="FI636" s="13"/>
      <c r="FJ636" s="13"/>
      <c r="FK636" s="13"/>
      <c r="FL636" s="13"/>
      <c r="FM636" s="13"/>
      <c r="FN636" s="13"/>
      <c r="FO636" s="13"/>
      <c r="FP636" s="13"/>
      <c r="FQ636" s="13"/>
      <c r="FR636" s="13"/>
      <c r="FS636" s="13"/>
      <c r="FT636" s="13"/>
      <c r="FU636" s="13"/>
      <c r="FV636" s="13"/>
      <c r="FW636" s="13"/>
      <c r="FX636" s="13"/>
      <c r="FY636" s="13"/>
      <c r="FZ636" s="13"/>
      <c r="GA636" s="13"/>
    </row>
    <row r="637" spans="1:183" s="52" customFormat="1" ht="13.2" x14ac:dyDescent="0.25">
      <c r="A637" s="2"/>
      <c r="B637" s="2"/>
      <c r="C637" s="9">
        <v>49</v>
      </c>
      <c r="D637" s="9">
        <v>51</v>
      </c>
      <c r="E637" s="9">
        <v>60</v>
      </c>
      <c r="F637" s="9">
        <v>61</v>
      </c>
      <c r="G637" s="9">
        <v>66</v>
      </c>
      <c r="H637" s="9">
        <v>73</v>
      </c>
      <c r="I637" s="43"/>
      <c r="J637" s="9">
        <v>73</v>
      </c>
      <c r="K637" s="43"/>
      <c r="L637" s="39">
        <v>45217</v>
      </c>
      <c r="M637" s="43"/>
      <c r="N637"/>
      <c r="O637"/>
      <c r="P637"/>
      <c r="Q637"/>
      <c r="R637"/>
      <c r="S637"/>
      <c r="T637"/>
      <c r="U637"/>
      <c r="V637"/>
      <c r="X637" s="43"/>
      <c r="Y637"/>
      <c r="Z637"/>
      <c r="AA637"/>
      <c r="AB637"/>
      <c r="AC637"/>
      <c r="AD637"/>
      <c r="AE637"/>
      <c r="AF637"/>
      <c r="AG637"/>
      <c r="AI637" s="148"/>
      <c r="AJ637" s="1"/>
      <c r="AK637" s="1"/>
      <c r="AL637" s="54"/>
      <c r="AM637" s="1"/>
      <c r="AN637" s="43"/>
      <c r="AO637" s="1"/>
      <c r="AP637" s="1"/>
      <c r="AQ637" s="19"/>
      <c r="AR637" s="54"/>
      <c r="AS637" s="43"/>
      <c r="AT637" s="1"/>
      <c r="AU637" s="1"/>
      <c r="AV637" s="1"/>
      <c r="AW637" s="54"/>
      <c r="AX637" s="57"/>
      <c r="AY637" s="54"/>
      <c r="AZ637" s="54"/>
      <c r="BA637" s="54"/>
      <c r="BB637" s="54"/>
      <c r="BC637" s="57"/>
      <c r="BD637" s="1"/>
      <c r="BE637" s="1"/>
      <c r="BF637" s="1"/>
      <c r="BG637" s="54"/>
      <c r="BH637" s="43"/>
      <c r="BI637"/>
      <c r="BJ637" s="13"/>
      <c r="BK637" s="1"/>
      <c r="BL637"/>
      <c r="BM637"/>
      <c r="BN637"/>
      <c r="DY637" s="43"/>
      <c r="DZ637"/>
      <c r="EA637" s="19"/>
      <c r="EB637" s="19"/>
      <c r="EC637" s="9"/>
      <c r="ED637" s="9"/>
      <c r="EE637" s="9"/>
      <c r="EF637" s="9"/>
      <c r="EG637" s="9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  <c r="FY637" s="13"/>
      <c r="FZ637" s="13"/>
      <c r="GA637" s="13"/>
    </row>
    <row r="638" spans="1:183" s="52" customFormat="1" ht="13.2" x14ac:dyDescent="0.25">
      <c r="A638" s="2"/>
      <c r="B638" s="2"/>
      <c r="C638" s="9">
        <v>2</v>
      </c>
      <c r="D638" s="9">
        <v>12</v>
      </c>
      <c r="E638" s="9">
        <v>15</v>
      </c>
      <c r="F638" s="9">
        <v>31</v>
      </c>
      <c r="G638" s="9">
        <v>48</v>
      </c>
      <c r="H638" s="9">
        <v>58</v>
      </c>
      <c r="I638" s="43"/>
      <c r="J638" s="9">
        <v>58</v>
      </c>
      <c r="K638" s="43"/>
      <c r="L638" s="39">
        <v>45215</v>
      </c>
      <c r="M638" s="43"/>
      <c r="N638"/>
      <c r="O638"/>
      <c r="P638"/>
      <c r="Q638"/>
      <c r="R638"/>
      <c r="S638"/>
      <c r="T638"/>
      <c r="U638"/>
      <c r="V638"/>
      <c r="X638" s="43"/>
      <c r="Y638"/>
      <c r="Z638"/>
      <c r="AA638"/>
      <c r="AB638"/>
      <c r="AC638"/>
      <c r="AD638"/>
      <c r="AE638"/>
      <c r="AF638"/>
      <c r="AG638"/>
      <c r="AI638" s="148"/>
      <c r="AJ638" s="1"/>
      <c r="AK638" s="1"/>
      <c r="AL638" s="54"/>
      <c r="AM638" s="1"/>
      <c r="AN638" s="43"/>
      <c r="AO638" s="1"/>
      <c r="AP638" s="1"/>
      <c r="AQ638" s="19"/>
      <c r="AR638" s="54"/>
      <c r="AS638" s="43"/>
      <c r="AT638" s="1"/>
      <c r="AU638" s="1"/>
      <c r="AV638" s="1"/>
      <c r="AW638" s="54"/>
      <c r="AX638" s="57"/>
      <c r="AY638" s="54"/>
      <c r="AZ638" s="54"/>
      <c r="BA638" s="54"/>
      <c r="BB638" s="54"/>
      <c r="BC638" s="57"/>
      <c r="BD638" s="1"/>
      <c r="BE638" s="1"/>
      <c r="BF638" s="1"/>
      <c r="BG638" s="54"/>
      <c r="BH638" s="43"/>
      <c r="BI638"/>
      <c r="BJ638" s="13"/>
      <c r="BK638" s="1"/>
      <c r="BL638"/>
      <c r="BM638"/>
      <c r="BN638"/>
      <c r="DY638" s="43"/>
      <c r="DZ638"/>
      <c r="EA638" s="19"/>
      <c r="EB638" s="19"/>
      <c r="EC638" s="9"/>
      <c r="ED638" s="9"/>
      <c r="EE638" s="9"/>
      <c r="EF638" s="9"/>
      <c r="EG638" s="9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3"/>
      <c r="FJ638" s="13"/>
      <c r="FK638" s="13"/>
      <c r="FL638" s="13"/>
      <c r="FM638" s="13"/>
      <c r="FN638" s="13"/>
      <c r="FO638" s="13"/>
      <c r="FP638" s="13"/>
      <c r="FQ638" s="13"/>
      <c r="FR638" s="13"/>
      <c r="FS638" s="13"/>
      <c r="FT638" s="13"/>
      <c r="FU638" s="13"/>
      <c r="FV638" s="13"/>
      <c r="FW638" s="13"/>
      <c r="FX638" s="13"/>
      <c r="FY638" s="13"/>
      <c r="FZ638" s="13"/>
      <c r="GA638" s="13"/>
    </row>
    <row r="639" spans="1:183" s="52" customFormat="1" ht="13.2" x14ac:dyDescent="0.25">
      <c r="A639" s="2"/>
      <c r="B639" s="2"/>
      <c r="C639" s="9">
        <v>4</v>
      </c>
      <c r="D639" s="9">
        <v>59</v>
      </c>
      <c r="E639" s="9">
        <v>76</v>
      </c>
      <c r="F639" s="9">
        <v>83</v>
      </c>
      <c r="G639" s="9">
        <v>86</v>
      </c>
      <c r="H639" s="9">
        <v>90</v>
      </c>
      <c r="I639" s="43"/>
      <c r="J639" s="9">
        <v>90</v>
      </c>
      <c r="K639" s="43"/>
      <c r="L639" s="39">
        <v>45213</v>
      </c>
      <c r="M639" s="43"/>
      <c r="N639"/>
      <c r="O639"/>
      <c r="P639"/>
      <c r="Q639"/>
      <c r="R639"/>
      <c r="S639"/>
      <c r="T639"/>
      <c r="U639"/>
      <c r="V639"/>
      <c r="X639" s="43"/>
      <c r="Y639"/>
      <c r="Z639"/>
      <c r="AA639"/>
      <c r="AB639"/>
      <c r="AC639"/>
      <c r="AD639"/>
      <c r="AE639"/>
      <c r="AF639"/>
      <c r="AG639"/>
      <c r="AI639" s="148"/>
      <c r="AJ639" s="1"/>
      <c r="AK639" s="1"/>
      <c r="AL639" s="54"/>
      <c r="AM639" s="1"/>
      <c r="AN639" s="43"/>
      <c r="AO639" s="1"/>
      <c r="AP639" s="1"/>
      <c r="AQ639" s="19"/>
      <c r="AR639" s="54"/>
      <c r="AS639" s="43"/>
      <c r="AT639" s="1"/>
      <c r="AU639" s="1"/>
      <c r="AV639" s="1"/>
      <c r="AW639" s="54"/>
      <c r="AX639" s="57"/>
      <c r="AY639" s="54"/>
      <c r="AZ639" s="54"/>
      <c r="BA639" s="54"/>
      <c r="BB639" s="54"/>
      <c r="BC639" s="57"/>
      <c r="BD639" s="1"/>
      <c r="BE639" s="1"/>
      <c r="BF639" s="1"/>
      <c r="BG639" s="54"/>
      <c r="BH639" s="43"/>
      <c r="BI639"/>
      <c r="BJ639" s="13"/>
      <c r="BK639" s="1"/>
      <c r="BL639"/>
      <c r="BM639"/>
      <c r="BN639"/>
      <c r="DY639" s="43"/>
      <c r="DZ639"/>
      <c r="EA639" s="19"/>
      <c r="EB639" s="19"/>
      <c r="EC639" s="9"/>
      <c r="ED639" s="9"/>
      <c r="EE639" s="9"/>
      <c r="EF639" s="9"/>
      <c r="EG639" s="9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3"/>
      <c r="FJ639" s="13"/>
      <c r="FK639" s="13"/>
      <c r="FL639" s="13"/>
      <c r="FM639" s="13"/>
      <c r="FN639" s="13"/>
      <c r="FO639" s="13"/>
      <c r="FP639" s="13"/>
      <c r="FQ639" s="13"/>
      <c r="FR639" s="13"/>
      <c r="FS639" s="13"/>
      <c r="FT639" s="13"/>
      <c r="FU639" s="13"/>
      <c r="FV639" s="13"/>
      <c r="FW639" s="13"/>
      <c r="FX639" s="13"/>
      <c r="FY639" s="13"/>
      <c r="FZ639" s="13"/>
      <c r="GA639" s="13"/>
    </row>
    <row r="640" spans="1:183" s="52" customFormat="1" ht="13.2" x14ac:dyDescent="0.25">
      <c r="A640" s="2"/>
      <c r="B640" s="2"/>
      <c r="C640" s="9">
        <v>10</v>
      </c>
      <c r="D640" s="9">
        <v>14</v>
      </c>
      <c r="E640" s="9">
        <v>38</v>
      </c>
      <c r="F640" s="9">
        <v>43</v>
      </c>
      <c r="G640" s="9">
        <v>50</v>
      </c>
      <c r="H640" s="9">
        <v>81</v>
      </c>
      <c r="I640" s="43"/>
      <c r="J640" s="9">
        <v>81</v>
      </c>
      <c r="K640" s="43"/>
      <c r="L640" s="39">
        <v>45210</v>
      </c>
      <c r="M640" s="43"/>
      <c r="N640"/>
      <c r="O640"/>
      <c r="P640"/>
      <c r="Q640"/>
      <c r="R640"/>
      <c r="S640"/>
      <c r="T640"/>
      <c r="U640"/>
      <c r="V640"/>
      <c r="X640" s="43"/>
      <c r="Y640"/>
      <c r="Z640"/>
      <c r="AA640"/>
      <c r="AB640"/>
      <c r="AC640"/>
      <c r="AD640"/>
      <c r="AE640"/>
      <c r="AF640"/>
      <c r="AG640"/>
      <c r="AI640" s="148"/>
      <c r="AJ640" s="1"/>
      <c r="AK640" s="1"/>
      <c r="AL640" s="54"/>
      <c r="AM640" s="1"/>
      <c r="AN640" s="43"/>
      <c r="AO640" s="1"/>
      <c r="AP640" s="1"/>
      <c r="AQ640" s="19"/>
      <c r="AR640" s="54"/>
      <c r="AS640" s="43"/>
      <c r="AT640" s="1"/>
      <c r="AU640" s="1"/>
      <c r="AV640" s="1"/>
      <c r="AW640" s="54"/>
      <c r="AX640" s="57"/>
      <c r="AY640" s="54"/>
      <c r="AZ640" s="54"/>
      <c r="BA640" s="54"/>
      <c r="BB640" s="54"/>
      <c r="BC640" s="57"/>
      <c r="BD640" s="1"/>
      <c r="BE640" s="1"/>
      <c r="BF640" s="1"/>
      <c r="BG640" s="54"/>
      <c r="BH640" s="43"/>
      <c r="BI640"/>
      <c r="BJ640" s="13"/>
      <c r="BK640" s="1"/>
      <c r="BL640"/>
      <c r="BM640"/>
      <c r="BN640"/>
      <c r="DY640" s="43"/>
      <c r="DZ640"/>
      <c r="EA640" s="19"/>
      <c r="EB640" s="19"/>
      <c r="EC640" s="9"/>
      <c r="ED640" s="9"/>
      <c r="EE640" s="9"/>
      <c r="EF640" s="9"/>
      <c r="EG640" s="9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  <c r="FU640" s="13"/>
      <c r="FV640" s="13"/>
      <c r="FW640" s="13"/>
      <c r="FX640" s="13"/>
      <c r="FY640" s="13"/>
      <c r="FZ640" s="13"/>
      <c r="GA640" s="13"/>
    </row>
    <row r="641" spans="1:183" s="52" customFormat="1" ht="13.2" x14ac:dyDescent="0.25">
      <c r="A641" s="2"/>
      <c r="B641" s="2"/>
      <c r="C641" s="9">
        <v>19</v>
      </c>
      <c r="D641" s="9">
        <v>26</v>
      </c>
      <c r="E641" s="9">
        <v>28</v>
      </c>
      <c r="F641" s="9">
        <v>38</v>
      </c>
      <c r="G641" s="9">
        <v>59</v>
      </c>
      <c r="H641" s="9">
        <v>77</v>
      </c>
      <c r="I641" s="43"/>
      <c r="J641" s="9">
        <v>77</v>
      </c>
      <c r="K641" s="43"/>
      <c r="L641" s="39">
        <v>45208</v>
      </c>
      <c r="M641" s="43"/>
      <c r="N641"/>
      <c r="O641"/>
      <c r="P641"/>
      <c r="Q641"/>
      <c r="R641"/>
      <c r="S641"/>
      <c r="T641"/>
      <c r="U641"/>
      <c r="V641"/>
      <c r="X641" s="43"/>
      <c r="Y641"/>
      <c r="Z641"/>
      <c r="AA641"/>
      <c r="AB641"/>
      <c r="AC641"/>
      <c r="AD641"/>
      <c r="AE641"/>
      <c r="AF641"/>
      <c r="AG641"/>
      <c r="AI641" s="148"/>
      <c r="AJ641" s="1"/>
      <c r="AK641" s="1"/>
      <c r="AL641" s="54"/>
      <c r="AM641" s="1"/>
      <c r="AN641" s="43"/>
      <c r="AO641" s="1"/>
      <c r="AP641" s="1"/>
      <c r="AQ641" s="19"/>
      <c r="AR641" s="54"/>
      <c r="AS641" s="43"/>
      <c r="AT641" s="1"/>
      <c r="AU641" s="1"/>
      <c r="AV641" s="1"/>
      <c r="AW641" s="54"/>
      <c r="AX641" s="57"/>
      <c r="AY641" s="54"/>
      <c r="AZ641" s="54"/>
      <c r="BA641" s="54"/>
      <c r="BB641" s="54"/>
      <c r="BC641" s="57"/>
      <c r="BD641" s="1"/>
      <c r="BE641" s="1"/>
      <c r="BF641" s="1"/>
      <c r="BG641" s="54"/>
      <c r="BH641" s="43"/>
      <c r="BI641"/>
      <c r="BJ641" s="13"/>
      <c r="BK641" s="1"/>
      <c r="BL641"/>
      <c r="BM641"/>
      <c r="BN641"/>
      <c r="DY641" s="43"/>
      <c r="DZ641"/>
      <c r="EA641" s="19"/>
      <c r="EB641" s="19"/>
      <c r="EC641" s="9"/>
      <c r="ED641" s="9"/>
      <c r="EE641" s="9"/>
      <c r="EF641" s="9"/>
      <c r="EG641" s="9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3"/>
      <c r="FJ641" s="13"/>
      <c r="FK641" s="13"/>
      <c r="FL641" s="13"/>
      <c r="FM641" s="13"/>
      <c r="FN641" s="13"/>
      <c r="FO641" s="13"/>
      <c r="FP641" s="13"/>
      <c r="FQ641" s="13"/>
      <c r="FR641" s="13"/>
      <c r="FS641" s="13"/>
      <c r="FT641" s="13"/>
      <c r="FU641" s="13"/>
      <c r="FV641" s="13"/>
      <c r="FW641" s="13"/>
      <c r="FX641" s="13"/>
      <c r="FY641" s="13"/>
      <c r="FZ641" s="13"/>
      <c r="GA641" s="13"/>
    </row>
    <row r="642" spans="1:183" s="52" customFormat="1" ht="13.2" x14ac:dyDescent="0.25">
      <c r="A642" s="2"/>
      <c r="B642" s="2"/>
      <c r="C642" s="9">
        <v>20</v>
      </c>
      <c r="D642" s="9">
        <v>22</v>
      </c>
      <c r="E642" s="9">
        <v>36</v>
      </c>
      <c r="F642" s="9">
        <v>65</v>
      </c>
      <c r="G642" s="9">
        <v>66</v>
      </c>
      <c r="H642" s="9">
        <v>69</v>
      </c>
      <c r="I642" s="43"/>
      <c r="J642" s="9">
        <v>69</v>
      </c>
      <c r="K642" s="43"/>
      <c r="L642" s="39">
        <v>45206</v>
      </c>
      <c r="M642" s="43"/>
      <c r="N642"/>
      <c r="O642"/>
      <c r="P642"/>
      <c r="Q642"/>
      <c r="R642"/>
      <c r="S642"/>
      <c r="T642"/>
      <c r="U642"/>
      <c r="V642"/>
      <c r="X642" s="43"/>
      <c r="Y642"/>
      <c r="Z642"/>
      <c r="AA642"/>
      <c r="AB642"/>
      <c r="AC642"/>
      <c r="AD642"/>
      <c r="AE642"/>
      <c r="AF642"/>
      <c r="AG642"/>
      <c r="AI642" s="148"/>
      <c r="AJ642" s="1"/>
      <c r="AK642" s="1"/>
      <c r="AL642" s="54"/>
      <c r="AM642" s="1"/>
      <c r="AN642" s="43"/>
      <c r="AO642" s="1"/>
      <c r="AP642" s="1"/>
      <c r="AQ642" s="19"/>
      <c r="AR642" s="54"/>
      <c r="AS642" s="43"/>
      <c r="AT642" s="1"/>
      <c r="AU642" s="1"/>
      <c r="AV642" s="1"/>
      <c r="AW642" s="54"/>
      <c r="AX642" s="57"/>
      <c r="AY642" s="54"/>
      <c r="AZ642" s="54"/>
      <c r="BA642" s="54"/>
      <c r="BB642" s="54"/>
      <c r="BC642" s="57"/>
      <c r="BD642" s="1"/>
      <c r="BE642" s="1"/>
      <c r="BF642" s="1"/>
      <c r="BG642" s="54"/>
      <c r="BH642" s="43"/>
      <c r="BI642"/>
      <c r="BJ642" s="13"/>
      <c r="BK642" s="1"/>
      <c r="BL642"/>
      <c r="BM642"/>
      <c r="BN642"/>
      <c r="DY642" s="43"/>
      <c r="DZ642"/>
      <c r="EA642" s="19"/>
      <c r="EB642" s="19"/>
      <c r="EC642" s="9"/>
      <c r="ED642" s="9"/>
      <c r="EE642" s="9"/>
      <c r="EF642" s="9"/>
      <c r="EG642" s="9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3"/>
      <c r="FD642" s="13"/>
      <c r="FE642" s="13"/>
      <c r="FF642" s="13"/>
      <c r="FG642" s="13"/>
      <c r="FH642" s="13"/>
      <c r="FI642" s="13"/>
      <c r="FJ642" s="13"/>
      <c r="FK642" s="13"/>
      <c r="FL642" s="13"/>
      <c r="FM642" s="13"/>
      <c r="FN642" s="13"/>
      <c r="FO642" s="13"/>
      <c r="FP642" s="13"/>
      <c r="FQ642" s="13"/>
      <c r="FR642" s="13"/>
      <c r="FS642" s="13"/>
      <c r="FT642" s="13"/>
      <c r="FU642" s="13"/>
      <c r="FV642" s="13"/>
      <c r="FW642" s="13"/>
      <c r="FX642" s="13"/>
      <c r="FY642" s="13"/>
      <c r="FZ642" s="13"/>
      <c r="GA642" s="13"/>
    </row>
    <row r="643" spans="1:183" s="52" customFormat="1" ht="13.2" x14ac:dyDescent="0.25">
      <c r="A643" s="2"/>
      <c r="B643" s="2"/>
      <c r="C643" s="9">
        <v>5</v>
      </c>
      <c r="D643" s="9">
        <v>22</v>
      </c>
      <c r="E643" s="9">
        <v>39</v>
      </c>
      <c r="F643" s="9">
        <v>61</v>
      </c>
      <c r="G643" s="9">
        <v>75</v>
      </c>
      <c r="H643" s="9">
        <v>80</v>
      </c>
      <c r="I643" s="43"/>
      <c r="J643" s="9">
        <v>80</v>
      </c>
      <c r="K643" s="43"/>
      <c r="L643" s="39">
        <v>45203</v>
      </c>
      <c r="M643" s="43"/>
      <c r="N643"/>
      <c r="O643"/>
      <c r="P643"/>
      <c r="Q643"/>
      <c r="R643"/>
      <c r="S643"/>
      <c r="T643"/>
      <c r="U643"/>
      <c r="V643"/>
      <c r="X643" s="43"/>
      <c r="Y643"/>
      <c r="Z643"/>
      <c r="AA643"/>
      <c r="AB643"/>
      <c r="AC643"/>
      <c r="AD643"/>
      <c r="AE643"/>
      <c r="AF643"/>
      <c r="AG643"/>
      <c r="AI643" s="148"/>
      <c r="AJ643" s="1"/>
      <c r="AK643" s="1"/>
      <c r="AL643" s="54"/>
      <c r="AM643" s="1"/>
      <c r="AN643" s="43"/>
      <c r="AO643" s="1"/>
      <c r="AP643" s="1"/>
      <c r="AQ643" s="19"/>
      <c r="AR643" s="54"/>
      <c r="AS643" s="43"/>
      <c r="AT643" s="1"/>
      <c r="AU643" s="1"/>
      <c r="AV643" s="1"/>
      <c r="AW643" s="54"/>
      <c r="AX643" s="57"/>
      <c r="AY643" s="54"/>
      <c r="AZ643" s="54"/>
      <c r="BA643" s="54"/>
      <c r="BB643" s="54"/>
      <c r="BC643" s="57"/>
      <c r="BD643" s="1"/>
      <c r="BE643" s="1"/>
      <c r="BF643" s="1"/>
      <c r="BG643" s="54"/>
      <c r="BH643" s="43"/>
      <c r="BI643"/>
      <c r="BJ643" s="13"/>
      <c r="BK643" s="1"/>
      <c r="BL643"/>
      <c r="BM643"/>
      <c r="BN643"/>
      <c r="DY643" s="43"/>
      <c r="DZ643"/>
      <c r="EA643" s="19"/>
      <c r="EB643" s="19"/>
      <c r="EC643" s="9"/>
      <c r="ED643" s="9"/>
      <c r="EE643" s="9"/>
      <c r="EF643" s="9"/>
      <c r="EG643" s="9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  <c r="FI643" s="13"/>
      <c r="FJ643" s="13"/>
      <c r="FK643" s="13"/>
      <c r="FL643" s="13"/>
      <c r="FM643" s="13"/>
      <c r="FN643" s="13"/>
      <c r="FO643" s="13"/>
      <c r="FP643" s="13"/>
      <c r="FQ643" s="13"/>
      <c r="FR643" s="13"/>
      <c r="FS643" s="13"/>
      <c r="FT643" s="13"/>
      <c r="FU643" s="13"/>
      <c r="FV643" s="13"/>
      <c r="FW643" s="13"/>
      <c r="FX643" s="13"/>
      <c r="FY643" s="13"/>
      <c r="FZ643" s="13"/>
      <c r="GA643" s="13"/>
    </row>
    <row r="644" spans="1:183" s="52" customFormat="1" ht="13.2" x14ac:dyDescent="0.25">
      <c r="A644" s="2"/>
      <c r="B644" s="2"/>
      <c r="C644" s="9">
        <v>3</v>
      </c>
      <c r="D644" s="9">
        <v>19</v>
      </c>
      <c r="E644" s="9">
        <v>45</v>
      </c>
      <c r="F644" s="9">
        <v>58</v>
      </c>
      <c r="G644" s="9">
        <v>62</v>
      </c>
      <c r="H644" s="9">
        <v>88</v>
      </c>
      <c r="I644" s="43"/>
      <c r="J644" s="9">
        <v>88</v>
      </c>
      <c r="K644" s="43"/>
      <c r="L644" s="39">
        <v>45201</v>
      </c>
      <c r="M644" s="43"/>
      <c r="N644"/>
      <c r="O644"/>
      <c r="P644"/>
      <c r="Q644"/>
      <c r="R644"/>
      <c r="S644"/>
      <c r="T644"/>
      <c r="U644"/>
      <c r="V644"/>
      <c r="X644" s="43"/>
      <c r="Y644"/>
      <c r="Z644"/>
      <c r="AA644"/>
      <c r="AB644"/>
      <c r="AC644"/>
      <c r="AD644"/>
      <c r="AE644"/>
      <c r="AF644"/>
      <c r="AG644"/>
      <c r="AI644" s="148"/>
      <c r="AJ644" s="1"/>
      <c r="AK644" s="1"/>
      <c r="AL644" s="54"/>
      <c r="AM644" s="1"/>
      <c r="AN644" s="43"/>
      <c r="AO644" s="1"/>
      <c r="AP644" s="1"/>
      <c r="AQ644" s="19"/>
      <c r="AR644" s="54"/>
      <c r="AS644" s="43"/>
      <c r="AT644" s="1"/>
      <c r="AU644" s="1"/>
      <c r="AV644" s="1"/>
      <c r="AW644" s="54"/>
      <c r="AX644" s="57"/>
      <c r="AY644" s="54"/>
      <c r="AZ644" s="54"/>
      <c r="BA644" s="54"/>
      <c r="BB644" s="54"/>
      <c r="BC644" s="57"/>
      <c r="BD644" s="1"/>
      <c r="BE644" s="1"/>
      <c r="BF644" s="1"/>
      <c r="BG644" s="54"/>
      <c r="BH644" s="43"/>
      <c r="BI644"/>
      <c r="BJ644" s="13"/>
      <c r="BK644" s="1"/>
      <c r="BL644"/>
      <c r="BM644"/>
      <c r="BN644"/>
      <c r="DY644" s="43"/>
      <c r="DZ644"/>
      <c r="EA644" s="19"/>
      <c r="EB644" s="19"/>
      <c r="EC644" s="9"/>
      <c r="ED644" s="9"/>
      <c r="EE644" s="9"/>
      <c r="EF644" s="9"/>
      <c r="EG644" s="9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  <c r="FU644" s="13"/>
      <c r="FV644" s="13"/>
      <c r="FW644" s="13"/>
      <c r="FX644" s="13"/>
      <c r="FY644" s="13"/>
      <c r="FZ644" s="13"/>
      <c r="GA644" s="13"/>
    </row>
    <row r="645" spans="1:183" s="52" customFormat="1" ht="13.2" x14ac:dyDescent="0.25">
      <c r="A645" s="2"/>
      <c r="B645" s="2"/>
      <c r="C645" s="9">
        <v>22</v>
      </c>
      <c r="D645" s="9">
        <v>27</v>
      </c>
      <c r="E645" s="9">
        <v>28</v>
      </c>
      <c r="F645" s="9">
        <v>62</v>
      </c>
      <c r="G645" s="9">
        <v>75</v>
      </c>
      <c r="H645" s="9">
        <v>76</v>
      </c>
      <c r="I645" s="43"/>
      <c r="J645" s="9">
        <v>76</v>
      </c>
      <c r="K645" s="43"/>
      <c r="L645" s="39">
        <v>45199</v>
      </c>
      <c r="M645" s="43"/>
      <c r="N645"/>
      <c r="O645"/>
      <c r="P645"/>
      <c r="Q645"/>
      <c r="R645"/>
      <c r="S645"/>
      <c r="T645"/>
      <c r="U645"/>
      <c r="V645"/>
      <c r="X645" s="43"/>
      <c r="Y645"/>
      <c r="Z645"/>
      <c r="AA645"/>
      <c r="AB645"/>
      <c r="AC645"/>
      <c r="AD645"/>
      <c r="AE645"/>
      <c r="AF645"/>
      <c r="AG645"/>
      <c r="AI645" s="148"/>
      <c r="AJ645" s="1"/>
      <c r="AK645" s="1"/>
      <c r="AL645" s="54"/>
      <c r="AM645" s="1"/>
      <c r="AN645" s="43"/>
      <c r="AO645" s="1"/>
      <c r="AP645" s="1"/>
      <c r="AQ645" s="19"/>
      <c r="AR645" s="54"/>
      <c r="AS645" s="43"/>
      <c r="AT645" s="1"/>
      <c r="AU645" s="1"/>
      <c r="AV645" s="1"/>
      <c r="AW645" s="54"/>
      <c r="AX645" s="57"/>
      <c r="AY645" s="54"/>
      <c r="AZ645" s="54"/>
      <c r="BA645" s="54"/>
      <c r="BB645" s="54"/>
      <c r="BC645" s="57"/>
      <c r="BD645" s="1"/>
      <c r="BE645" s="1"/>
      <c r="BF645" s="1"/>
      <c r="BG645" s="54"/>
      <c r="BH645" s="43"/>
      <c r="BI645"/>
      <c r="BJ645" s="13"/>
      <c r="BK645" s="1"/>
      <c r="BL645"/>
      <c r="BM645"/>
      <c r="BN645"/>
      <c r="DY645" s="43"/>
      <c r="DZ645"/>
      <c r="EA645" s="19"/>
      <c r="EB645" s="19"/>
      <c r="EC645" s="9"/>
      <c r="ED645" s="9"/>
      <c r="EE645" s="9"/>
      <c r="EF645" s="9"/>
      <c r="EG645" s="9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3"/>
      <c r="FD645" s="13"/>
      <c r="FE645" s="13"/>
      <c r="FF645" s="13"/>
      <c r="FG645" s="13"/>
      <c r="FH645" s="13"/>
      <c r="FI645" s="13"/>
      <c r="FJ645" s="13"/>
      <c r="FK645" s="13"/>
      <c r="FL645" s="13"/>
      <c r="FM645" s="13"/>
      <c r="FN645" s="13"/>
      <c r="FO645" s="13"/>
      <c r="FP645" s="13"/>
      <c r="FQ645" s="13"/>
      <c r="FR645" s="13"/>
      <c r="FS645" s="13"/>
      <c r="FT645" s="13"/>
      <c r="FU645" s="13"/>
      <c r="FV645" s="13"/>
      <c r="FW645" s="13"/>
      <c r="FX645" s="13"/>
      <c r="FY645" s="13"/>
      <c r="FZ645" s="13"/>
      <c r="GA645" s="13"/>
    </row>
    <row r="646" spans="1:183" s="52" customFormat="1" ht="13.2" x14ac:dyDescent="0.25">
      <c r="A646" s="2"/>
      <c r="B646" s="2"/>
      <c r="C646" s="9">
        <v>32</v>
      </c>
      <c r="D646" s="9">
        <v>50</v>
      </c>
      <c r="E646" s="9">
        <v>57</v>
      </c>
      <c r="F646" s="9">
        <v>69</v>
      </c>
      <c r="G646" s="9">
        <v>70</v>
      </c>
      <c r="H646" s="9">
        <v>75</v>
      </c>
      <c r="I646" s="43"/>
      <c r="J646" s="9">
        <v>75</v>
      </c>
      <c r="K646" s="43"/>
      <c r="L646" s="39">
        <v>45196</v>
      </c>
      <c r="M646" s="43"/>
      <c r="N646"/>
      <c r="O646"/>
      <c r="P646"/>
      <c r="Q646"/>
      <c r="R646"/>
      <c r="S646"/>
      <c r="T646"/>
      <c r="U646"/>
      <c r="V646"/>
      <c r="X646" s="43"/>
      <c r="Y646"/>
      <c r="Z646"/>
      <c r="AA646"/>
      <c r="AB646"/>
      <c r="AC646"/>
      <c r="AD646"/>
      <c r="AE646"/>
      <c r="AF646"/>
      <c r="AG646"/>
      <c r="AI646" s="148"/>
      <c r="AJ646" s="1"/>
      <c r="AK646" s="1"/>
      <c r="AL646" s="54"/>
      <c r="AM646" s="1"/>
      <c r="AN646" s="43"/>
      <c r="AO646" s="1"/>
      <c r="AP646" s="1"/>
      <c r="AQ646" s="19"/>
      <c r="AR646" s="54"/>
      <c r="AS646" s="43"/>
      <c r="AT646" s="1"/>
      <c r="AU646" s="1"/>
      <c r="AV646" s="1"/>
      <c r="AW646" s="54"/>
      <c r="AX646" s="57"/>
      <c r="AY646" s="54"/>
      <c r="AZ646" s="54"/>
      <c r="BA646" s="54"/>
      <c r="BB646" s="54"/>
      <c r="BC646" s="57"/>
      <c r="BD646" s="1"/>
      <c r="BE646" s="1"/>
      <c r="BF646" s="1"/>
      <c r="BG646" s="54"/>
      <c r="BH646" s="43"/>
      <c r="BI646"/>
      <c r="BJ646" s="13"/>
      <c r="BK646" s="1"/>
      <c r="BL646"/>
      <c r="BM646"/>
      <c r="BN646"/>
      <c r="DY646" s="43"/>
      <c r="DZ646"/>
      <c r="EA646" s="19"/>
      <c r="EB646" s="19"/>
      <c r="EC646" s="9"/>
      <c r="ED646" s="9"/>
      <c r="EE646" s="9"/>
      <c r="EF646" s="9"/>
      <c r="EG646" s="9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3"/>
      <c r="FD646" s="13"/>
      <c r="FE646" s="13"/>
      <c r="FF646" s="13"/>
      <c r="FG646" s="13"/>
      <c r="FH646" s="13"/>
      <c r="FI646" s="13"/>
      <c r="FJ646" s="13"/>
      <c r="FK646" s="13"/>
      <c r="FL646" s="13"/>
      <c r="FM646" s="13"/>
      <c r="FN646" s="13"/>
      <c r="FO646" s="13"/>
      <c r="FP646" s="13"/>
      <c r="FQ646" s="13"/>
      <c r="FR646" s="13"/>
      <c r="FS646" s="13"/>
      <c r="FT646" s="13"/>
      <c r="FU646" s="13"/>
      <c r="FV646" s="13"/>
      <c r="FW646" s="13"/>
      <c r="FX646" s="13"/>
      <c r="FY646" s="13"/>
      <c r="FZ646" s="13"/>
      <c r="GA646" s="13"/>
    </row>
    <row r="647" spans="1:183" s="52" customFormat="1" ht="13.2" x14ac:dyDescent="0.25">
      <c r="A647" s="2"/>
      <c r="B647" s="2"/>
      <c r="C647" s="9">
        <v>15</v>
      </c>
      <c r="D647" s="9">
        <v>23</v>
      </c>
      <c r="E647" s="9">
        <v>25</v>
      </c>
      <c r="F647" s="9">
        <v>76</v>
      </c>
      <c r="G647" s="9">
        <v>79</v>
      </c>
      <c r="H647" s="9">
        <v>89</v>
      </c>
      <c r="I647" s="43"/>
      <c r="J647" s="9">
        <v>89</v>
      </c>
      <c r="K647" s="43"/>
      <c r="L647" s="39">
        <v>45194</v>
      </c>
      <c r="M647" s="43"/>
      <c r="N647"/>
      <c r="O647"/>
      <c r="P647"/>
      <c r="Q647"/>
      <c r="R647"/>
      <c r="S647"/>
      <c r="T647"/>
      <c r="U647"/>
      <c r="V647"/>
      <c r="X647" s="43"/>
      <c r="Y647"/>
      <c r="Z647"/>
      <c r="AA647"/>
      <c r="AB647"/>
      <c r="AC647"/>
      <c r="AD647"/>
      <c r="AE647"/>
      <c r="AF647"/>
      <c r="AG647"/>
      <c r="AI647" s="148"/>
      <c r="AJ647" s="1"/>
      <c r="AK647" s="1"/>
      <c r="AL647" s="54"/>
      <c r="AM647" s="1"/>
      <c r="AN647" s="43"/>
      <c r="AO647" s="1"/>
      <c r="AP647" s="1"/>
      <c r="AQ647" s="19"/>
      <c r="AR647" s="54"/>
      <c r="AS647" s="43"/>
      <c r="AT647" s="1"/>
      <c r="AU647" s="1"/>
      <c r="AV647" s="1"/>
      <c r="AW647" s="54"/>
      <c r="AX647" s="57"/>
      <c r="AY647" s="54"/>
      <c r="AZ647" s="54"/>
      <c r="BA647" s="54"/>
      <c r="BB647" s="54"/>
      <c r="BC647" s="57"/>
      <c r="BD647" s="1"/>
      <c r="BE647" s="1"/>
      <c r="BF647" s="1"/>
      <c r="BG647" s="54"/>
      <c r="BH647" s="43"/>
      <c r="BI647"/>
      <c r="BJ647" s="13"/>
      <c r="BK647" s="1"/>
      <c r="BL647"/>
      <c r="BM647"/>
      <c r="BN647"/>
      <c r="DY647" s="43"/>
      <c r="DZ647"/>
      <c r="EA647" s="19"/>
      <c r="EB647" s="19"/>
      <c r="EC647" s="9"/>
      <c r="ED647" s="9"/>
      <c r="EE647" s="9"/>
      <c r="EF647" s="9"/>
      <c r="EG647" s="9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  <c r="FU647" s="13"/>
      <c r="FV647" s="13"/>
      <c r="FW647" s="13"/>
      <c r="FX647" s="13"/>
      <c r="FY647" s="13"/>
      <c r="FZ647" s="13"/>
      <c r="GA647" s="13"/>
    </row>
    <row r="648" spans="1:183" s="52" customFormat="1" ht="13.2" x14ac:dyDescent="0.25">
      <c r="A648" s="2"/>
      <c r="B648" s="2"/>
      <c r="C648" s="9">
        <v>1</v>
      </c>
      <c r="D648" s="9">
        <v>11</v>
      </c>
      <c r="E648" s="9">
        <v>34</v>
      </c>
      <c r="F648" s="9">
        <v>40</v>
      </c>
      <c r="G648" s="9">
        <v>60</v>
      </c>
      <c r="H648" s="9">
        <v>72</v>
      </c>
      <c r="I648" s="43"/>
      <c r="J648" s="9">
        <v>72</v>
      </c>
      <c r="K648" s="43"/>
      <c r="L648" s="39">
        <v>45192</v>
      </c>
      <c r="M648" s="43"/>
      <c r="N648"/>
      <c r="O648"/>
      <c r="P648"/>
      <c r="Q648"/>
      <c r="R648"/>
      <c r="S648"/>
      <c r="T648"/>
      <c r="U648"/>
      <c r="V648"/>
      <c r="X648" s="43"/>
      <c r="Y648"/>
      <c r="Z648"/>
      <c r="AA648"/>
      <c r="AB648"/>
      <c r="AC648"/>
      <c r="AD648"/>
      <c r="AE648"/>
      <c r="AF648"/>
      <c r="AG648"/>
      <c r="AI648" s="148"/>
      <c r="AJ648" s="1"/>
      <c r="AK648" s="1"/>
      <c r="AL648" s="54"/>
      <c r="AM648" s="1"/>
      <c r="AN648" s="43"/>
      <c r="AO648" s="1"/>
      <c r="AP648" s="1"/>
      <c r="AQ648" s="19"/>
      <c r="AR648" s="54"/>
      <c r="AS648" s="43"/>
      <c r="AT648" s="1"/>
      <c r="AU648" s="1"/>
      <c r="AV648" s="1"/>
      <c r="AW648" s="54"/>
      <c r="AX648" s="57"/>
      <c r="AY648" s="54"/>
      <c r="AZ648" s="54"/>
      <c r="BA648" s="54"/>
      <c r="BB648" s="54"/>
      <c r="BC648" s="57"/>
      <c r="BD648" s="1"/>
      <c r="BE648" s="1"/>
      <c r="BF648" s="1"/>
      <c r="BG648" s="54"/>
      <c r="BH648" s="43"/>
      <c r="BI648"/>
      <c r="BJ648" s="13"/>
      <c r="BK648" s="1"/>
      <c r="BL648"/>
      <c r="BM648"/>
      <c r="BN648"/>
      <c r="DY648" s="43"/>
      <c r="DZ648"/>
      <c r="EA648" s="19"/>
      <c r="EB648" s="19"/>
      <c r="EC648" s="9"/>
      <c r="ED648" s="9"/>
      <c r="EE648" s="9"/>
      <c r="EF648" s="9"/>
      <c r="EG648" s="9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  <c r="FI648" s="13"/>
      <c r="FJ648" s="13"/>
      <c r="FK648" s="13"/>
      <c r="FL648" s="13"/>
      <c r="FM648" s="13"/>
      <c r="FN648" s="13"/>
      <c r="FO648" s="13"/>
      <c r="FP648" s="13"/>
      <c r="FQ648" s="13"/>
      <c r="FR648" s="13"/>
      <c r="FS648" s="13"/>
      <c r="FT648" s="13"/>
      <c r="FU648" s="13"/>
      <c r="FV648" s="13"/>
      <c r="FW648" s="13"/>
      <c r="FX648" s="13"/>
      <c r="FY648" s="13"/>
      <c r="FZ648" s="13"/>
      <c r="GA648" s="13"/>
    </row>
    <row r="649" spans="1:183" s="52" customFormat="1" ht="13.2" x14ac:dyDescent="0.25">
      <c r="A649" s="2"/>
      <c r="B649" s="2"/>
      <c r="C649" s="9">
        <v>26</v>
      </c>
      <c r="D649" s="9">
        <v>34</v>
      </c>
      <c r="E649" s="9">
        <v>38</v>
      </c>
      <c r="F649" s="9">
        <v>43</v>
      </c>
      <c r="G649" s="9">
        <v>68</v>
      </c>
      <c r="H649" s="9">
        <v>76</v>
      </c>
      <c r="I649" s="43"/>
      <c r="J649" s="9">
        <v>76</v>
      </c>
      <c r="K649" s="43"/>
      <c r="L649" s="39">
        <v>45189</v>
      </c>
      <c r="M649" s="43"/>
      <c r="N649"/>
      <c r="O649"/>
      <c r="P649"/>
      <c r="Q649"/>
      <c r="R649"/>
      <c r="S649"/>
      <c r="T649"/>
      <c r="U649"/>
      <c r="V649"/>
      <c r="X649" s="43"/>
      <c r="Y649"/>
      <c r="Z649"/>
      <c r="AA649"/>
      <c r="AB649"/>
      <c r="AC649"/>
      <c r="AD649"/>
      <c r="AE649"/>
      <c r="AF649"/>
      <c r="AG649"/>
      <c r="AI649" s="148"/>
      <c r="AJ649" s="1"/>
      <c r="AK649" s="1"/>
      <c r="AL649" s="54"/>
      <c r="AM649" s="1"/>
      <c r="AN649" s="43"/>
      <c r="AO649" s="1"/>
      <c r="AP649" s="1"/>
      <c r="AQ649" s="19"/>
      <c r="AR649" s="54"/>
      <c r="AS649" s="43"/>
      <c r="AT649" s="1"/>
      <c r="AU649" s="1"/>
      <c r="AV649" s="1"/>
      <c r="AW649" s="54"/>
      <c r="AX649" s="57"/>
      <c r="AY649" s="54"/>
      <c r="AZ649" s="54"/>
      <c r="BA649" s="54"/>
      <c r="BB649" s="54"/>
      <c r="BC649" s="57"/>
      <c r="BD649" s="1"/>
      <c r="BE649" s="1"/>
      <c r="BF649" s="1"/>
      <c r="BG649" s="54"/>
      <c r="BH649" s="43"/>
      <c r="BI649"/>
      <c r="BJ649" s="13"/>
      <c r="BK649" s="1"/>
      <c r="BL649"/>
      <c r="BM649"/>
      <c r="BN649"/>
      <c r="DY649" s="43"/>
      <c r="DZ649"/>
      <c r="EA649" s="19"/>
      <c r="EB649" s="19"/>
      <c r="EC649" s="9"/>
      <c r="ED649" s="9"/>
      <c r="EE649" s="9"/>
      <c r="EF649" s="9"/>
      <c r="EG649" s="9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  <c r="FI649" s="13"/>
      <c r="FJ649" s="13"/>
      <c r="FK649" s="13"/>
      <c r="FL649" s="13"/>
      <c r="FM649" s="13"/>
      <c r="FN649" s="13"/>
      <c r="FO649" s="13"/>
      <c r="FP649" s="13"/>
      <c r="FQ649" s="13"/>
      <c r="FR649" s="13"/>
      <c r="FS649" s="13"/>
      <c r="FT649" s="13"/>
      <c r="FU649" s="13"/>
      <c r="FV649" s="13"/>
      <c r="FW649" s="13"/>
      <c r="FX649" s="13"/>
      <c r="FY649" s="13"/>
      <c r="FZ649" s="13"/>
      <c r="GA649" s="13"/>
    </row>
    <row r="650" spans="1:183" s="52" customFormat="1" ht="13.2" x14ac:dyDescent="0.25">
      <c r="A650" s="2"/>
      <c r="B650" s="2"/>
      <c r="C650" s="9">
        <v>39</v>
      </c>
      <c r="D650" s="9">
        <v>40</v>
      </c>
      <c r="E650" s="9">
        <v>42</v>
      </c>
      <c r="F650" s="9">
        <v>45</v>
      </c>
      <c r="G650" s="9">
        <v>50</v>
      </c>
      <c r="H650" s="9">
        <v>55</v>
      </c>
      <c r="I650" s="43"/>
      <c r="J650" s="9">
        <v>55</v>
      </c>
      <c r="K650" s="43"/>
      <c r="L650" s="39">
        <v>45187</v>
      </c>
      <c r="M650" s="43"/>
      <c r="N650"/>
      <c r="O650"/>
      <c r="P650"/>
      <c r="Q650"/>
      <c r="R650"/>
      <c r="S650"/>
      <c r="T650"/>
      <c r="U650"/>
      <c r="V650"/>
      <c r="X650" s="43"/>
      <c r="Y650"/>
      <c r="Z650"/>
      <c r="AA650"/>
      <c r="AB650"/>
      <c r="AC650"/>
      <c r="AD650"/>
      <c r="AE650"/>
      <c r="AF650"/>
      <c r="AG650"/>
      <c r="AI650" s="148"/>
      <c r="AJ650" s="1"/>
      <c r="AK650" s="1"/>
      <c r="AL650" s="54"/>
      <c r="AM650" s="1"/>
      <c r="AN650" s="43"/>
      <c r="AO650" s="1"/>
      <c r="AP650" s="1"/>
      <c r="AQ650" s="19"/>
      <c r="AR650" s="54"/>
      <c r="AS650" s="43"/>
      <c r="AT650" s="1"/>
      <c r="AU650" s="1"/>
      <c r="AV650" s="1"/>
      <c r="AW650" s="54"/>
      <c r="AX650" s="57"/>
      <c r="AY650" s="54"/>
      <c r="AZ650" s="54"/>
      <c r="BA650" s="54"/>
      <c r="BB650" s="54"/>
      <c r="BC650" s="57"/>
      <c r="BD650" s="1"/>
      <c r="BE650" s="1"/>
      <c r="BF650" s="1"/>
      <c r="BG650" s="54"/>
      <c r="BH650" s="43"/>
      <c r="BI650"/>
      <c r="BJ650" s="13"/>
      <c r="BK650" s="1"/>
      <c r="BL650"/>
      <c r="BM650"/>
      <c r="BN650"/>
      <c r="DY650" s="43"/>
      <c r="DZ650"/>
      <c r="EA650" s="19"/>
      <c r="EB650" s="19"/>
      <c r="EC650" s="9"/>
      <c r="ED650" s="9"/>
      <c r="EE650" s="9"/>
      <c r="EF650" s="9"/>
      <c r="EG650" s="9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3"/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  <c r="FU650" s="13"/>
      <c r="FV650" s="13"/>
      <c r="FW650" s="13"/>
      <c r="FX650" s="13"/>
      <c r="FY650" s="13"/>
      <c r="FZ650" s="13"/>
      <c r="GA650" s="13"/>
    </row>
    <row r="651" spans="1:183" s="52" customFormat="1" ht="13.2" x14ac:dyDescent="0.25">
      <c r="A651" s="2"/>
      <c r="B651" s="2"/>
      <c r="C651" s="9">
        <v>14</v>
      </c>
      <c r="D651" s="9">
        <v>45</v>
      </c>
      <c r="E651" s="9">
        <v>67</v>
      </c>
      <c r="F651" s="9">
        <v>73</v>
      </c>
      <c r="G651" s="9">
        <v>82</v>
      </c>
      <c r="H651" s="9">
        <v>88</v>
      </c>
      <c r="I651" s="43"/>
      <c r="J651" s="9">
        <v>88</v>
      </c>
      <c r="K651" s="43"/>
      <c r="L651" s="39">
        <v>45185</v>
      </c>
      <c r="M651" s="43"/>
      <c r="N651"/>
      <c r="O651"/>
      <c r="P651"/>
      <c r="Q651"/>
      <c r="R651"/>
      <c r="S651"/>
      <c r="T651"/>
      <c r="U651"/>
      <c r="V651"/>
      <c r="X651" s="43"/>
      <c r="Y651"/>
      <c r="Z651"/>
      <c r="AA651"/>
      <c r="AB651"/>
      <c r="AC651"/>
      <c r="AD651"/>
      <c r="AE651"/>
      <c r="AF651"/>
      <c r="AG651"/>
      <c r="AI651" s="148"/>
      <c r="AJ651" s="1"/>
      <c r="AK651" s="1"/>
      <c r="AL651" s="54"/>
      <c r="AM651" s="1"/>
      <c r="AN651" s="43"/>
      <c r="AO651" s="1"/>
      <c r="AP651" s="1"/>
      <c r="AQ651" s="19"/>
      <c r="AR651" s="54"/>
      <c r="AS651" s="43"/>
      <c r="AT651" s="1"/>
      <c r="AU651" s="1"/>
      <c r="AV651" s="1"/>
      <c r="AW651" s="54"/>
      <c r="AX651" s="57"/>
      <c r="AY651" s="54"/>
      <c r="AZ651" s="54"/>
      <c r="BA651" s="54"/>
      <c r="BB651" s="54"/>
      <c r="BC651" s="57"/>
      <c r="BD651" s="1"/>
      <c r="BE651" s="1"/>
      <c r="BF651" s="1"/>
      <c r="BG651" s="54"/>
      <c r="BH651" s="43"/>
      <c r="BI651"/>
      <c r="BJ651" s="13"/>
      <c r="BK651" s="1"/>
      <c r="BL651"/>
      <c r="BM651"/>
      <c r="BN651"/>
      <c r="DY651" s="43"/>
      <c r="DZ651"/>
      <c r="EA651" s="19"/>
      <c r="EB651" s="19"/>
      <c r="EC651" s="9"/>
      <c r="ED651" s="9"/>
      <c r="EE651" s="9"/>
      <c r="EF651" s="9"/>
      <c r="EG651" s="9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3"/>
      <c r="FD651" s="13"/>
      <c r="FE651" s="13"/>
      <c r="FF651" s="13"/>
      <c r="FG651" s="13"/>
      <c r="FH651" s="13"/>
      <c r="FI651" s="13"/>
      <c r="FJ651" s="13"/>
      <c r="FK651" s="13"/>
      <c r="FL651" s="13"/>
      <c r="FM651" s="13"/>
      <c r="FN651" s="13"/>
      <c r="FO651" s="13"/>
      <c r="FP651" s="13"/>
      <c r="FQ651" s="13"/>
      <c r="FR651" s="13"/>
      <c r="FS651" s="13"/>
      <c r="FT651" s="13"/>
      <c r="FU651" s="13"/>
      <c r="FV651" s="13"/>
      <c r="FW651" s="13"/>
      <c r="FX651" s="13"/>
      <c r="FY651" s="13"/>
      <c r="FZ651" s="13"/>
      <c r="GA651" s="13"/>
    </row>
    <row r="652" spans="1:183" s="52" customFormat="1" ht="13.2" x14ac:dyDescent="0.25">
      <c r="A652" s="2"/>
      <c r="B652" s="2"/>
      <c r="C652" s="9">
        <v>11</v>
      </c>
      <c r="D652" s="9">
        <v>14</v>
      </c>
      <c r="E652" s="9">
        <v>50</v>
      </c>
      <c r="F652" s="9">
        <v>54</v>
      </c>
      <c r="G652" s="9">
        <v>61</v>
      </c>
      <c r="H652" s="9">
        <v>73</v>
      </c>
      <c r="I652" s="43"/>
      <c r="J652" s="9">
        <v>73</v>
      </c>
      <c r="K652" s="43"/>
      <c r="L652" s="39">
        <v>45182</v>
      </c>
      <c r="M652" s="43"/>
      <c r="N652"/>
      <c r="O652"/>
      <c r="P652"/>
      <c r="Q652"/>
      <c r="R652"/>
      <c r="S652"/>
      <c r="T652"/>
      <c r="U652"/>
      <c r="V652"/>
      <c r="X652" s="43"/>
      <c r="Y652"/>
      <c r="Z652"/>
      <c r="AA652"/>
      <c r="AB652"/>
      <c r="AC652"/>
      <c r="AD652"/>
      <c r="AE652"/>
      <c r="AF652"/>
      <c r="AG652"/>
      <c r="AI652" s="148"/>
      <c r="AJ652" s="1"/>
      <c r="AK652" s="1"/>
      <c r="AL652" s="54"/>
      <c r="AM652" s="1"/>
      <c r="AN652" s="43"/>
      <c r="AO652" s="1"/>
      <c r="AP652" s="1"/>
      <c r="AQ652" s="19"/>
      <c r="AR652" s="54"/>
      <c r="AS652" s="43"/>
      <c r="AT652" s="1"/>
      <c r="AU652" s="1"/>
      <c r="AV652" s="1"/>
      <c r="AW652" s="54"/>
      <c r="AX652" s="57"/>
      <c r="AY652" s="54"/>
      <c r="AZ652" s="54"/>
      <c r="BA652" s="54"/>
      <c r="BB652" s="54"/>
      <c r="BC652" s="57"/>
      <c r="BD652" s="1"/>
      <c r="BE652" s="1"/>
      <c r="BF652" s="1"/>
      <c r="BG652" s="54"/>
      <c r="BH652" s="43"/>
      <c r="BI652"/>
      <c r="BJ652" s="13"/>
      <c r="BK652" s="1"/>
      <c r="BL652"/>
      <c r="BM652"/>
      <c r="BN652"/>
      <c r="DY652" s="43"/>
      <c r="DZ652"/>
      <c r="EA652" s="19"/>
      <c r="EB652" s="19"/>
      <c r="EC652" s="9"/>
      <c r="ED652" s="9"/>
      <c r="EE652" s="9"/>
      <c r="EF652" s="9"/>
      <c r="EG652" s="9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  <c r="FI652" s="13"/>
      <c r="FJ652" s="13"/>
      <c r="FK652" s="13"/>
      <c r="FL652" s="13"/>
      <c r="FM652" s="13"/>
      <c r="FN652" s="13"/>
      <c r="FO652" s="13"/>
      <c r="FP652" s="13"/>
      <c r="FQ652" s="13"/>
      <c r="FR652" s="13"/>
      <c r="FS652" s="13"/>
      <c r="FT652" s="13"/>
      <c r="FU652" s="13"/>
      <c r="FV652" s="13"/>
      <c r="FW652" s="13"/>
      <c r="FX652" s="13"/>
      <c r="FY652" s="13"/>
      <c r="FZ652" s="13"/>
      <c r="GA652" s="13"/>
    </row>
    <row r="653" spans="1:183" s="52" customFormat="1" ht="13.2" x14ac:dyDescent="0.25">
      <c r="A653" s="2"/>
      <c r="B653" s="2"/>
      <c r="C653" s="9">
        <v>3</v>
      </c>
      <c r="D653" s="9">
        <v>14</v>
      </c>
      <c r="E653" s="9">
        <v>20</v>
      </c>
      <c r="F653" s="9">
        <v>40</v>
      </c>
      <c r="G653" s="9">
        <v>79</v>
      </c>
      <c r="H653" s="9">
        <v>84</v>
      </c>
      <c r="I653" s="43"/>
      <c r="J653" s="9">
        <v>84</v>
      </c>
      <c r="K653" s="43"/>
      <c r="L653" s="39">
        <v>45180</v>
      </c>
      <c r="M653" s="43"/>
      <c r="N653"/>
      <c r="O653"/>
      <c r="P653"/>
      <c r="Q653"/>
      <c r="R653"/>
      <c r="S653"/>
      <c r="T653"/>
      <c r="U653"/>
      <c r="V653"/>
      <c r="X653" s="43"/>
      <c r="Y653"/>
      <c r="Z653"/>
      <c r="AA653"/>
      <c r="AB653"/>
      <c r="AC653"/>
      <c r="AD653"/>
      <c r="AE653"/>
      <c r="AF653"/>
      <c r="AG653"/>
      <c r="AI653" s="148"/>
      <c r="AJ653" s="1"/>
      <c r="AK653" s="1"/>
      <c r="AL653" s="54"/>
      <c r="AM653" s="1"/>
      <c r="AN653" s="43"/>
      <c r="AO653" s="1"/>
      <c r="AP653" s="1"/>
      <c r="AQ653" s="19"/>
      <c r="AR653" s="54"/>
      <c r="AS653" s="43"/>
      <c r="AT653" s="1"/>
      <c r="AU653" s="1"/>
      <c r="AV653" s="1"/>
      <c r="AW653" s="54"/>
      <c r="AX653" s="57"/>
      <c r="AY653" s="54"/>
      <c r="AZ653" s="54"/>
      <c r="BA653" s="54"/>
      <c r="BB653" s="54"/>
      <c r="BC653" s="57"/>
      <c r="BD653" s="1"/>
      <c r="BE653" s="1"/>
      <c r="BF653" s="1"/>
      <c r="BG653" s="54"/>
      <c r="BH653" s="43"/>
      <c r="BI653"/>
      <c r="BJ653" s="13"/>
      <c r="BK653" s="1"/>
      <c r="BL653"/>
      <c r="BM653"/>
      <c r="BN653"/>
      <c r="DY653" s="43"/>
      <c r="DZ653"/>
      <c r="EA653" s="19"/>
      <c r="EB653" s="19"/>
      <c r="EC653" s="9"/>
      <c r="ED653" s="9"/>
      <c r="EE653" s="9"/>
      <c r="EF653" s="9"/>
      <c r="EG653" s="9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3"/>
      <c r="FJ653" s="13"/>
      <c r="FK653" s="13"/>
      <c r="FL653" s="13"/>
      <c r="FM653" s="13"/>
      <c r="FN653" s="13"/>
      <c r="FO653" s="13"/>
      <c r="FP653" s="13"/>
      <c r="FQ653" s="13"/>
      <c r="FR653" s="13"/>
      <c r="FS653" s="13"/>
      <c r="FT653" s="13"/>
      <c r="FU653" s="13"/>
      <c r="FV653" s="13"/>
      <c r="FW653" s="13"/>
      <c r="FX653" s="13"/>
      <c r="FY653" s="13"/>
      <c r="FZ653" s="13"/>
      <c r="GA653" s="13"/>
    </row>
    <row r="654" spans="1:183" s="52" customFormat="1" ht="13.2" x14ac:dyDescent="0.25">
      <c r="A654" s="2"/>
      <c r="B654" s="2"/>
      <c r="C654" s="9">
        <v>1</v>
      </c>
      <c r="D654" s="9">
        <v>2</v>
      </c>
      <c r="E654" s="9">
        <v>13</v>
      </c>
      <c r="F654" s="9">
        <v>16</v>
      </c>
      <c r="G654" s="9">
        <v>24</v>
      </c>
      <c r="H654" s="9">
        <v>47</v>
      </c>
      <c r="I654" s="43"/>
      <c r="J654" s="9">
        <v>47</v>
      </c>
      <c r="K654" s="43"/>
      <c r="L654" s="39">
        <v>45178</v>
      </c>
      <c r="M654" s="43"/>
      <c r="N654"/>
      <c r="O654"/>
      <c r="P654"/>
      <c r="Q654"/>
      <c r="R654"/>
      <c r="S654"/>
      <c r="T654"/>
      <c r="U654"/>
      <c r="V654"/>
      <c r="X654" s="43"/>
      <c r="Y654"/>
      <c r="Z654"/>
      <c r="AA654"/>
      <c r="AB654"/>
      <c r="AC654"/>
      <c r="AD654"/>
      <c r="AE654"/>
      <c r="AF654"/>
      <c r="AG654"/>
      <c r="AI654" s="148"/>
      <c r="AJ654" s="1"/>
      <c r="AK654" s="1"/>
      <c r="AL654" s="54"/>
      <c r="AM654" s="1"/>
      <c r="AN654" s="43"/>
      <c r="AO654" s="1"/>
      <c r="AP654" s="1"/>
      <c r="AQ654" s="19"/>
      <c r="AR654" s="54"/>
      <c r="AS654" s="43"/>
      <c r="AT654" s="1"/>
      <c r="AU654" s="1"/>
      <c r="AV654" s="1"/>
      <c r="AW654" s="54"/>
      <c r="AX654" s="57"/>
      <c r="AY654" s="54"/>
      <c r="AZ654" s="54"/>
      <c r="BA654" s="54"/>
      <c r="BB654" s="54"/>
      <c r="BC654" s="57"/>
      <c r="BD654" s="1"/>
      <c r="BE654" s="1"/>
      <c r="BF654" s="1"/>
      <c r="BG654" s="54"/>
      <c r="BH654" s="43"/>
      <c r="BI654"/>
      <c r="BJ654" s="13"/>
      <c r="BK654" s="1"/>
      <c r="BL654"/>
      <c r="BM654"/>
      <c r="BN654"/>
      <c r="DY654" s="43"/>
      <c r="DZ654"/>
      <c r="EA654" s="19"/>
      <c r="EB654" s="19"/>
      <c r="EC654" s="9"/>
      <c r="ED654" s="9"/>
      <c r="EE654" s="9"/>
      <c r="EF654" s="9"/>
      <c r="EG654" s="9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3"/>
      <c r="FD654" s="13"/>
      <c r="FE654" s="13"/>
      <c r="FF654" s="13"/>
      <c r="FG654" s="13"/>
      <c r="FH654" s="13"/>
      <c r="FI654" s="13"/>
      <c r="FJ654" s="13"/>
      <c r="FK654" s="13"/>
      <c r="FL654" s="13"/>
      <c r="FM654" s="13"/>
      <c r="FN654" s="13"/>
      <c r="FO654" s="13"/>
      <c r="FP654" s="13"/>
      <c r="FQ654" s="13"/>
      <c r="FR654" s="13"/>
      <c r="FS654" s="13"/>
      <c r="FT654" s="13"/>
      <c r="FU654" s="13"/>
      <c r="FV654" s="13"/>
      <c r="FW654" s="13"/>
      <c r="FX654" s="13"/>
      <c r="FY654" s="13"/>
      <c r="FZ654" s="13"/>
      <c r="GA654" s="13"/>
    </row>
    <row r="655" spans="1:183" s="52" customFormat="1" ht="13.2" x14ac:dyDescent="0.25">
      <c r="A655" s="2"/>
      <c r="B655" s="2"/>
      <c r="C655" s="9">
        <v>12</v>
      </c>
      <c r="D655" s="9">
        <v>35</v>
      </c>
      <c r="E655" s="9">
        <v>45</v>
      </c>
      <c r="F655" s="9">
        <v>60</v>
      </c>
      <c r="G655" s="9">
        <v>68</v>
      </c>
      <c r="H655" s="9">
        <v>70</v>
      </c>
      <c r="I655" s="43"/>
      <c r="J655" s="9">
        <v>70</v>
      </c>
      <c r="K655" s="43"/>
      <c r="L655" s="39">
        <v>45175</v>
      </c>
      <c r="M655" s="43"/>
      <c r="N655"/>
      <c r="O655"/>
      <c r="P655"/>
      <c r="Q655"/>
      <c r="R655"/>
      <c r="S655"/>
      <c r="T655"/>
      <c r="U655"/>
      <c r="V655"/>
      <c r="X655" s="43"/>
      <c r="Y655"/>
      <c r="Z655"/>
      <c r="AA655"/>
      <c r="AB655"/>
      <c r="AC655"/>
      <c r="AD655"/>
      <c r="AE655"/>
      <c r="AF655"/>
      <c r="AG655"/>
      <c r="AI655" s="148"/>
      <c r="AJ655" s="1"/>
      <c r="AK655" s="1"/>
      <c r="AL655" s="54"/>
      <c r="AM655" s="1"/>
      <c r="AN655" s="43"/>
      <c r="AO655" s="1"/>
      <c r="AP655" s="1"/>
      <c r="AQ655" s="19"/>
      <c r="AR655" s="54"/>
      <c r="AS655" s="43"/>
      <c r="AT655" s="1"/>
      <c r="AU655" s="1"/>
      <c r="AV655" s="1"/>
      <c r="AW655" s="54"/>
      <c r="AX655" s="57"/>
      <c r="AY655" s="54"/>
      <c r="AZ655" s="54"/>
      <c r="BA655" s="54"/>
      <c r="BB655" s="54"/>
      <c r="BC655" s="57"/>
      <c r="BD655" s="1"/>
      <c r="BE655" s="1"/>
      <c r="BF655" s="1"/>
      <c r="BG655" s="54"/>
      <c r="BH655" s="43"/>
      <c r="BI655"/>
      <c r="BJ655" s="13"/>
      <c r="BK655" s="1"/>
      <c r="BL655"/>
      <c r="BM655"/>
      <c r="BN655"/>
      <c r="DY655" s="43"/>
      <c r="DZ655"/>
      <c r="EA655" s="19"/>
      <c r="EB655" s="19"/>
      <c r="EC655" s="9"/>
      <c r="ED655" s="9"/>
      <c r="EE655" s="9"/>
      <c r="EF655" s="9"/>
      <c r="EG655" s="9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  <c r="FI655" s="13"/>
      <c r="FJ655" s="13"/>
      <c r="FK655" s="13"/>
      <c r="FL655" s="13"/>
      <c r="FM655" s="13"/>
      <c r="FN655" s="13"/>
      <c r="FO655" s="13"/>
      <c r="FP655" s="13"/>
      <c r="FQ655" s="13"/>
      <c r="FR655" s="13"/>
      <c r="FS655" s="13"/>
      <c r="FT655" s="13"/>
      <c r="FU655" s="13"/>
      <c r="FV655" s="13"/>
      <c r="FW655" s="13"/>
      <c r="FX655" s="13"/>
      <c r="FY655" s="13"/>
      <c r="FZ655" s="13"/>
      <c r="GA655" s="13"/>
    </row>
    <row r="656" spans="1:183" s="52" customFormat="1" ht="13.2" x14ac:dyDescent="0.25">
      <c r="A656" s="2"/>
      <c r="B656" s="2"/>
      <c r="C656" s="9">
        <v>3</v>
      </c>
      <c r="D656" s="9">
        <v>37</v>
      </c>
      <c r="E656" s="9">
        <v>70</v>
      </c>
      <c r="F656" s="9">
        <v>80</v>
      </c>
      <c r="G656" s="9">
        <v>86</v>
      </c>
      <c r="H656" s="9">
        <v>90</v>
      </c>
      <c r="I656" s="43"/>
      <c r="J656" s="9">
        <v>90</v>
      </c>
      <c r="K656" s="43"/>
      <c r="L656" s="39">
        <v>45173</v>
      </c>
      <c r="M656" s="43"/>
      <c r="N656"/>
      <c r="O656"/>
      <c r="P656"/>
      <c r="Q656"/>
      <c r="R656"/>
      <c r="S656"/>
      <c r="T656"/>
      <c r="U656"/>
      <c r="V656"/>
      <c r="X656" s="43"/>
      <c r="Y656"/>
      <c r="Z656"/>
      <c r="AA656"/>
      <c r="AB656"/>
      <c r="AC656"/>
      <c r="AD656"/>
      <c r="AE656"/>
      <c r="AF656"/>
      <c r="AG656"/>
      <c r="AI656" s="148"/>
      <c r="AJ656" s="1"/>
      <c r="AK656" s="1"/>
      <c r="AL656" s="54"/>
      <c r="AM656" s="1"/>
      <c r="AN656" s="43"/>
      <c r="AO656" s="1"/>
      <c r="AP656" s="1"/>
      <c r="AQ656" s="19"/>
      <c r="AR656" s="54"/>
      <c r="AS656" s="43"/>
      <c r="AT656" s="1"/>
      <c r="AU656" s="1"/>
      <c r="AV656" s="1"/>
      <c r="AW656" s="54"/>
      <c r="AX656" s="57"/>
      <c r="AY656" s="54"/>
      <c r="AZ656" s="54"/>
      <c r="BA656" s="54"/>
      <c r="BB656" s="54"/>
      <c r="BC656" s="57"/>
      <c r="BD656" s="1"/>
      <c r="BE656" s="1"/>
      <c r="BF656" s="1"/>
      <c r="BG656" s="54"/>
      <c r="BH656" s="43"/>
      <c r="BI656"/>
      <c r="BJ656" s="13"/>
      <c r="BK656" s="1"/>
      <c r="BL656"/>
      <c r="BM656"/>
      <c r="BN656"/>
      <c r="DY656" s="43"/>
      <c r="DZ656"/>
      <c r="EA656" s="19"/>
      <c r="EB656" s="19"/>
      <c r="EC656" s="9"/>
      <c r="ED656" s="9"/>
      <c r="EE656" s="9"/>
      <c r="EF656" s="9"/>
      <c r="EG656" s="9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3"/>
      <c r="FD656" s="13"/>
      <c r="FE656" s="13"/>
      <c r="FF656" s="13"/>
      <c r="FG656" s="13"/>
      <c r="FH656" s="13"/>
      <c r="FI656" s="13"/>
      <c r="FJ656" s="13"/>
      <c r="FK656" s="13"/>
      <c r="FL656" s="13"/>
      <c r="FM656" s="13"/>
      <c r="FN656" s="13"/>
      <c r="FO656" s="13"/>
      <c r="FP656" s="13"/>
      <c r="FQ656" s="13"/>
      <c r="FR656" s="13"/>
      <c r="FS656" s="13"/>
      <c r="FT656" s="13"/>
      <c r="FU656" s="13"/>
      <c r="FV656" s="13"/>
      <c r="FW656" s="13"/>
      <c r="FX656" s="13"/>
      <c r="FY656" s="13"/>
      <c r="FZ656" s="13"/>
      <c r="GA656" s="13"/>
    </row>
    <row r="657" spans="1:183" s="52" customFormat="1" ht="13.2" x14ac:dyDescent="0.25">
      <c r="A657" s="2"/>
      <c r="B657" s="2"/>
      <c r="C657" s="9">
        <v>29</v>
      </c>
      <c r="D657" s="9">
        <v>36</v>
      </c>
      <c r="E657" s="9">
        <v>38</v>
      </c>
      <c r="F657" s="9">
        <v>43</v>
      </c>
      <c r="G657" s="9">
        <v>49</v>
      </c>
      <c r="H657" s="9">
        <v>78</v>
      </c>
      <c r="I657" s="43"/>
      <c r="J657" s="9">
        <v>78</v>
      </c>
      <c r="K657" s="43"/>
      <c r="L657" s="39">
        <v>45171</v>
      </c>
      <c r="M657" s="43"/>
      <c r="N657"/>
      <c r="O657"/>
      <c r="P657"/>
      <c r="Q657"/>
      <c r="R657"/>
      <c r="S657"/>
      <c r="T657"/>
      <c r="U657"/>
      <c r="V657"/>
      <c r="X657" s="43"/>
      <c r="Y657"/>
      <c r="Z657"/>
      <c r="AA657"/>
      <c r="AB657"/>
      <c r="AC657"/>
      <c r="AD657"/>
      <c r="AE657"/>
      <c r="AF657"/>
      <c r="AG657"/>
      <c r="AI657" s="148"/>
      <c r="AJ657" s="1"/>
      <c r="AK657" s="1"/>
      <c r="AL657" s="54"/>
      <c r="AM657" s="1"/>
      <c r="AN657" s="43"/>
      <c r="AO657" s="1"/>
      <c r="AP657" s="1"/>
      <c r="AQ657" s="19"/>
      <c r="AR657" s="54"/>
      <c r="AS657" s="43"/>
      <c r="AT657" s="1"/>
      <c r="AU657" s="1"/>
      <c r="AV657" s="1"/>
      <c r="AW657" s="54"/>
      <c r="AX657" s="57"/>
      <c r="AY657" s="54"/>
      <c r="AZ657" s="54"/>
      <c r="BA657" s="54"/>
      <c r="BB657" s="54"/>
      <c r="BC657" s="57"/>
      <c r="BD657" s="1"/>
      <c r="BE657" s="1"/>
      <c r="BF657" s="1"/>
      <c r="BG657" s="54"/>
      <c r="BH657" s="43"/>
      <c r="BI657"/>
      <c r="BJ657" s="13"/>
      <c r="BK657" s="1"/>
      <c r="BL657"/>
      <c r="BM657"/>
      <c r="BN657"/>
      <c r="DY657" s="43"/>
      <c r="DZ657"/>
      <c r="EA657" s="19"/>
      <c r="EB657" s="19"/>
      <c r="EC657" s="9"/>
      <c r="ED657" s="9"/>
      <c r="EE657" s="9"/>
      <c r="EF657" s="9"/>
      <c r="EG657" s="9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  <c r="FT657" s="13"/>
      <c r="FU657" s="13"/>
      <c r="FV657" s="13"/>
      <c r="FW657" s="13"/>
      <c r="FX657" s="13"/>
      <c r="FY657" s="13"/>
      <c r="FZ657" s="13"/>
      <c r="GA657" s="13"/>
    </row>
    <row r="658" spans="1:183" s="52" customFormat="1" ht="13.2" x14ac:dyDescent="0.25">
      <c r="A658" s="2"/>
      <c r="B658" s="2"/>
      <c r="C658" s="9">
        <v>6</v>
      </c>
      <c r="D658" s="9">
        <v>20</v>
      </c>
      <c r="E658" s="9">
        <v>40</v>
      </c>
      <c r="F658" s="9">
        <v>46</v>
      </c>
      <c r="G658" s="9">
        <v>47</v>
      </c>
      <c r="H658" s="9">
        <v>48</v>
      </c>
      <c r="I658" s="43"/>
      <c r="J658" s="9">
        <v>48</v>
      </c>
      <c r="K658" s="43"/>
      <c r="L658" s="39">
        <v>45168</v>
      </c>
      <c r="M658" s="43"/>
      <c r="N658"/>
      <c r="O658"/>
      <c r="P658"/>
      <c r="Q658"/>
      <c r="R658"/>
      <c r="S658"/>
      <c r="T658"/>
      <c r="U658"/>
      <c r="V658"/>
      <c r="X658" s="43"/>
      <c r="Y658"/>
      <c r="Z658"/>
      <c r="AA658"/>
      <c r="AB658"/>
      <c r="AC658"/>
      <c r="AD658"/>
      <c r="AE658"/>
      <c r="AF658"/>
      <c r="AG658"/>
      <c r="AI658" s="148"/>
      <c r="AJ658" s="1"/>
      <c r="AK658" s="1"/>
      <c r="AL658" s="54"/>
      <c r="AM658" s="1"/>
      <c r="AN658" s="43"/>
      <c r="AO658" s="1"/>
      <c r="AP658" s="1"/>
      <c r="AQ658" s="19"/>
      <c r="AR658" s="54"/>
      <c r="AS658" s="43"/>
      <c r="AT658" s="1"/>
      <c r="AU658" s="1"/>
      <c r="AV658" s="1"/>
      <c r="AW658" s="54"/>
      <c r="AX658" s="57"/>
      <c r="AY658" s="54"/>
      <c r="AZ658" s="54"/>
      <c r="BA658" s="54"/>
      <c r="BB658" s="54"/>
      <c r="BC658" s="57"/>
      <c r="BD658" s="1"/>
      <c r="BE658" s="1"/>
      <c r="BF658" s="1"/>
      <c r="BG658" s="54"/>
      <c r="BH658" s="43"/>
      <c r="BI658"/>
      <c r="BJ658" s="13"/>
      <c r="BK658" s="1"/>
      <c r="BL658"/>
      <c r="BM658"/>
      <c r="BN658"/>
      <c r="DY658" s="43"/>
      <c r="DZ658"/>
      <c r="EA658" s="19"/>
      <c r="EB658" s="19"/>
      <c r="EC658" s="9"/>
      <c r="ED658" s="9"/>
      <c r="EE658" s="9"/>
      <c r="EF658" s="9"/>
      <c r="EG658" s="9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  <c r="FT658" s="13"/>
      <c r="FU658" s="13"/>
      <c r="FV658" s="13"/>
      <c r="FW658" s="13"/>
      <c r="FX658" s="13"/>
      <c r="FY658" s="13"/>
      <c r="FZ658" s="13"/>
      <c r="GA658" s="13"/>
    </row>
    <row r="659" spans="1:183" s="52" customFormat="1" ht="13.2" x14ac:dyDescent="0.25">
      <c r="A659" s="2"/>
      <c r="B659" s="2"/>
      <c r="C659" s="9">
        <v>1</v>
      </c>
      <c r="D659" s="9">
        <v>29</v>
      </c>
      <c r="E659" s="9">
        <v>36</v>
      </c>
      <c r="F659" s="9">
        <v>48</v>
      </c>
      <c r="G659" s="9">
        <v>60</v>
      </c>
      <c r="H659" s="9">
        <v>89</v>
      </c>
      <c r="I659" s="43"/>
      <c r="J659" s="9">
        <v>89</v>
      </c>
      <c r="K659" s="43"/>
      <c r="L659" s="39">
        <v>45166</v>
      </c>
      <c r="M659" s="43"/>
      <c r="N659"/>
      <c r="O659"/>
      <c r="P659"/>
      <c r="Q659"/>
      <c r="R659"/>
      <c r="S659"/>
      <c r="T659"/>
      <c r="U659"/>
      <c r="V659"/>
      <c r="X659" s="43"/>
      <c r="Y659"/>
      <c r="Z659"/>
      <c r="AA659"/>
      <c r="AB659"/>
      <c r="AC659"/>
      <c r="AD659"/>
      <c r="AE659"/>
      <c r="AF659"/>
      <c r="AG659"/>
      <c r="AI659" s="148"/>
      <c r="AJ659" s="1"/>
      <c r="AK659" s="1"/>
      <c r="AL659" s="54"/>
      <c r="AM659" s="1"/>
      <c r="AN659" s="43"/>
      <c r="AO659" s="1"/>
      <c r="AP659" s="1"/>
      <c r="AQ659" s="19"/>
      <c r="AR659" s="54"/>
      <c r="AS659" s="43"/>
      <c r="AT659" s="1"/>
      <c r="AU659" s="1"/>
      <c r="AV659" s="1"/>
      <c r="AW659" s="54"/>
      <c r="AX659" s="57"/>
      <c r="AY659" s="54"/>
      <c r="AZ659" s="54"/>
      <c r="BA659" s="54"/>
      <c r="BB659" s="54"/>
      <c r="BC659" s="57"/>
      <c r="BD659" s="1"/>
      <c r="BE659" s="1"/>
      <c r="BF659" s="1"/>
      <c r="BG659" s="54"/>
      <c r="BH659" s="43"/>
      <c r="BI659"/>
      <c r="BJ659" s="13"/>
      <c r="BK659" s="1"/>
      <c r="BL659"/>
      <c r="BM659"/>
      <c r="BN659"/>
      <c r="DY659" s="43"/>
      <c r="DZ659"/>
      <c r="EA659" s="19"/>
      <c r="EB659" s="19"/>
      <c r="EC659" s="9"/>
      <c r="ED659" s="9"/>
      <c r="EE659" s="9"/>
      <c r="EF659" s="9"/>
      <c r="EG659" s="9"/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3"/>
      <c r="FD659" s="13"/>
      <c r="FE659" s="13"/>
      <c r="FF659" s="13"/>
      <c r="FG659" s="13"/>
      <c r="FH659" s="13"/>
      <c r="FI659" s="13"/>
      <c r="FJ659" s="13"/>
      <c r="FK659" s="13"/>
      <c r="FL659" s="13"/>
      <c r="FM659" s="13"/>
      <c r="FN659" s="13"/>
      <c r="FO659" s="13"/>
      <c r="FP659" s="13"/>
      <c r="FQ659" s="13"/>
      <c r="FR659" s="13"/>
      <c r="FS659" s="13"/>
      <c r="FT659" s="13"/>
      <c r="FU659" s="13"/>
      <c r="FV659" s="13"/>
      <c r="FW659" s="13"/>
      <c r="FX659" s="13"/>
      <c r="FY659" s="13"/>
      <c r="FZ659" s="13"/>
      <c r="GA659" s="13"/>
    </row>
    <row r="660" spans="1:183" s="52" customFormat="1" ht="13.2" x14ac:dyDescent="0.25">
      <c r="A660" s="2"/>
      <c r="B660" s="2"/>
      <c r="C660" s="9">
        <v>15</v>
      </c>
      <c r="D660" s="9">
        <v>30</v>
      </c>
      <c r="E660" s="9">
        <v>72</v>
      </c>
      <c r="F660" s="9">
        <v>76</v>
      </c>
      <c r="G660" s="9">
        <v>78</v>
      </c>
      <c r="H660" s="9">
        <v>79</v>
      </c>
      <c r="I660" s="43"/>
      <c r="J660" s="9">
        <v>79</v>
      </c>
      <c r="K660" s="43"/>
      <c r="L660" s="39">
        <v>45164</v>
      </c>
      <c r="M660" s="43"/>
      <c r="N660"/>
      <c r="O660"/>
      <c r="P660"/>
      <c r="Q660"/>
      <c r="R660"/>
      <c r="S660"/>
      <c r="T660"/>
      <c r="U660"/>
      <c r="V660"/>
      <c r="X660" s="43"/>
      <c r="Y660"/>
      <c r="Z660"/>
      <c r="AA660"/>
      <c r="AB660"/>
      <c r="AC660"/>
      <c r="AD660"/>
      <c r="AE660"/>
      <c r="AF660"/>
      <c r="AG660"/>
      <c r="AI660" s="148"/>
      <c r="AJ660" s="1"/>
      <c r="AK660" s="1"/>
      <c r="AL660" s="54"/>
      <c r="AM660" s="1"/>
      <c r="AN660" s="43"/>
      <c r="AO660" s="1"/>
      <c r="AP660" s="1"/>
      <c r="AQ660" s="19"/>
      <c r="AR660" s="54"/>
      <c r="AS660" s="43"/>
      <c r="AT660" s="1"/>
      <c r="AU660" s="1"/>
      <c r="AV660" s="1"/>
      <c r="AW660" s="54"/>
      <c r="AX660" s="57"/>
      <c r="AY660" s="54"/>
      <c r="AZ660" s="54"/>
      <c r="BA660" s="54"/>
      <c r="BB660" s="54"/>
      <c r="BC660" s="57"/>
      <c r="BD660" s="1"/>
      <c r="BE660" s="1"/>
      <c r="BF660" s="1"/>
      <c r="BG660" s="54"/>
      <c r="BH660" s="43"/>
      <c r="BI660"/>
      <c r="BJ660" s="13"/>
      <c r="BK660" s="1"/>
      <c r="BL660"/>
      <c r="BM660"/>
      <c r="BN660"/>
      <c r="DY660" s="43"/>
      <c r="DZ660"/>
      <c r="EA660" s="19"/>
      <c r="EB660" s="19"/>
      <c r="EC660" s="9"/>
      <c r="ED660" s="9"/>
      <c r="EE660" s="9"/>
      <c r="EF660" s="9"/>
      <c r="EG660" s="9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  <c r="FI660" s="13"/>
      <c r="FJ660" s="13"/>
      <c r="FK660" s="13"/>
      <c r="FL660" s="13"/>
      <c r="FM660" s="13"/>
      <c r="FN660" s="13"/>
      <c r="FO660" s="13"/>
      <c r="FP660" s="13"/>
      <c r="FQ660" s="13"/>
      <c r="FR660" s="13"/>
      <c r="FS660" s="13"/>
      <c r="FT660" s="13"/>
      <c r="FU660" s="13"/>
      <c r="FV660" s="13"/>
      <c r="FW660" s="13"/>
      <c r="FX660" s="13"/>
      <c r="FY660" s="13"/>
      <c r="FZ660" s="13"/>
      <c r="GA660" s="13"/>
    </row>
    <row r="661" spans="1:183" s="52" customFormat="1" ht="13.2" x14ac:dyDescent="0.25">
      <c r="A661" s="2"/>
      <c r="B661" s="2"/>
      <c r="C661" s="9">
        <v>9</v>
      </c>
      <c r="D661" s="9">
        <v>18</v>
      </c>
      <c r="E661" s="9">
        <v>24</v>
      </c>
      <c r="F661" s="9">
        <v>42</v>
      </c>
      <c r="G661" s="9">
        <v>76</v>
      </c>
      <c r="H661" s="9">
        <v>86</v>
      </c>
      <c r="I661" s="43"/>
      <c r="J661" s="9">
        <v>86</v>
      </c>
      <c r="K661" s="43"/>
      <c r="L661" s="39">
        <v>45161</v>
      </c>
      <c r="M661" s="43"/>
      <c r="N661"/>
      <c r="O661"/>
      <c r="P661"/>
      <c r="Q661"/>
      <c r="R661"/>
      <c r="S661"/>
      <c r="T661"/>
      <c r="U661"/>
      <c r="V661"/>
      <c r="X661" s="43"/>
      <c r="Y661"/>
      <c r="Z661"/>
      <c r="AA661"/>
      <c r="AB661"/>
      <c r="AC661"/>
      <c r="AD661"/>
      <c r="AE661"/>
      <c r="AF661"/>
      <c r="AG661"/>
      <c r="AI661" s="148"/>
      <c r="AJ661" s="1"/>
      <c r="AK661" s="1"/>
      <c r="AL661" s="54"/>
      <c r="AM661" s="1"/>
      <c r="AN661" s="43"/>
      <c r="AO661" s="1"/>
      <c r="AP661" s="1"/>
      <c r="AQ661" s="19"/>
      <c r="AR661" s="54"/>
      <c r="AS661" s="43"/>
      <c r="AT661" s="1"/>
      <c r="AU661" s="1"/>
      <c r="AV661" s="1"/>
      <c r="AW661" s="54"/>
      <c r="AX661" s="57"/>
      <c r="AY661" s="54"/>
      <c r="AZ661" s="54"/>
      <c r="BA661" s="54"/>
      <c r="BB661" s="54"/>
      <c r="BC661" s="57"/>
      <c r="BD661" s="1"/>
      <c r="BE661" s="1"/>
      <c r="BF661" s="1"/>
      <c r="BG661" s="54"/>
      <c r="BH661" s="43"/>
      <c r="BI661"/>
      <c r="BJ661" s="13"/>
      <c r="BK661" s="1"/>
      <c r="BL661"/>
      <c r="BM661"/>
      <c r="BN661"/>
      <c r="DY661" s="43"/>
      <c r="DZ661"/>
      <c r="EA661" s="19"/>
      <c r="EB661" s="19"/>
      <c r="EC661" s="9"/>
      <c r="ED661" s="9"/>
      <c r="EE661" s="9"/>
      <c r="EF661" s="9"/>
      <c r="EG661" s="9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3"/>
      <c r="FJ661" s="13"/>
      <c r="FK661" s="13"/>
      <c r="FL661" s="13"/>
      <c r="FM661" s="13"/>
      <c r="FN661" s="13"/>
      <c r="FO661" s="13"/>
      <c r="FP661" s="13"/>
      <c r="FQ661" s="13"/>
      <c r="FR661" s="13"/>
      <c r="FS661" s="13"/>
      <c r="FT661" s="13"/>
      <c r="FU661" s="13"/>
      <c r="FV661" s="13"/>
      <c r="FW661" s="13"/>
      <c r="FX661" s="13"/>
      <c r="FY661" s="13"/>
      <c r="FZ661" s="13"/>
      <c r="GA661" s="13"/>
    </row>
    <row r="662" spans="1:183" s="52" customFormat="1" ht="13.2" x14ac:dyDescent="0.25">
      <c r="A662" s="2"/>
      <c r="B662" s="2"/>
      <c r="C662" s="9">
        <v>17</v>
      </c>
      <c r="D662" s="9">
        <v>20</v>
      </c>
      <c r="E662" s="9">
        <v>32</v>
      </c>
      <c r="F662" s="9">
        <v>33</v>
      </c>
      <c r="G662" s="9">
        <v>49</v>
      </c>
      <c r="H662" s="9">
        <v>57</v>
      </c>
      <c r="I662" s="43"/>
      <c r="J662" s="9">
        <v>57</v>
      </c>
      <c r="K662" s="43"/>
      <c r="L662" s="39">
        <v>45159</v>
      </c>
      <c r="M662" s="43"/>
      <c r="N662"/>
      <c r="O662"/>
      <c r="P662"/>
      <c r="Q662"/>
      <c r="R662"/>
      <c r="S662"/>
      <c r="T662"/>
      <c r="U662"/>
      <c r="V662"/>
      <c r="X662" s="43"/>
      <c r="Y662"/>
      <c r="Z662"/>
      <c r="AA662"/>
      <c r="AB662"/>
      <c r="AC662"/>
      <c r="AD662"/>
      <c r="AE662"/>
      <c r="AF662"/>
      <c r="AG662"/>
      <c r="AI662" s="148"/>
      <c r="AJ662" s="1"/>
      <c r="AK662" s="1"/>
      <c r="AL662" s="54"/>
      <c r="AM662" s="1"/>
      <c r="AN662" s="43"/>
      <c r="AO662" s="1"/>
      <c r="AP662" s="1"/>
      <c r="AQ662" s="19"/>
      <c r="AR662" s="54"/>
      <c r="AS662" s="43"/>
      <c r="AT662" s="1"/>
      <c r="AU662" s="1"/>
      <c r="AV662" s="1"/>
      <c r="AW662" s="54"/>
      <c r="AX662" s="57"/>
      <c r="AY662" s="54"/>
      <c r="AZ662" s="54"/>
      <c r="BA662" s="54"/>
      <c r="BB662" s="54"/>
      <c r="BC662" s="57"/>
      <c r="BD662" s="1"/>
      <c r="BE662" s="1"/>
      <c r="BF662" s="1"/>
      <c r="BG662" s="54"/>
      <c r="BH662" s="43"/>
      <c r="BI662"/>
      <c r="BJ662" s="13"/>
      <c r="BK662" s="1"/>
      <c r="BL662"/>
      <c r="BM662"/>
      <c r="BN662"/>
      <c r="DY662" s="43"/>
      <c r="DZ662"/>
      <c r="EA662" s="19"/>
      <c r="EB662" s="19"/>
      <c r="EC662" s="9"/>
      <c r="ED662" s="9"/>
      <c r="EE662" s="9"/>
      <c r="EF662" s="9"/>
      <c r="EG662" s="9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  <c r="FI662" s="13"/>
      <c r="FJ662" s="13"/>
      <c r="FK662" s="13"/>
      <c r="FL662" s="13"/>
      <c r="FM662" s="13"/>
      <c r="FN662" s="13"/>
      <c r="FO662" s="13"/>
      <c r="FP662" s="13"/>
      <c r="FQ662" s="13"/>
      <c r="FR662" s="13"/>
      <c r="FS662" s="13"/>
      <c r="FT662" s="13"/>
      <c r="FU662" s="13"/>
      <c r="FV662" s="13"/>
      <c r="FW662" s="13"/>
      <c r="FX662" s="13"/>
      <c r="FY662" s="13"/>
      <c r="FZ662" s="13"/>
      <c r="GA662" s="13"/>
    </row>
    <row r="663" spans="1:183" s="52" customFormat="1" ht="13.2" x14ac:dyDescent="0.25">
      <c r="A663" s="2"/>
      <c r="B663" s="2"/>
      <c r="C663" s="9">
        <v>37</v>
      </c>
      <c r="D663" s="9">
        <v>45</v>
      </c>
      <c r="E663" s="9">
        <v>48</v>
      </c>
      <c r="F663" s="9">
        <v>55</v>
      </c>
      <c r="G663" s="9">
        <v>73</v>
      </c>
      <c r="H663" s="9">
        <v>84</v>
      </c>
      <c r="I663" s="43"/>
      <c r="J663" s="9">
        <v>84</v>
      </c>
      <c r="K663" s="43"/>
      <c r="L663" s="39">
        <v>45157</v>
      </c>
      <c r="M663" s="43"/>
      <c r="N663"/>
      <c r="O663"/>
      <c r="P663"/>
      <c r="Q663"/>
      <c r="R663"/>
      <c r="S663"/>
      <c r="T663"/>
      <c r="U663"/>
      <c r="V663"/>
      <c r="X663" s="43"/>
      <c r="Y663"/>
      <c r="Z663"/>
      <c r="AA663"/>
      <c r="AB663"/>
      <c r="AC663"/>
      <c r="AD663"/>
      <c r="AE663"/>
      <c r="AF663"/>
      <c r="AG663"/>
      <c r="AI663" s="148"/>
      <c r="AJ663" s="1"/>
      <c r="AK663" s="1"/>
      <c r="AL663" s="54"/>
      <c r="AM663" s="1"/>
      <c r="AN663" s="43"/>
      <c r="AO663" s="1"/>
      <c r="AP663" s="1"/>
      <c r="AQ663" s="19"/>
      <c r="AR663" s="54"/>
      <c r="AS663" s="43"/>
      <c r="AT663" s="1"/>
      <c r="AU663" s="1"/>
      <c r="AV663" s="1"/>
      <c r="AW663" s="54"/>
      <c r="AX663" s="57"/>
      <c r="AY663" s="54"/>
      <c r="AZ663" s="54"/>
      <c r="BA663" s="54"/>
      <c r="BB663" s="54"/>
      <c r="BC663" s="57"/>
      <c r="BD663" s="1"/>
      <c r="BE663" s="1"/>
      <c r="BF663" s="1"/>
      <c r="BG663" s="54"/>
      <c r="BH663" s="43"/>
      <c r="BI663"/>
      <c r="BJ663" s="13"/>
      <c r="BK663" s="1"/>
      <c r="BL663"/>
      <c r="BM663"/>
      <c r="BN663"/>
      <c r="DY663" s="43"/>
      <c r="DZ663"/>
      <c r="EA663" s="19"/>
      <c r="EB663" s="19"/>
      <c r="EC663" s="9"/>
      <c r="ED663" s="9"/>
      <c r="EE663" s="9"/>
      <c r="EF663" s="9"/>
      <c r="EG663" s="9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3"/>
      <c r="FD663" s="13"/>
      <c r="FE663" s="13"/>
      <c r="FF663" s="13"/>
      <c r="FG663" s="13"/>
      <c r="FH663" s="13"/>
      <c r="FI663" s="13"/>
      <c r="FJ663" s="13"/>
      <c r="FK663" s="13"/>
      <c r="FL663" s="13"/>
      <c r="FM663" s="13"/>
      <c r="FN663" s="13"/>
      <c r="FO663" s="13"/>
      <c r="FP663" s="13"/>
      <c r="FQ663" s="13"/>
      <c r="FR663" s="13"/>
      <c r="FS663" s="13"/>
      <c r="FT663" s="13"/>
      <c r="FU663" s="13"/>
      <c r="FV663" s="13"/>
      <c r="FW663" s="13"/>
      <c r="FX663" s="13"/>
      <c r="FY663" s="13"/>
      <c r="FZ663" s="13"/>
      <c r="GA663" s="13"/>
    </row>
    <row r="664" spans="1:183" s="52" customFormat="1" ht="13.2" x14ac:dyDescent="0.25">
      <c r="A664" s="2"/>
      <c r="B664" s="2"/>
      <c r="C664" s="9">
        <v>45</v>
      </c>
      <c r="D664" s="9">
        <v>58</v>
      </c>
      <c r="E664" s="9">
        <v>66</v>
      </c>
      <c r="F664" s="9">
        <v>79</v>
      </c>
      <c r="G664" s="9">
        <v>84</v>
      </c>
      <c r="H664" s="9">
        <v>89</v>
      </c>
      <c r="I664" s="43"/>
      <c r="J664" s="9">
        <v>89</v>
      </c>
      <c r="K664" s="43"/>
      <c r="L664" s="39">
        <v>45154</v>
      </c>
      <c r="M664" s="43"/>
      <c r="N664"/>
      <c r="O664"/>
      <c r="P664"/>
      <c r="Q664"/>
      <c r="R664"/>
      <c r="S664"/>
      <c r="T664"/>
      <c r="U664"/>
      <c r="V664"/>
      <c r="X664" s="43"/>
      <c r="Y664"/>
      <c r="Z664"/>
      <c r="AA664"/>
      <c r="AB664"/>
      <c r="AC664"/>
      <c r="AD664"/>
      <c r="AE664"/>
      <c r="AF664"/>
      <c r="AG664"/>
      <c r="AI664" s="148"/>
      <c r="AJ664" s="1"/>
      <c r="AK664" s="1"/>
      <c r="AL664" s="54"/>
      <c r="AM664" s="1"/>
      <c r="AN664" s="43"/>
      <c r="AO664" s="1"/>
      <c r="AP664" s="1"/>
      <c r="AQ664" s="19"/>
      <c r="AR664" s="54"/>
      <c r="AS664" s="43"/>
      <c r="AT664" s="1"/>
      <c r="AU664" s="1"/>
      <c r="AV664" s="1"/>
      <c r="AW664" s="54"/>
      <c r="AX664" s="57"/>
      <c r="AY664" s="54"/>
      <c r="AZ664" s="54"/>
      <c r="BA664" s="54"/>
      <c r="BB664" s="54"/>
      <c r="BC664" s="57"/>
      <c r="BD664" s="1"/>
      <c r="BE664" s="1"/>
      <c r="BF664" s="1"/>
      <c r="BG664" s="54"/>
      <c r="BH664" s="43"/>
      <c r="BI664"/>
      <c r="BJ664" s="13"/>
      <c r="BK664" s="1"/>
      <c r="BL664"/>
      <c r="BM664"/>
      <c r="BN664"/>
      <c r="DY664" s="43"/>
      <c r="DZ664"/>
      <c r="EA664" s="19"/>
      <c r="EB664" s="19"/>
      <c r="EC664" s="9"/>
      <c r="ED664" s="9"/>
      <c r="EE664" s="9"/>
      <c r="EF664" s="9"/>
      <c r="EG664" s="9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  <c r="FI664" s="13"/>
      <c r="FJ664" s="13"/>
      <c r="FK664" s="13"/>
      <c r="FL664" s="13"/>
      <c r="FM664" s="13"/>
      <c r="FN664" s="13"/>
      <c r="FO664" s="13"/>
      <c r="FP664" s="13"/>
      <c r="FQ664" s="13"/>
      <c r="FR664" s="13"/>
      <c r="FS664" s="13"/>
      <c r="FT664" s="13"/>
      <c r="FU664" s="13"/>
      <c r="FV664" s="13"/>
      <c r="FW664" s="13"/>
      <c r="FX664" s="13"/>
      <c r="FY664" s="13"/>
      <c r="FZ664" s="13"/>
      <c r="GA664" s="13"/>
    </row>
    <row r="665" spans="1:183" s="52" customFormat="1" ht="13.2" x14ac:dyDescent="0.25">
      <c r="A665" s="2"/>
      <c r="B665" s="2"/>
      <c r="C665" s="9">
        <v>5</v>
      </c>
      <c r="D665" s="9">
        <v>6</v>
      </c>
      <c r="E665" s="9">
        <v>31</v>
      </c>
      <c r="F665" s="9">
        <v>66</v>
      </c>
      <c r="G665" s="9">
        <v>67</v>
      </c>
      <c r="H665" s="9">
        <v>77</v>
      </c>
      <c r="I665" s="43"/>
      <c r="J665" s="9">
        <v>77</v>
      </c>
      <c r="K665" s="43"/>
      <c r="L665" s="39">
        <v>45152</v>
      </c>
      <c r="M665" s="43"/>
      <c r="N665"/>
      <c r="O665"/>
      <c r="P665"/>
      <c r="Q665"/>
      <c r="R665"/>
      <c r="S665"/>
      <c r="T665"/>
      <c r="U665"/>
      <c r="V665"/>
      <c r="X665" s="43"/>
      <c r="Y665"/>
      <c r="Z665"/>
      <c r="AA665"/>
      <c r="AB665"/>
      <c r="AC665"/>
      <c r="AD665"/>
      <c r="AE665"/>
      <c r="AF665"/>
      <c r="AG665"/>
      <c r="AI665" s="148"/>
      <c r="AJ665" s="1"/>
      <c r="AK665" s="1"/>
      <c r="AL665" s="54"/>
      <c r="AM665" s="1"/>
      <c r="AN665" s="43"/>
      <c r="AO665" s="1"/>
      <c r="AP665" s="1"/>
      <c r="AQ665" s="19"/>
      <c r="AR665" s="54"/>
      <c r="AS665" s="43"/>
      <c r="AT665" s="1"/>
      <c r="AU665" s="1"/>
      <c r="AV665" s="1"/>
      <c r="AW665" s="54"/>
      <c r="AX665" s="57"/>
      <c r="AY665" s="54"/>
      <c r="AZ665" s="54"/>
      <c r="BA665" s="54"/>
      <c r="BB665" s="54"/>
      <c r="BC665" s="57"/>
      <c r="BD665" s="1"/>
      <c r="BE665" s="1"/>
      <c r="BF665" s="1"/>
      <c r="BG665" s="54"/>
      <c r="BH665" s="43"/>
      <c r="BI665"/>
      <c r="BJ665" s="13"/>
      <c r="BK665" s="1"/>
      <c r="BL665"/>
      <c r="BM665"/>
      <c r="BN665"/>
      <c r="DY665" s="43"/>
      <c r="DZ665"/>
      <c r="EA665" s="19"/>
      <c r="EB665" s="19"/>
      <c r="EC665" s="9"/>
      <c r="ED665" s="9"/>
      <c r="EE665" s="9"/>
      <c r="EF665" s="9"/>
      <c r="EG665" s="9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3"/>
      <c r="FJ665" s="13"/>
      <c r="FK665" s="13"/>
      <c r="FL665" s="13"/>
      <c r="FM665" s="13"/>
      <c r="FN665" s="13"/>
      <c r="FO665" s="13"/>
      <c r="FP665" s="13"/>
      <c r="FQ665" s="13"/>
      <c r="FR665" s="13"/>
      <c r="FS665" s="13"/>
      <c r="FT665" s="13"/>
      <c r="FU665" s="13"/>
      <c r="FV665" s="13"/>
      <c r="FW665" s="13"/>
      <c r="FX665" s="13"/>
      <c r="FY665" s="13"/>
      <c r="FZ665" s="13"/>
      <c r="GA665" s="13"/>
    </row>
    <row r="666" spans="1:183" s="43" customFormat="1" ht="13.2" x14ac:dyDescent="0.25">
      <c r="A666" s="2"/>
      <c r="B666" s="2"/>
      <c r="C666" s="9">
        <v>39</v>
      </c>
      <c r="D666" s="9">
        <v>59</v>
      </c>
      <c r="E666" s="9">
        <v>60</v>
      </c>
      <c r="F666" s="9">
        <v>63</v>
      </c>
      <c r="G666" s="9">
        <v>81</v>
      </c>
      <c r="H666" s="9">
        <v>84</v>
      </c>
      <c r="J666" s="9">
        <v>84</v>
      </c>
      <c r="L666" s="39">
        <v>45150</v>
      </c>
      <c r="N666"/>
      <c r="O666"/>
      <c r="P666"/>
      <c r="Q666"/>
      <c r="R666"/>
      <c r="S666"/>
      <c r="T666"/>
      <c r="U666"/>
      <c r="V666"/>
      <c r="W666" s="52"/>
      <c r="Y666"/>
      <c r="Z666"/>
      <c r="AA666"/>
      <c r="AB666"/>
      <c r="AC666"/>
      <c r="AD666"/>
      <c r="AE666"/>
      <c r="AF666"/>
      <c r="AG666"/>
      <c r="AH666" s="52"/>
      <c r="AI666" s="148"/>
      <c r="AJ666" s="1"/>
      <c r="AK666" s="1"/>
      <c r="AL666" s="54"/>
      <c r="AM666" s="1"/>
      <c r="AO666" s="1"/>
      <c r="AP666" s="1"/>
      <c r="AQ666" s="1"/>
      <c r="AR666" s="54"/>
      <c r="AT666" s="1"/>
      <c r="AU666" s="1"/>
      <c r="AV666" s="1"/>
      <c r="AW666" s="54"/>
      <c r="AX666" s="57"/>
      <c r="AY666" s="54"/>
      <c r="AZ666" s="54"/>
      <c r="BA666" s="54"/>
      <c r="BB666" s="54"/>
      <c r="BC666" s="57"/>
      <c r="BD666" s="1"/>
      <c r="BE666" s="1"/>
      <c r="BF666" s="1"/>
      <c r="BG666" s="54"/>
      <c r="BI666"/>
      <c r="BJ666" s="13"/>
      <c r="BK666" s="1"/>
      <c r="BL666"/>
      <c r="BM666"/>
      <c r="BN666"/>
      <c r="BO666" s="52"/>
      <c r="BP666" s="52"/>
      <c r="BQ666" s="52"/>
      <c r="BR666" s="52"/>
      <c r="BS666" s="52"/>
      <c r="BT666" s="52"/>
      <c r="BU666" s="52"/>
      <c r="BV666" s="52"/>
      <c r="BW666" s="52"/>
      <c r="BX666" s="52"/>
      <c r="BY666" s="52"/>
      <c r="BZ666" s="52"/>
      <c r="CA666" s="52"/>
      <c r="CB666" s="52"/>
      <c r="CC666" s="52"/>
      <c r="CD666" s="52"/>
      <c r="CE666" s="52"/>
      <c r="CF666" s="52"/>
      <c r="CG666" s="52"/>
      <c r="CH666" s="52"/>
      <c r="CI666" s="52"/>
      <c r="CJ666" s="52"/>
      <c r="CK666" s="52"/>
      <c r="CL666" s="52"/>
      <c r="CM666" s="52"/>
      <c r="CN666" s="52"/>
      <c r="CO666" s="52"/>
      <c r="CP666" s="52"/>
      <c r="CQ666" s="52"/>
      <c r="CR666" s="52"/>
      <c r="CS666" s="52"/>
      <c r="CT666" s="52"/>
      <c r="CU666" s="52"/>
      <c r="CV666" s="52"/>
      <c r="CW666" s="52"/>
      <c r="CX666" s="52"/>
      <c r="CY666" s="52"/>
      <c r="CZ666" s="52"/>
      <c r="DA666" s="52"/>
      <c r="DB666" s="52"/>
      <c r="DC666" s="52"/>
      <c r="DD666" s="52"/>
      <c r="DE666" s="52"/>
      <c r="DF666" s="52"/>
      <c r="DG666" s="52"/>
      <c r="DH666" s="52"/>
      <c r="DI666" s="52"/>
      <c r="DJ666" s="52"/>
      <c r="DK666" s="52"/>
      <c r="DL666" s="52"/>
      <c r="DM666" s="52"/>
      <c r="DN666" s="52"/>
      <c r="DO666" s="52"/>
      <c r="DP666" s="52"/>
      <c r="DQ666" s="52"/>
      <c r="DR666" s="52"/>
      <c r="DS666" s="52"/>
      <c r="DT666" s="52"/>
      <c r="DU666" s="52"/>
      <c r="DV666" s="52"/>
      <c r="DW666" s="52"/>
      <c r="DX666" s="52"/>
      <c r="DZ666"/>
      <c r="EA666" s="19"/>
      <c r="EB666" s="19"/>
      <c r="EC666" s="9"/>
      <c r="ED666" s="9"/>
      <c r="EE666" s="9"/>
      <c r="EF666" s="9"/>
      <c r="EG666" s="9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3"/>
      <c r="FD666" s="13"/>
      <c r="FE666" s="13"/>
      <c r="FF666" s="13"/>
      <c r="FG666" s="13"/>
      <c r="FH666" s="13"/>
      <c r="FI666" s="13"/>
      <c r="FJ666" s="13"/>
      <c r="FK666" s="13"/>
      <c r="FL666" s="13"/>
      <c r="FM666" s="13"/>
      <c r="FN666" s="13"/>
      <c r="FO666" s="13"/>
      <c r="FP666" s="13"/>
      <c r="FQ666" s="13"/>
      <c r="FR666" s="13"/>
      <c r="FS666" s="13"/>
      <c r="FT666" s="13"/>
      <c r="FU666" s="13"/>
      <c r="FV666" s="13"/>
      <c r="FW666" s="13"/>
      <c r="FX666" s="13"/>
      <c r="FY666" s="13"/>
      <c r="FZ666" s="13"/>
      <c r="GA666" s="13"/>
    </row>
    <row r="667" spans="1:183" s="43" customFormat="1" ht="13.2" x14ac:dyDescent="0.25">
      <c r="A667" s="2"/>
      <c r="B667" s="2"/>
      <c r="C667" s="9">
        <v>20</v>
      </c>
      <c r="D667" s="9">
        <v>36</v>
      </c>
      <c r="E667" s="9">
        <v>39</v>
      </c>
      <c r="F667" s="9">
        <v>69</v>
      </c>
      <c r="G667" s="9">
        <v>71</v>
      </c>
      <c r="H667" s="9">
        <v>75</v>
      </c>
      <c r="J667" s="9">
        <v>75</v>
      </c>
      <c r="L667" s="39">
        <v>45140</v>
      </c>
      <c r="N667"/>
      <c r="O667"/>
      <c r="P667"/>
      <c r="Q667"/>
      <c r="R667"/>
      <c r="S667"/>
      <c r="T667"/>
      <c r="U667"/>
      <c r="V667"/>
      <c r="W667" s="52"/>
      <c r="Y667"/>
      <c r="Z667"/>
      <c r="AA667"/>
      <c r="AB667"/>
      <c r="AC667"/>
      <c r="AD667"/>
      <c r="AE667"/>
      <c r="AF667"/>
      <c r="AG667"/>
      <c r="AH667" s="52"/>
      <c r="AI667" s="148"/>
      <c r="AJ667" s="1"/>
      <c r="AK667" s="1"/>
      <c r="AL667" s="54"/>
      <c r="AM667" s="1"/>
      <c r="AO667" s="1"/>
      <c r="AP667" s="1"/>
      <c r="AQ667" s="1"/>
      <c r="AR667" s="54"/>
      <c r="AT667" s="1"/>
      <c r="AU667" s="1"/>
      <c r="AV667" s="1"/>
      <c r="AW667" s="54"/>
      <c r="AX667" s="57"/>
      <c r="AY667" s="54"/>
      <c r="AZ667" s="54"/>
      <c r="BA667" s="54"/>
      <c r="BB667" s="54"/>
      <c r="BC667" s="57"/>
      <c r="BD667" s="1"/>
      <c r="BE667" s="1"/>
      <c r="BF667" s="1"/>
      <c r="BG667" s="54"/>
      <c r="BI667"/>
      <c r="BJ667" s="13"/>
      <c r="BK667" s="1"/>
      <c r="BL667"/>
      <c r="BM667"/>
      <c r="BN667"/>
      <c r="BO667" s="52"/>
      <c r="BP667" s="52"/>
      <c r="BQ667" s="52"/>
      <c r="BR667" s="52"/>
      <c r="BS667" s="52"/>
      <c r="BT667" s="52"/>
      <c r="BU667" s="52"/>
      <c r="BV667" s="52"/>
      <c r="BW667" s="52"/>
      <c r="BX667" s="52"/>
      <c r="BY667" s="52"/>
      <c r="BZ667" s="52"/>
      <c r="CA667" s="52"/>
      <c r="CB667" s="52"/>
      <c r="CC667" s="52"/>
      <c r="CD667" s="52"/>
      <c r="CE667" s="52"/>
      <c r="CF667" s="52"/>
      <c r="CG667" s="52"/>
      <c r="CH667" s="52"/>
      <c r="CI667" s="52"/>
      <c r="CJ667" s="52"/>
      <c r="CK667" s="52"/>
      <c r="CL667" s="52"/>
      <c r="CM667" s="52"/>
      <c r="CN667" s="52"/>
      <c r="CO667" s="52"/>
      <c r="CP667" s="52"/>
      <c r="CQ667" s="52"/>
      <c r="CR667" s="52"/>
      <c r="CS667" s="52"/>
      <c r="CT667" s="52"/>
      <c r="CU667" s="52"/>
      <c r="CV667" s="52"/>
      <c r="CW667" s="52"/>
      <c r="CX667" s="52"/>
      <c r="CY667" s="52"/>
      <c r="CZ667" s="52"/>
      <c r="DA667" s="52"/>
      <c r="DB667" s="52"/>
      <c r="DC667" s="52"/>
      <c r="DD667" s="52"/>
      <c r="DE667" s="52"/>
      <c r="DF667" s="52"/>
      <c r="DG667" s="52"/>
      <c r="DH667" s="52"/>
      <c r="DI667" s="52"/>
      <c r="DJ667" s="52"/>
      <c r="DK667" s="52"/>
      <c r="DL667" s="52"/>
      <c r="DM667" s="52"/>
      <c r="DN667" s="52"/>
      <c r="DO667" s="52"/>
      <c r="DP667" s="52"/>
      <c r="DQ667" s="52"/>
      <c r="DR667" s="52"/>
      <c r="DS667" s="52"/>
      <c r="DT667" s="52"/>
      <c r="DU667" s="52"/>
      <c r="DV667" s="52"/>
      <c r="DW667" s="52"/>
      <c r="DX667" s="52"/>
      <c r="DZ667"/>
      <c r="EA667" s="19"/>
      <c r="EB667" s="19"/>
      <c r="EC667" s="9"/>
      <c r="ED667" s="9"/>
      <c r="EE667" s="9"/>
      <c r="EF667" s="9"/>
      <c r="EG667" s="9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3"/>
      <c r="FJ667" s="13"/>
      <c r="FK667" s="13"/>
      <c r="FL667" s="13"/>
      <c r="FM667" s="13"/>
      <c r="FN667" s="13"/>
      <c r="FO667" s="13"/>
      <c r="FP667" s="13"/>
      <c r="FQ667" s="13"/>
      <c r="FR667" s="13"/>
      <c r="FS667" s="13"/>
      <c r="FT667" s="13"/>
      <c r="FU667" s="13"/>
      <c r="FV667" s="13"/>
      <c r="FW667" s="13"/>
      <c r="FX667" s="13"/>
      <c r="FY667" s="13"/>
      <c r="FZ667" s="13"/>
      <c r="GA667" s="13"/>
    </row>
    <row r="668" spans="1:183" s="43" customFormat="1" ht="13.2" x14ac:dyDescent="0.25">
      <c r="A668" s="2"/>
      <c r="B668" s="2"/>
      <c r="C668" s="9">
        <v>21</v>
      </c>
      <c r="D668" s="9">
        <v>34</v>
      </c>
      <c r="E668" s="9">
        <v>40</v>
      </c>
      <c r="F668" s="9">
        <v>51</v>
      </c>
      <c r="G668" s="9">
        <v>79</v>
      </c>
      <c r="H668" s="9">
        <v>88</v>
      </c>
      <c r="J668" s="9">
        <v>88</v>
      </c>
      <c r="L668" s="39">
        <v>45145</v>
      </c>
      <c r="N668"/>
      <c r="O668"/>
      <c r="P668"/>
      <c r="Q668"/>
      <c r="R668"/>
      <c r="S668"/>
      <c r="T668"/>
      <c r="U668"/>
      <c r="V668"/>
      <c r="W668" s="52"/>
      <c r="Y668"/>
      <c r="Z668"/>
      <c r="AA668"/>
      <c r="AB668"/>
      <c r="AC668"/>
      <c r="AD668"/>
      <c r="AE668"/>
      <c r="AF668"/>
      <c r="AG668"/>
      <c r="AH668" s="52"/>
      <c r="AI668" s="148"/>
      <c r="AJ668" s="1"/>
      <c r="AK668" s="1"/>
      <c r="AL668" s="54"/>
      <c r="AM668" s="1"/>
      <c r="AO668" s="1"/>
      <c r="AP668" s="1"/>
      <c r="AQ668" s="1"/>
      <c r="AR668" s="54"/>
      <c r="AT668" s="1"/>
      <c r="AU668" s="1"/>
      <c r="AV668" s="1"/>
      <c r="AW668" s="54"/>
      <c r="AX668" s="57"/>
      <c r="AY668" s="54"/>
      <c r="AZ668" s="54"/>
      <c r="BA668" s="54"/>
      <c r="BB668" s="54"/>
      <c r="BC668" s="57"/>
      <c r="BD668" s="1"/>
      <c r="BE668" s="1"/>
      <c r="BF668" s="1"/>
      <c r="BG668" s="54"/>
      <c r="BI668"/>
      <c r="BJ668" s="13"/>
      <c r="BK668" s="1"/>
      <c r="BL668"/>
      <c r="BM668"/>
      <c r="BN668"/>
      <c r="BO668" s="52"/>
      <c r="BP668" s="52"/>
      <c r="BQ668" s="52"/>
      <c r="BR668" s="52"/>
      <c r="BS668" s="52"/>
      <c r="BT668" s="52"/>
      <c r="BU668" s="52"/>
      <c r="BV668" s="52"/>
      <c r="BW668" s="52"/>
      <c r="BX668" s="52"/>
      <c r="BY668" s="52"/>
      <c r="BZ668" s="52"/>
      <c r="CA668" s="52"/>
      <c r="CB668" s="52"/>
      <c r="CC668" s="52"/>
      <c r="CD668" s="52"/>
      <c r="CE668" s="52"/>
      <c r="CF668" s="52"/>
      <c r="CG668" s="52"/>
      <c r="CH668" s="52"/>
      <c r="CI668" s="52"/>
      <c r="CJ668" s="52"/>
      <c r="CK668" s="52"/>
      <c r="CL668" s="52"/>
      <c r="CM668" s="52"/>
      <c r="CN668" s="52"/>
      <c r="CO668" s="52"/>
      <c r="CP668" s="52"/>
      <c r="CQ668" s="52"/>
      <c r="CR668" s="52"/>
      <c r="CS668" s="52"/>
      <c r="CT668" s="52"/>
      <c r="CU668" s="52"/>
      <c r="CV668" s="52"/>
      <c r="CW668" s="52"/>
      <c r="CX668" s="52"/>
      <c r="CY668" s="52"/>
      <c r="CZ668" s="52"/>
      <c r="DA668" s="52"/>
      <c r="DB668" s="52"/>
      <c r="DC668" s="52"/>
      <c r="DD668" s="52"/>
      <c r="DE668" s="52"/>
      <c r="DF668" s="52"/>
      <c r="DG668" s="52"/>
      <c r="DH668" s="52"/>
      <c r="DI668" s="52"/>
      <c r="DJ668" s="52"/>
      <c r="DK668" s="52"/>
      <c r="DL668" s="52"/>
      <c r="DM668" s="52"/>
      <c r="DN668" s="52"/>
      <c r="DO668" s="52"/>
      <c r="DP668" s="52"/>
      <c r="DQ668" s="52"/>
      <c r="DR668" s="52"/>
      <c r="DS668" s="52"/>
      <c r="DT668" s="52"/>
      <c r="DU668" s="52"/>
      <c r="DV668" s="52"/>
      <c r="DW668" s="52"/>
      <c r="DX668" s="52"/>
      <c r="DZ668"/>
      <c r="EA668" s="19"/>
      <c r="EB668" s="19"/>
      <c r="EC668" s="9"/>
      <c r="ED668" s="9"/>
      <c r="EE668" s="9"/>
      <c r="EF668" s="9"/>
      <c r="EG668" s="9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3"/>
      <c r="FD668" s="13"/>
      <c r="FE668" s="13"/>
      <c r="FF668" s="13"/>
      <c r="FG668" s="13"/>
      <c r="FH668" s="13"/>
      <c r="FI668" s="13"/>
      <c r="FJ668" s="13"/>
      <c r="FK668" s="13"/>
      <c r="FL668" s="13"/>
      <c r="FM668" s="13"/>
      <c r="FN668" s="13"/>
      <c r="FO668" s="13"/>
      <c r="FP668" s="13"/>
      <c r="FQ668" s="13"/>
      <c r="FR668" s="13"/>
      <c r="FS668" s="13"/>
      <c r="FT668" s="13"/>
      <c r="FU668" s="13"/>
      <c r="FV668" s="13"/>
      <c r="FW668" s="13"/>
      <c r="FX668" s="13"/>
      <c r="FY668" s="13"/>
      <c r="FZ668" s="13"/>
      <c r="GA668" s="13"/>
    </row>
    <row r="669" spans="1:183" s="43" customFormat="1" ht="13.2" x14ac:dyDescent="0.25">
      <c r="A669" s="2"/>
      <c r="B669" s="2"/>
      <c r="C669" s="9">
        <v>18</v>
      </c>
      <c r="D669" s="9">
        <v>26</v>
      </c>
      <c r="E669" s="9">
        <v>34</v>
      </c>
      <c r="F669" s="9">
        <v>43</v>
      </c>
      <c r="G669" s="9">
        <v>52</v>
      </c>
      <c r="H669" s="9">
        <v>80</v>
      </c>
      <c r="J669" s="9">
        <v>80</v>
      </c>
      <c r="L669" s="39">
        <v>45082</v>
      </c>
      <c r="N669"/>
      <c r="O669"/>
      <c r="P669"/>
      <c r="Q669"/>
      <c r="R669"/>
      <c r="S669"/>
      <c r="T669"/>
      <c r="U669"/>
      <c r="V669"/>
      <c r="W669" s="52"/>
      <c r="Y669"/>
      <c r="Z669"/>
      <c r="AA669"/>
      <c r="AB669"/>
      <c r="AC669"/>
      <c r="AD669"/>
      <c r="AE669"/>
      <c r="AF669"/>
      <c r="AG669"/>
      <c r="AH669" s="52"/>
      <c r="AI669" s="148"/>
      <c r="AJ669" s="1"/>
      <c r="AK669" s="1"/>
      <c r="AL669" s="54"/>
      <c r="AM669" s="1"/>
      <c r="AO669" s="1"/>
      <c r="AP669" s="1"/>
      <c r="AQ669" s="1"/>
      <c r="AR669" s="54"/>
      <c r="AT669" s="1"/>
      <c r="AU669" s="1"/>
      <c r="AV669" s="1"/>
      <c r="AW669" s="54"/>
      <c r="AX669" s="57"/>
      <c r="AY669" s="54"/>
      <c r="AZ669" s="54"/>
      <c r="BA669" s="54"/>
      <c r="BB669" s="54"/>
      <c r="BC669" s="57"/>
      <c r="BD669" s="1"/>
      <c r="BE669" s="1"/>
      <c r="BF669" s="1"/>
      <c r="BG669" s="54"/>
      <c r="BI669"/>
      <c r="BJ669" s="13"/>
      <c r="BK669" s="1"/>
      <c r="BL669"/>
      <c r="BM669"/>
      <c r="BN669"/>
      <c r="BO669" s="52"/>
      <c r="BP669" s="52"/>
      <c r="BQ669" s="52"/>
      <c r="BR669" s="52"/>
      <c r="BS669" s="52"/>
      <c r="BT669" s="52"/>
      <c r="BU669" s="52"/>
      <c r="BV669" s="52"/>
      <c r="BW669" s="52"/>
      <c r="BX669" s="52"/>
      <c r="BY669" s="52"/>
      <c r="BZ669" s="52"/>
      <c r="CA669" s="52"/>
      <c r="CB669" s="52"/>
      <c r="CC669" s="52"/>
      <c r="CD669" s="52"/>
      <c r="CE669" s="52"/>
      <c r="CF669" s="52"/>
      <c r="CG669" s="52"/>
      <c r="CH669" s="52"/>
      <c r="CI669" s="52"/>
      <c r="CJ669" s="52"/>
      <c r="CK669" s="52"/>
      <c r="CL669" s="52"/>
      <c r="CM669" s="52"/>
      <c r="CN669" s="52"/>
      <c r="CO669" s="52"/>
      <c r="CP669" s="52"/>
      <c r="CQ669" s="52"/>
      <c r="CR669" s="52"/>
      <c r="CS669" s="52"/>
      <c r="CT669" s="52"/>
      <c r="CU669" s="52"/>
      <c r="CV669" s="52"/>
      <c r="CW669" s="52"/>
      <c r="CX669" s="52"/>
      <c r="CY669" s="52"/>
      <c r="CZ669" s="52"/>
      <c r="DA669" s="52"/>
      <c r="DB669" s="52"/>
      <c r="DC669" s="52"/>
      <c r="DD669" s="52"/>
      <c r="DE669" s="52"/>
      <c r="DF669" s="52"/>
      <c r="DG669" s="52"/>
      <c r="DH669" s="52"/>
      <c r="DI669" s="52"/>
      <c r="DJ669" s="52"/>
      <c r="DK669" s="52"/>
      <c r="DL669" s="52"/>
      <c r="DM669" s="52"/>
      <c r="DN669" s="52"/>
      <c r="DO669" s="52"/>
      <c r="DP669" s="52"/>
      <c r="DQ669" s="52"/>
      <c r="DR669" s="52"/>
      <c r="DS669" s="52"/>
      <c r="DT669" s="52"/>
      <c r="DU669" s="52"/>
      <c r="DV669" s="52"/>
      <c r="DW669" s="52"/>
      <c r="DX669" s="52"/>
      <c r="DZ669"/>
      <c r="EA669" s="19"/>
      <c r="EB669" s="19"/>
      <c r="EC669" s="9"/>
      <c r="ED669" s="9"/>
      <c r="EE669" s="9"/>
      <c r="EF669" s="9"/>
      <c r="EG669" s="9"/>
      <c r="EH669" s="13"/>
      <c r="EI669" s="13"/>
      <c r="EJ669" s="13"/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3"/>
      <c r="FD669" s="13"/>
      <c r="FE669" s="13"/>
      <c r="FF669" s="13"/>
      <c r="FG669" s="13"/>
      <c r="FH669" s="13"/>
      <c r="FI669" s="13"/>
      <c r="FJ669" s="13"/>
      <c r="FK669" s="13"/>
      <c r="FL669" s="13"/>
      <c r="FM669" s="13"/>
      <c r="FN669" s="13"/>
      <c r="FO669" s="13"/>
      <c r="FP669" s="13"/>
      <c r="FQ669" s="13"/>
      <c r="FR669" s="13"/>
      <c r="FS669" s="13"/>
      <c r="FT669" s="13"/>
      <c r="FU669" s="13"/>
      <c r="FV669" s="13"/>
      <c r="FW669" s="13"/>
      <c r="FX669" s="13"/>
      <c r="FY669" s="13"/>
      <c r="FZ669" s="13"/>
      <c r="GA669" s="13"/>
    </row>
    <row r="670" spans="1:183" s="43" customFormat="1" ht="13.2" x14ac:dyDescent="0.25">
      <c r="A670" s="2"/>
      <c r="B670" s="2"/>
      <c r="C670" s="9">
        <v>4</v>
      </c>
      <c r="D670" s="9">
        <v>32</v>
      </c>
      <c r="E670" s="9">
        <v>64</v>
      </c>
      <c r="F670" s="9">
        <v>71</v>
      </c>
      <c r="G670" s="9">
        <v>82</v>
      </c>
      <c r="H670" s="9">
        <v>89</v>
      </c>
      <c r="J670" s="9">
        <v>89</v>
      </c>
      <c r="L670" s="39">
        <v>45140</v>
      </c>
      <c r="N670"/>
      <c r="O670"/>
      <c r="P670"/>
      <c r="Q670"/>
      <c r="R670"/>
      <c r="S670"/>
      <c r="T670"/>
      <c r="U670"/>
      <c r="V670"/>
      <c r="W670" s="52"/>
      <c r="Y670"/>
      <c r="Z670"/>
      <c r="AA670"/>
      <c r="AB670"/>
      <c r="AC670"/>
      <c r="AD670"/>
      <c r="AE670"/>
      <c r="AF670"/>
      <c r="AG670"/>
      <c r="AH670" s="52"/>
      <c r="AI670" s="148"/>
      <c r="AJ670" s="1"/>
      <c r="AK670" s="1"/>
      <c r="AL670" s="54"/>
      <c r="AM670" s="1"/>
      <c r="AO670" s="1"/>
      <c r="AP670" s="1"/>
      <c r="AQ670" s="1"/>
      <c r="AR670" s="54"/>
      <c r="AT670" s="1"/>
      <c r="AU670" s="1"/>
      <c r="AV670" s="1"/>
      <c r="AW670" s="54"/>
      <c r="AX670" s="57"/>
      <c r="AY670" s="54"/>
      <c r="AZ670" s="54"/>
      <c r="BA670" s="54"/>
      <c r="BB670" s="54"/>
      <c r="BC670" s="57"/>
      <c r="BD670" s="1"/>
      <c r="BE670" s="1"/>
      <c r="BF670" s="1"/>
      <c r="BG670" s="54"/>
      <c r="BI670"/>
      <c r="BJ670" s="13"/>
      <c r="BK670" s="1"/>
      <c r="BL670"/>
      <c r="BM670"/>
      <c r="BN670"/>
      <c r="BO670" s="52"/>
      <c r="BP670" s="52"/>
      <c r="BQ670" s="52"/>
      <c r="BR670" s="52"/>
      <c r="BS670" s="52"/>
      <c r="BT670" s="52"/>
      <c r="BU670" s="52"/>
      <c r="BV670" s="52"/>
      <c r="BW670" s="52"/>
      <c r="BX670" s="52"/>
      <c r="BY670" s="52"/>
      <c r="BZ670" s="52"/>
      <c r="CA670" s="52"/>
      <c r="CB670" s="52"/>
      <c r="CC670" s="52"/>
      <c r="CD670" s="52"/>
      <c r="CE670" s="52"/>
      <c r="CF670" s="52"/>
      <c r="CG670" s="52"/>
      <c r="CH670" s="52"/>
      <c r="CI670" s="52"/>
      <c r="CJ670" s="52"/>
      <c r="CK670" s="52"/>
      <c r="CL670" s="52"/>
      <c r="CM670" s="52"/>
      <c r="CN670" s="52"/>
      <c r="CO670" s="52"/>
      <c r="CP670" s="52"/>
      <c r="CQ670" s="52"/>
      <c r="CR670" s="52"/>
      <c r="CS670" s="52"/>
      <c r="CT670" s="52"/>
      <c r="CU670" s="52"/>
      <c r="CV670" s="52"/>
      <c r="CW670" s="52"/>
      <c r="CX670" s="52"/>
      <c r="CY670" s="52"/>
      <c r="CZ670" s="52"/>
      <c r="DA670" s="52"/>
      <c r="DB670" s="52"/>
      <c r="DC670" s="52"/>
      <c r="DD670" s="52"/>
      <c r="DE670" s="52"/>
      <c r="DF670" s="52"/>
      <c r="DG670" s="52"/>
      <c r="DH670" s="52"/>
      <c r="DI670" s="52"/>
      <c r="DJ670" s="52"/>
      <c r="DK670" s="52"/>
      <c r="DL670" s="52"/>
      <c r="DM670" s="52"/>
      <c r="DN670" s="52"/>
      <c r="DO670" s="52"/>
      <c r="DP670" s="52"/>
      <c r="DQ670" s="52"/>
      <c r="DR670" s="52"/>
      <c r="DS670" s="52"/>
      <c r="DT670" s="52"/>
      <c r="DU670" s="52"/>
      <c r="DV670" s="52"/>
      <c r="DW670" s="52"/>
      <c r="DX670" s="52"/>
      <c r="DZ670"/>
      <c r="EA670" s="19"/>
      <c r="EB670" s="19"/>
      <c r="EC670" s="9"/>
      <c r="ED670" s="9"/>
      <c r="EE670" s="9"/>
      <c r="EF670" s="9"/>
      <c r="EG670" s="9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  <c r="FI670" s="13"/>
      <c r="FJ670" s="13"/>
      <c r="FK670" s="13"/>
      <c r="FL670" s="13"/>
      <c r="FM670" s="13"/>
      <c r="FN670" s="13"/>
      <c r="FO670" s="13"/>
      <c r="FP670" s="13"/>
      <c r="FQ670" s="13"/>
      <c r="FR670" s="13"/>
      <c r="FS670" s="13"/>
      <c r="FT670" s="13"/>
      <c r="FU670" s="13"/>
      <c r="FV670" s="13"/>
      <c r="FW670" s="13"/>
      <c r="FX670" s="13"/>
      <c r="FY670" s="13"/>
      <c r="FZ670" s="13"/>
      <c r="GA670" s="13"/>
    </row>
    <row r="671" spans="1:183" s="43" customFormat="1" ht="13.2" x14ac:dyDescent="0.25">
      <c r="A671" s="2"/>
      <c r="B671" s="2"/>
      <c r="C671" s="9">
        <v>1</v>
      </c>
      <c r="D671" s="9">
        <v>26</v>
      </c>
      <c r="E671" s="9">
        <v>34</v>
      </c>
      <c r="F671" s="9">
        <v>56</v>
      </c>
      <c r="G671" s="9">
        <v>64</v>
      </c>
      <c r="H671" s="9">
        <v>67</v>
      </c>
      <c r="J671" s="9">
        <v>67</v>
      </c>
      <c r="L671" s="39">
        <v>45138</v>
      </c>
      <c r="N671"/>
      <c r="O671"/>
      <c r="P671"/>
      <c r="Q671"/>
      <c r="R671"/>
      <c r="S671"/>
      <c r="T671"/>
      <c r="U671"/>
      <c r="V671"/>
      <c r="W671" s="52"/>
      <c r="Y671"/>
      <c r="Z671"/>
      <c r="AA671"/>
      <c r="AB671"/>
      <c r="AC671"/>
      <c r="AD671"/>
      <c r="AE671"/>
      <c r="AF671"/>
      <c r="AG671"/>
      <c r="AH671" s="52"/>
      <c r="AI671" s="148"/>
      <c r="AJ671" s="1"/>
      <c r="AK671" s="1"/>
      <c r="AL671" s="54"/>
      <c r="AM671" s="1"/>
      <c r="AO671" s="1"/>
      <c r="AP671" s="1"/>
      <c r="AQ671" s="1"/>
      <c r="AR671" s="54"/>
      <c r="AT671" s="1"/>
      <c r="AU671" s="1"/>
      <c r="AV671" s="1"/>
      <c r="AW671" s="54"/>
      <c r="AX671" s="57"/>
      <c r="AY671" s="54"/>
      <c r="AZ671" s="54"/>
      <c r="BA671" s="54"/>
      <c r="BB671" s="54"/>
      <c r="BC671" s="57"/>
      <c r="BD671" s="1"/>
      <c r="BE671" s="1"/>
      <c r="BF671" s="1"/>
      <c r="BG671" s="54"/>
      <c r="BI671"/>
      <c r="BJ671" s="13"/>
      <c r="BK671" s="1"/>
      <c r="BL671"/>
      <c r="BM671"/>
      <c r="BN671"/>
      <c r="BO671" s="52"/>
      <c r="BP671" s="52"/>
      <c r="BQ671" s="52"/>
      <c r="BR671" s="52"/>
      <c r="BS671" s="52"/>
      <c r="BT671" s="52"/>
      <c r="BU671" s="52"/>
      <c r="BV671" s="52"/>
      <c r="BW671" s="52"/>
      <c r="BX671" s="52"/>
      <c r="BY671" s="52"/>
      <c r="BZ671" s="52"/>
      <c r="CA671" s="52"/>
      <c r="CB671" s="52"/>
      <c r="CC671" s="52"/>
      <c r="CD671" s="52"/>
      <c r="CE671" s="52"/>
      <c r="CF671" s="52"/>
      <c r="CG671" s="52"/>
      <c r="CH671" s="52"/>
      <c r="CI671" s="52"/>
      <c r="CJ671" s="52"/>
      <c r="CK671" s="52"/>
      <c r="CL671" s="52"/>
      <c r="CM671" s="52"/>
      <c r="CN671" s="52"/>
      <c r="CO671" s="52"/>
      <c r="CP671" s="52"/>
      <c r="CQ671" s="52"/>
      <c r="CR671" s="52"/>
      <c r="CS671" s="52"/>
      <c r="CT671" s="52"/>
      <c r="CU671" s="52"/>
      <c r="CV671" s="52"/>
      <c r="CW671" s="52"/>
      <c r="CX671" s="52"/>
      <c r="CY671" s="52"/>
      <c r="CZ671" s="52"/>
      <c r="DA671" s="52"/>
      <c r="DB671" s="52"/>
      <c r="DC671" s="52"/>
      <c r="DD671" s="52"/>
      <c r="DE671" s="52"/>
      <c r="DF671" s="52"/>
      <c r="DG671" s="52"/>
      <c r="DH671" s="52"/>
      <c r="DI671" s="52"/>
      <c r="DJ671" s="52"/>
      <c r="DK671" s="52"/>
      <c r="DL671" s="52"/>
      <c r="DM671" s="52"/>
      <c r="DN671" s="52"/>
      <c r="DO671" s="52"/>
      <c r="DP671" s="52"/>
      <c r="DQ671" s="52"/>
      <c r="DR671" s="52"/>
      <c r="DS671" s="52"/>
      <c r="DT671" s="52"/>
      <c r="DU671" s="52"/>
      <c r="DV671" s="52"/>
      <c r="DW671" s="52"/>
      <c r="DX671" s="52"/>
      <c r="DZ671"/>
      <c r="EA671" s="19"/>
      <c r="EB671" s="19"/>
      <c r="EC671" s="9"/>
      <c r="ED671" s="9"/>
      <c r="EE671" s="9"/>
      <c r="EF671" s="9"/>
      <c r="EG671" s="9"/>
      <c r="EH671" s="13"/>
      <c r="EI671" s="13"/>
      <c r="EJ671" s="13"/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/>
      <c r="FN671" s="13"/>
      <c r="FO671" s="13"/>
      <c r="FP671" s="13"/>
      <c r="FQ671" s="13"/>
      <c r="FR671" s="13"/>
      <c r="FS671" s="13"/>
      <c r="FT671" s="13"/>
      <c r="FU671" s="13"/>
      <c r="FV671" s="13"/>
      <c r="FW671" s="13"/>
      <c r="FX671" s="13"/>
      <c r="FY671" s="13"/>
      <c r="FZ671" s="13"/>
      <c r="GA671" s="13"/>
    </row>
    <row r="672" spans="1:183" s="43" customFormat="1" ht="13.2" x14ac:dyDescent="0.25">
      <c r="A672" s="2"/>
      <c r="B672" s="2"/>
      <c r="C672" s="9">
        <v>33</v>
      </c>
      <c r="D672" s="9">
        <v>45</v>
      </c>
      <c r="E672" s="9">
        <v>63</v>
      </c>
      <c r="F672" s="9">
        <v>66</v>
      </c>
      <c r="G672" s="9">
        <v>74</v>
      </c>
      <c r="H672" s="9">
        <v>89</v>
      </c>
      <c r="J672" s="9">
        <v>89</v>
      </c>
      <c r="L672" s="39">
        <v>45136</v>
      </c>
      <c r="N672"/>
      <c r="O672"/>
      <c r="P672"/>
      <c r="Q672"/>
      <c r="R672"/>
      <c r="S672"/>
      <c r="T672"/>
      <c r="U672"/>
      <c r="V672"/>
      <c r="W672" s="52"/>
      <c r="Y672"/>
      <c r="Z672"/>
      <c r="AA672"/>
      <c r="AB672"/>
      <c r="AC672"/>
      <c r="AD672"/>
      <c r="AE672"/>
      <c r="AF672"/>
      <c r="AG672"/>
      <c r="AH672" s="52"/>
      <c r="AI672" s="148"/>
      <c r="AJ672" s="1"/>
      <c r="AK672" s="1"/>
      <c r="AL672" s="54"/>
      <c r="AM672" s="1"/>
      <c r="AO672" s="1"/>
      <c r="AP672" s="1"/>
      <c r="AQ672" s="1"/>
      <c r="AR672" s="54"/>
      <c r="AT672" s="1"/>
      <c r="AU672" s="1"/>
      <c r="AV672" s="1"/>
      <c r="AW672" s="54"/>
      <c r="AX672" s="57"/>
      <c r="AY672" s="54"/>
      <c r="AZ672" s="54"/>
      <c r="BA672" s="54"/>
      <c r="BB672" s="54"/>
      <c r="BC672" s="57"/>
      <c r="BD672" s="1"/>
      <c r="BE672" s="1"/>
      <c r="BF672" s="1"/>
      <c r="BG672" s="54"/>
      <c r="BI672"/>
      <c r="BJ672" s="13"/>
      <c r="BK672" s="1"/>
      <c r="BL672"/>
      <c r="BM672"/>
      <c r="BN672"/>
      <c r="BO672" s="52"/>
      <c r="BP672" s="52"/>
      <c r="BQ672" s="52"/>
      <c r="BR672" s="52"/>
      <c r="BS672" s="52"/>
      <c r="BT672" s="52"/>
      <c r="BU672" s="52"/>
      <c r="BV672" s="52"/>
      <c r="BW672" s="52"/>
      <c r="BX672" s="52"/>
      <c r="BY672" s="52"/>
      <c r="BZ672" s="52"/>
      <c r="CA672" s="52"/>
      <c r="CB672" s="52"/>
      <c r="CC672" s="52"/>
      <c r="CD672" s="52"/>
      <c r="CE672" s="52"/>
      <c r="CF672" s="52"/>
      <c r="CG672" s="52"/>
      <c r="CH672" s="52"/>
      <c r="CI672" s="52"/>
      <c r="CJ672" s="52"/>
      <c r="CK672" s="52"/>
      <c r="CL672" s="52"/>
      <c r="CM672" s="52"/>
      <c r="CN672" s="52"/>
      <c r="CO672" s="52"/>
      <c r="CP672" s="52"/>
      <c r="CQ672" s="52"/>
      <c r="CR672" s="52"/>
      <c r="CS672" s="52"/>
      <c r="CT672" s="52"/>
      <c r="CU672" s="52"/>
      <c r="CV672" s="52"/>
      <c r="CW672" s="52"/>
      <c r="CX672" s="52"/>
      <c r="CY672" s="52"/>
      <c r="CZ672" s="52"/>
      <c r="DA672" s="52"/>
      <c r="DB672" s="52"/>
      <c r="DC672" s="52"/>
      <c r="DD672" s="52"/>
      <c r="DE672" s="52"/>
      <c r="DF672" s="52"/>
      <c r="DG672" s="52"/>
      <c r="DH672" s="52"/>
      <c r="DI672" s="52"/>
      <c r="DJ672" s="52"/>
      <c r="DK672" s="52"/>
      <c r="DL672" s="52"/>
      <c r="DM672" s="52"/>
      <c r="DN672" s="52"/>
      <c r="DO672" s="52"/>
      <c r="DP672" s="52"/>
      <c r="DQ672" s="52"/>
      <c r="DR672" s="52"/>
      <c r="DS672" s="52"/>
      <c r="DT672" s="52"/>
      <c r="DU672" s="52"/>
      <c r="DV672" s="52"/>
      <c r="DW672" s="52"/>
      <c r="DX672" s="52"/>
      <c r="DZ672"/>
      <c r="EA672" s="19"/>
      <c r="EB672" s="19"/>
      <c r="EC672" s="9"/>
      <c r="ED672" s="9"/>
      <c r="EE672" s="9"/>
      <c r="EF672" s="9"/>
      <c r="EG672" s="9"/>
      <c r="EH672" s="13"/>
      <c r="EI672" s="13"/>
      <c r="EJ672" s="13"/>
      <c r="EK672" s="13"/>
      <c r="EL672" s="13"/>
      <c r="EM672" s="13"/>
      <c r="EN672" s="13"/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/>
      <c r="FB672" s="13"/>
      <c r="FC672" s="13"/>
      <c r="FD672" s="13"/>
      <c r="FE672" s="13"/>
      <c r="FF672" s="13"/>
      <c r="FG672" s="13"/>
      <c r="FH672" s="13"/>
      <c r="FI672" s="13"/>
      <c r="FJ672" s="13"/>
      <c r="FK672" s="13"/>
      <c r="FL672" s="13"/>
      <c r="FM672" s="13"/>
      <c r="FN672" s="13"/>
      <c r="FO672" s="13"/>
      <c r="FP672" s="13"/>
      <c r="FQ672" s="13"/>
      <c r="FR672" s="13"/>
      <c r="FS672" s="13"/>
      <c r="FT672" s="13"/>
      <c r="FU672" s="13"/>
      <c r="FV672" s="13"/>
      <c r="FW672" s="13"/>
      <c r="FX672" s="13"/>
      <c r="FY672" s="13"/>
      <c r="FZ672" s="13"/>
      <c r="GA672" s="13"/>
    </row>
    <row r="673" spans="1:183" s="43" customFormat="1" ht="13.2" x14ac:dyDescent="0.25">
      <c r="A673" s="2"/>
      <c r="B673" s="2"/>
      <c r="C673" s="9">
        <v>10</v>
      </c>
      <c r="D673" s="9">
        <v>20</v>
      </c>
      <c r="E673" s="9">
        <v>23</v>
      </c>
      <c r="F673" s="9">
        <v>30</v>
      </c>
      <c r="G673" s="9">
        <v>83</v>
      </c>
      <c r="H673" s="9">
        <v>89</v>
      </c>
      <c r="J673" s="9">
        <v>89</v>
      </c>
      <c r="L673" s="39">
        <v>45133</v>
      </c>
      <c r="N673"/>
      <c r="O673"/>
      <c r="P673"/>
      <c r="Q673"/>
      <c r="R673"/>
      <c r="S673"/>
      <c r="T673"/>
      <c r="U673"/>
      <c r="V673"/>
      <c r="W673" s="52"/>
      <c r="Y673"/>
      <c r="Z673"/>
      <c r="AA673"/>
      <c r="AB673"/>
      <c r="AC673"/>
      <c r="AD673"/>
      <c r="AE673"/>
      <c r="AF673"/>
      <c r="AG673"/>
      <c r="AH673" s="52"/>
      <c r="AI673" s="148"/>
      <c r="AJ673" s="1"/>
      <c r="AK673" s="1"/>
      <c r="AL673" s="54"/>
      <c r="AM673" s="1"/>
      <c r="AO673" s="1"/>
      <c r="AP673" s="1"/>
      <c r="AQ673" s="1"/>
      <c r="AR673" s="54"/>
      <c r="AT673" s="1"/>
      <c r="AU673" s="1"/>
      <c r="AV673" s="1"/>
      <c r="AW673" s="54"/>
      <c r="AX673" s="57"/>
      <c r="AY673" s="54"/>
      <c r="AZ673" s="54"/>
      <c r="BA673" s="54"/>
      <c r="BB673" s="54"/>
      <c r="BC673" s="57"/>
      <c r="BD673" s="1"/>
      <c r="BE673" s="1"/>
      <c r="BF673" s="1"/>
      <c r="BG673" s="54"/>
      <c r="BI673"/>
      <c r="BJ673" s="13"/>
      <c r="BK673" s="1"/>
      <c r="BL673"/>
      <c r="BM673"/>
      <c r="BN673"/>
      <c r="BO673" s="52"/>
      <c r="BP673" s="52"/>
      <c r="BQ673" s="52"/>
      <c r="BR673" s="52"/>
      <c r="BS673" s="52"/>
      <c r="BT673" s="52"/>
      <c r="BU673" s="52"/>
      <c r="BV673" s="52"/>
      <c r="BW673" s="52"/>
      <c r="BX673" s="52"/>
      <c r="BY673" s="52"/>
      <c r="BZ673" s="52"/>
      <c r="CA673" s="52"/>
      <c r="CB673" s="52"/>
      <c r="CC673" s="52"/>
      <c r="CD673" s="52"/>
      <c r="CE673" s="52"/>
      <c r="CF673" s="52"/>
      <c r="CG673" s="52"/>
      <c r="CH673" s="52"/>
      <c r="CI673" s="52"/>
      <c r="CJ673" s="52"/>
      <c r="CK673" s="52"/>
      <c r="CL673" s="52"/>
      <c r="CM673" s="52"/>
      <c r="CN673" s="52"/>
      <c r="CO673" s="52"/>
      <c r="CP673" s="52"/>
      <c r="CQ673" s="52"/>
      <c r="CR673" s="52"/>
      <c r="CS673" s="52"/>
      <c r="CT673" s="52"/>
      <c r="CU673" s="52"/>
      <c r="CV673" s="52"/>
      <c r="CW673" s="52"/>
      <c r="CX673" s="52"/>
      <c r="CY673" s="52"/>
      <c r="CZ673" s="52"/>
      <c r="DA673" s="52"/>
      <c r="DB673" s="52"/>
      <c r="DC673" s="52"/>
      <c r="DD673" s="52"/>
      <c r="DE673" s="52"/>
      <c r="DF673" s="52"/>
      <c r="DG673" s="52"/>
      <c r="DH673" s="52"/>
      <c r="DI673" s="52"/>
      <c r="DJ673" s="52"/>
      <c r="DK673" s="52"/>
      <c r="DL673" s="52"/>
      <c r="DM673" s="52"/>
      <c r="DN673" s="52"/>
      <c r="DO673" s="52"/>
      <c r="DP673" s="52"/>
      <c r="DQ673" s="52"/>
      <c r="DR673" s="52"/>
      <c r="DS673" s="52"/>
      <c r="DT673" s="52"/>
      <c r="DU673" s="52"/>
      <c r="DV673" s="52"/>
      <c r="DW673" s="52"/>
      <c r="DX673" s="52"/>
      <c r="DZ673"/>
      <c r="EA673" s="19"/>
      <c r="EB673" s="19"/>
      <c r="EC673" s="9"/>
      <c r="ED673" s="9"/>
      <c r="EE673" s="9"/>
      <c r="EF673" s="9"/>
      <c r="EG673" s="9"/>
      <c r="EH673" s="13"/>
      <c r="EI673" s="13"/>
      <c r="EJ673" s="13"/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/>
      <c r="FI673" s="13"/>
      <c r="FJ673" s="13"/>
      <c r="FK673" s="13"/>
      <c r="FL673" s="13"/>
      <c r="FM673" s="13"/>
      <c r="FN673" s="13"/>
      <c r="FO673" s="13"/>
      <c r="FP673" s="13"/>
      <c r="FQ673" s="13"/>
      <c r="FR673" s="13"/>
      <c r="FS673" s="13"/>
      <c r="FT673" s="13"/>
      <c r="FU673" s="13"/>
      <c r="FV673" s="13"/>
      <c r="FW673" s="13"/>
      <c r="FX673" s="13"/>
      <c r="FY673" s="13"/>
      <c r="FZ673" s="13"/>
      <c r="GA673" s="13"/>
    </row>
    <row r="674" spans="1:183" s="43" customFormat="1" ht="13.2" x14ac:dyDescent="0.25">
      <c r="A674" s="2"/>
      <c r="B674" s="2"/>
      <c r="C674" s="9">
        <v>4</v>
      </c>
      <c r="D674" s="9">
        <v>12</v>
      </c>
      <c r="E674" s="9">
        <v>31</v>
      </c>
      <c r="F674" s="9">
        <v>38</v>
      </c>
      <c r="G674" s="9">
        <v>68</v>
      </c>
      <c r="H674" s="9">
        <v>83</v>
      </c>
      <c r="J674" s="9">
        <v>83</v>
      </c>
      <c r="L674" s="39">
        <v>45131</v>
      </c>
      <c r="N674"/>
      <c r="O674"/>
      <c r="P674"/>
      <c r="Q674"/>
      <c r="R674"/>
      <c r="S674"/>
      <c r="T674"/>
      <c r="U674"/>
      <c r="V674"/>
      <c r="W674" s="52"/>
      <c r="Y674"/>
      <c r="Z674"/>
      <c r="AA674"/>
      <c r="AB674"/>
      <c r="AC674"/>
      <c r="AD674"/>
      <c r="AE674"/>
      <c r="AF674"/>
      <c r="AG674"/>
      <c r="AH674" s="52"/>
      <c r="AI674" s="148"/>
      <c r="AJ674" s="1"/>
      <c r="AK674" s="1"/>
      <c r="AL674" s="54"/>
      <c r="AM674" s="1"/>
      <c r="AO674" s="1"/>
      <c r="AP674" s="1"/>
      <c r="AQ674" s="1"/>
      <c r="AR674" s="54"/>
      <c r="AT674" s="1"/>
      <c r="AU674" s="1"/>
      <c r="AV674" s="1"/>
      <c r="AW674" s="54"/>
      <c r="AX674" s="57"/>
      <c r="AY674" s="54"/>
      <c r="AZ674" s="54"/>
      <c r="BA674" s="54"/>
      <c r="BB674" s="54"/>
      <c r="BC674" s="57"/>
      <c r="BD674" s="1"/>
      <c r="BE674" s="1"/>
      <c r="BF674" s="1"/>
      <c r="BG674" s="54"/>
      <c r="BI674"/>
      <c r="BJ674" s="13"/>
      <c r="BK674" s="1"/>
      <c r="BL674"/>
      <c r="BM674"/>
      <c r="BN674"/>
      <c r="BO674" s="52"/>
      <c r="BP674" s="52"/>
      <c r="BQ674" s="52"/>
      <c r="BR674" s="52"/>
      <c r="BS674" s="52"/>
      <c r="BT674" s="52"/>
      <c r="BU674" s="52"/>
      <c r="BV674" s="52"/>
      <c r="BW674" s="52"/>
      <c r="BX674" s="52"/>
      <c r="BY674" s="52"/>
      <c r="BZ674" s="52"/>
      <c r="CA674" s="52"/>
      <c r="CB674" s="52"/>
      <c r="CC674" s="52"/>
      <c r="CD674" s="52"/>
      <c r="CE674" s="52"/>
      <c r="CF674" s="52"/>
      <c r="CG674" s="52"/>
      <c r="CH674" s="52"/>
      <c r="CI674" s="52"/>
      <c r="CJ674" s="52"/>
      <c r="CK674" s="52"/>
      <c r="CL674" s="52"/>
      <c r="CM674" s="52"/>
      <c r="CN674" s="52"/>
      <c r="CO674" s="52"/>
      <c r="CP674" s="52"/>
      <c r="CQ674" s="52"/>
      <c r="CR674" s="52"/>
      <c r="CS674" s="52"/>
      <c r="CT674" s="52"/>
      <c r="CU674" s="52"/>
      <c r="CV674" s="52"/>
      <c r="CW674" s="52"/>
      <c r="CX674" s="52"/>
      <c r="CY674" s="52"/>
      <c r="CZ674" s="52"/>
      <c r="DA674" s="52"/>
      <c r="DB674" s="52"/>
      <c r="DC674" s="52"/>
      <c r="DD674" s="52"/>
      <c r="DE674" s="52"/>
      <c r="DF674" s="52"/>
      <c r="DG674" s="52"/>
      <c r="DH674" s="52"/>
      <c r="DI674" s="52"/>
      <c r="DJ674" s="52"/>
      <c r="DK674" s="52"/>
      <c r="DL674" s="52"/>
      <c r="DM674" s="52"/>
      <c r="DN674" s="52"/>
      <c r="DO674" s="52"/>
      <c r="DP674" s="52"/>
      <c r="DQ674" s="52"/>
      <c r="DR674" s="52"/>
      <c r="DS674" s="52"/>
      <c r="DT674" s="52"/>
      <c r="DU674" s="52"/>
      <c r="DV674" s="52"/>
      <c r="DW674" s="52"/>
      <c r="DX674" s="52"/>
      <c r="DZ674"/>
      <c r="EA674" s="19"/>
      <c r="EB674" s="19"/>
      <c r="EC674" s="9"/>
      <c r="ED674" s="9"/>
      <c r="EE674" s="9"/>
      <c r="EF674" s="9"/>
      <c r="EG674" s="9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3"/>
      <c r="FJ674" s="13"/>
      <c r="FK674" s="13"/>
      <c r="FL674" s="13"/>
      <c r="FM674" s="13"/>
      <c r="FN674" s="13"/>
      <c r="FO674" s="13"/>
      <c r="FP674" s="13"/>
      <c r="FQ674" s="13"/>
      <c r="FR674" s="13"/>
      <c r="FS674" s="13"/>
      <c r="FT674" s="13"/>
      <c r="FU674" s="13"/>
      <c r="FV674" s="13"/>
      <c r="FW674" s="13"/>
      <c r="FX674" s="13"/>
      <c r="FY674" s="13"/>
      <c r="FZ674" s="13"/>
      <c r="GA674" s="13"/>
    </row>
    <row r="675" spans="1:183" s="43" customFormat="1" ht="13.2" x14ac:dyDescent="0.25">
      <c r="A675" s="2"/>
      <c r="B675" s="2"/>
      <c r="C675" s="9">
        <v>12</v>
      </c>
      <c r="D675" s="9">
        <v>34</v>
      </c>
      <c r="E675" s="9">
        <v>52</v>
      </c>
      <c r="F675" s="9">
        <v>56</v>
      </c>
      <c r="G675" s="9">
        <v>59</v>
      </c>
      <c r="H675" s="9">
        <v>82</v>
      </c>
      <c r="J675" s="9">
        <v>82</v>
      </c>
      <c r="L675" s="39">
        <v>45129</v>
      </c>
      <c r="N675"/>
      <c r="O675"/>
      <c r="P675"/>
      <c r="Q675"/>
      <c r="R675"/>
      <c r="S675"/>
      <c r="T675"/>
      <c r="U675"/>
      <c r="V675"/>
      <c r="W675" s="52"/>
      <c r="Y675"/>
      <c r="Z675"/>
      <c r="AA675"/>
      <c r="AB675"/>
      <c r="AC675"/>
      <c r="AD675"/>
      <c r="AE675"/>
      <c r="AF675"/>
      <c r="AG675"/>
      <c r="AH675" s="52"/>
      <c r="AI675" s="148"/>
      <c r="AJ675" s="1"/>
      <c r="AK675" s="1"/>
      <c r="AL675" s="54"/>
      <c r="AM675" s="1"/>
      <c r="AO675" s="1"/>
      <c r="AP675" s="1"/>
      <c r="AQ675" s="1"/>
      <c r="AR675" s="54"/>
      <c r="AT675" s="1"/>
      <c r="AU675" s="1"/>
      <c r="AV675" s="1"/>
      <c r="AW675" s="54"/>
      <c r="AX675" s="57"/>
      <c r="AY675" s="54"/>
      <c r="AZ675" s="54"/>
      <c r="BA675" s="54"/>
      <c r="BB675" s="54"/>
      <c r="BC675" s="57"/>
      <c r="BD675" s="1"/>
      <c r="BE675" s="1"/>
      <c r="BF675" s="1"/>
      <c r="BG675" s="54"/>
      <c r="BI675"/>
      <c r="BJ675" s="13"/>
      <c r="BK675" s="1"/>
      <c r="BL675"/>
      <c r="BM675"/>
      <c r="BN675"/>
      <c r="BO675" s="52"/>
      <c r="BP675" s="52"/>
      <c r="BQ675" s="52"/>
      <c r="BR675" s="52"/>
      <c r="BS675" s="52"/>
      <c r="BT675" s="52"/>
      <c r="BU675" s="52"/>
      <c r="BV675" s="52"/>
      <c r="BW675" s="52"/>
      <c r="BX675" s="52"/>
      <c r="BY675" s="52"/>
      <c r="BZ675" s="52"/>
      <c r="CA675" s="52"/>
      <c r="CB675" s="52"/>
      <c r="CC675" s="52"/>
      <c r="CD675" s="52"/>
      <c r="CE675" s="52"/>
      <c r="CF675" s="52"/>
      <c r="CG675" s="52"/>
      <c r="CH675" s="52"/>
      <c r="CI675" s="52"/>
      <c r="CJ675" s="52"/>
      <c r="CK675" s="52"/>
      <c r="CL675" s="52"/>
      <c r="CM675" s="52"/>
      <c r="CN675" s="52"/>
      <c r="CO675" s="52"/>
      <c r="CP675" s="52"/>
      <c r="CQ675" s="52"/>
      <c r="CR675" s="52"/>
      <c r="CS675" s="52"/>
      <c r="CT675" s="52"/>
      <c r="CU675" s="52"/>
      <c r="CV675" s="52"/>
      <c r="CW675" s="52"/>
      <c r="CX675" s="52"/>
      <c r="CY675" s="52"/>
      <c r="CZ675" s="52"/>
      <c r="DA675" s="52"/>
      <c r="DB675" s="52"/>
      <c r="DC675" s="52"/>
      <c r="DD675" s="52"/>
      <c r="DE675" s="52"/>
      <c r="DF675" s="52"/>
      <c r="DG675" s="52"/>
      <c r="DH675" s="52"/>
      <c r="DI675" s="52"/>
      <c r="DJ675" s="52"/>
      <c r="DK675" s="52"/>
      <c r="DL675" s="52"/>
      <c r="DM675" s="52"/>
      <c r="DN675" s="52"/>
      <c r="DO675" s="52"/>
      <c r="DP675" s="52"/>
      <c r="DQ675" s="52"/>
      <c r="DR675" s="52"/>
      <c r="DS675" s="52"/>
      <c r="DT675" s="52"/>
      <c r="DU675" s="52"/>
      <c r="DV675" s="52"/>
      <c r="DW675" s="52"/>
      <c r="DX675" s="52"/>
      <c r="DZ675"/>
      <c r="EA675" s="19"/>
      <c r="EB675" s="19"/>
      <c r="EC675" s="9"/>
      <c r="ED675" s="9"/>
      <c r="EE675" s="9"/>
      <c r="EF675" s="9"/>
      <c r="EG675" s="9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3"/>
      <c r="FJ675" s="13"/>
      <c r="FK675" s="13"/>
      <c r="FL675" s="13"/>
      <c r="FM675" s="13"/>
      <c r="FN675" s="13"/>
      <c r="FO675" s="13"/>
      <c r="FP675" s="13"/>
      <c r="FQ675" s="13"/>
      <c r="FR675" s="13"/>
      <c r="FS675" s="13"/>
      <c r="FT675" s="13"/>
      <c r="FU675" s="13"/>
      <c r="FV675" s="13"/>
      <c r="FW675" s="13"/>
      <c r="FX675" s="13"/>
      <c r="FY675" s="13"/>
      <c r="FZ675" s="13"/>
      <c r="GA675" s="13"/>
    </row>
    <row r="676" spans="1:183" s="43" customFormat="1" ht="13.2" x14ac:dyDescent="0.25">
      <c r="A676" s="2"/>
      <c r="B676" s="2"/>
      <c r="C676" s="9">
        <v>25</v>
      </c>
      <c r="D676" s="9">
        <v>28</v>
      </c>
      <c r="E676" s="9">
        <v>44</v>
      </c>
      <c r="F676" s="9">
        <v>60</v>
      </c>
      <c r="G676" s="9">
        <v>77</v>
      </c>
      <c r="H676" s="9">
        <v>89</v>
      </c>
      <c r="J676" s="9">
        <v>89</v>
      </c>
      <c r="L676" s="39">
        <v>45126</v>
      </c>
      <c r="N676"/>
      <c r="O676"/>
      <c r="P676"/>
      <c r="Q676"/>
      <c r="R676"/>
      <c r="S676"/>
      <c r="T676"/>
      <c r="U676"/>
      <c r="V676"/>
      <c r="W676" s="52"/>
      <c r="Y676"/>
      <c r="Z676"/>
      <c r="AA676"/>
      <c r="AB676"/>
      <c r="AC676"/>
      <c r="AD676"/>
      <c r="AE676"/>
      <c r="AF676"/>
      <c r="AG676"/>
      <c r="AH676" s="52"/>
      <c r="AI676" s="148"/>
      <c r="AJ676" s="1"/>
      <c r="AK676" s="1"/>
      <c r="AL676" s="54"/>
      <c r="AM676" s="1"/>
      <c r="AO676" s="1"/>
      <c r="AP676" s="1"/>
      <c r="AQ676" s="1"/>
      <c r="AR676" s="54"/>
      <c r="AT676" s="1"/>
      <c r="AU676" s="1"/>
      <c r="AV676" s="1"/>
      <c r="AW676" s="54"/>
      <c r="AX676" s="57"/>
      <c r="AY676" s="54"/>
      <c r="AZ676" s="54"/>
      <c r="BA676" s="54"/>
      <c r="BB676" s="54"/>
      <c r="BC676" s="57"/>
      <c r="BD676" s="1"/>
      <c r="BE676" s="1"/>
      <c r="BF676" s="1"/>
      <c r="BG676" s="54"/>
      <c r="BI676"/>
      <c r="BJ676" s="13"/>
      <c r="BK676" s="1"/>
      <c r="BL676"/>
      <c r="BM676"/>
      <c r="BN676"/>
      <c r="BO676" s="52"/>
      <c r="BP676" s="52"/>
      <c r="BQ676" s="52"/>
      <c r="BR676" s="52"/>
      <c r="BS676" s="52"/>
      <c r="BT676" s="52"/>
      <c r="BU676" s="52"/>
      <c r="BV676" s="52"/>
      <c r="BW676" s="52"/>
      <c r="BX676" s="52"/>
      <c r="BY676" s="52"/>
      <c r="BZ676" s="52"/>
      <c r="CA676" s="52"/>
      <c r="CB676" s="52"/>
      <c r="CC676" s="52"/>
      <c r="CD676" s="52"/>
      <c r="CE676" s="52"/>
      <c r="CF676" s="52"/>
      <c r="CG676" s="52"/>
      <c r="CH676" s="52"/>
      <c r="CI676" s="52"/>
      <c r="CJ676" s="52"/>
      <c r="CK676" s="52"/>
      <c r="CL676" s="52"/>
      <c r="CM676" s="52"/>
      <c r="CN676" s="52"/>
      <c r="CO676" s="52"/>
      <c r="CP676" s="52"/>
      <c r="CQ676" s="52"/>
      <c r="CR676" s="52"/>
      <c r="CS676" s="52"/>
      <c r="CT676" s="52"/>
      <c r="CU676" s="52"/>
      <c r="CV676" s="52"/>
      <c r="CW676" s="52"/>
      <c r="CX676" s="52"/>
      <c r="CY676" s="52"/>
      <c r="CZ676" s="52"/>
      <c r="DA676" s="52"/>
      <c r="DB676" s="52"/>
      <c r="DC676" s="52"/>
      <c r="DD676" s="52"/>
      <c r="DE676" s="52"/>
      <c r="DF676" s="52"/>
      <c r="DG676" s="52"/>
      <c r="DH676" s="52"/>
      <c r="DI676" s="52"/>
      <c r="DJ676" s="52"/>
      <c r="DK676" s="52"/>
      <c r="DL676" s="52"/>
      <c r="DM676" s="52"/>
      <c r="DN676" s="52"/>
      <c r="DO676" s="52"/>
      <c r="DP676" s="52"/>
      <c r="DQ676" s="52"/>
      <c r="DR676" s="52"/>
      <c r="DS676" s="52"/>
      <c r="DT676" s="52"/>
      <c r="DU676" s="52"/>
      <c r="DV676" s="52"/>
      <c r="DW676" s="52"/>
      <c r="DX676" s="52"/>
      <c r="DZ676"/>
      <c r="EA676" s="19"/>
      <c r="EB676" s="19"/>
      <c r="EC676" s="9"/>
      <c r="ED676" s="9"/>
      <c r="EE676" s="9"/>
      <c r="EF676" s="9"/>
      <c r="EG676" s="9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  <c r="FY676" s="13"/>
      <c r="FZ676" s="13"/>
      <c r="GA676" s="13"/>
    </row>
    <row r="677" spans="1:183" s="43" customFormat="1" ht="13.2" x14ac:dyDescent="0.25">
      <c r="A677" s="2"/>
      <c r="B677" s="2"/>
      <c r="C677" s="9">
        <v>5</v>
      </c>
      <c r="D677" s="9">
        <v>30</v>
      </c>
      <c r="E677" s="9">
        <v>55</v>
      </c>
      <c r="F677" s="9">
        <v>62</v>
      </c>
      <c r="G677" s="9">
        <v>66</v>
      </c>
      <c r="H677" s="9">
        <v>78</v>
      </c>
      <c r="J677" s="9">
        <v>78</v>
      </c>
      <c r="L677" s="39">
        <v>45124</v>
      </c>
      <c r="N677"/>
      <c r="O677"/>
      <c r="P677"/>
      <c r="Q677"/>
      <c r="R677"/>
      <c r="S677"/>
      <c r="T677"/>
      <c r="U677"/>
      <c r="V677"/>
      <c r="W677" s="52"/>
      <c r="Y677"/>
      <c r="Z677"/>
      <c r="AA677"/>
      <c r="AB677"/>
      <c r="AC677"/>
      <c r="AD677"/>
      <c r="AE677"/>
      <c r="AF677"/>
      <c r="AG677"/>
      <c r="AH677" s="52"/>
      <c r="AI677" s="148"/>
      <c r="AJ677" s="1"/>
      <c r="AK677" s="1"/>
      <c r="AL677" s="54"/>
      <c r="AM677" s="1"/>
      <c r="AO677" s="1"/>
      <c r="AP677" s="1"/>
      <c r="AQ677" s="1"/>
      <c r="AR677" s="54"/>
      <c r="AT677" s="1"/>
      <c r="AU677" s="1"/>
      <c r="AV677" s="1"/>
      <c r="AW677" s="54"/>
      <c r="AX677" s="57"/>
      <c r="AY677" s="54"/>
      <c r="AZ677" s="54"/>
      <c r="BA677" s="54"/>
      <c r="BB677" s="54"/>
      <c r="BC677" s="57"/>
      <c r="BD677" s="1"/>
      <c r="BE677" s="1"/>
      <c r="BF677" s="1"/>
      <c r="BG677" s="54"/>
      <c r="BI677"/>
      <c r="BJ677" s="13"/>
      <c r="BK677" s="1"/>
      <c r="BL677"/>
      <c r="BM677"/>
      <c r="BN677"/>
      <c r="BO677" s="52"/>
      <c r="BP677" s="52"/>
      <c r="BQ677" s="52"/>
      <c r="BR677" s="52"/>
      <c r="BS677" s="52"/>
      <c r="BT677" s="52"/>
      <c r="BU677" s="52"/>
      <c r="BV677" s="52"/>
      <c r="BW677" s="52"/>
      <c r="BX677" s="52"/>
      <c r="BY677" s="52"/>
      <c r="BZ677" s="52"/>
      <c r="CA677" s="52"/>
      <c r="CB677" s="52"/>
      <c r="CC677" s="52"/>
      <c r="CD677" s="52"/>
      <c r="CE677" s="52"/>
      <c r="CF677" s="52"/>
      <c r="CG677" s="52"/>
      <c r="CH677" s="52"/>
      <c r="CI677" s="52"/>
      <c r="CJ677" s="52"/>
      <c r="CK677" s="52"/>
      <c r="CL677" s="52"/>
      <c r="CM677" s="52"/>
      <c r="CN677" s="52"/>
      <c r="CO677" s="52"/>
      <c r="CP677" s="52"/>
      <c r="CQ677" s="52"/>
      <c r="CR677" s="52"/>
      <c r="CS677" s="52"/>
      <c r="CT677" s="52"/>
      <c r="CU677" s="52"/>
      <c r="CV677" s="52"/>
      <c r="CW677" s="52"/>
      <c r="CX677" s="52"/>
      <c r="CY677" s="52"/>
      <c r="CZ677" s="52"/>
      <c r="DA677" s="52"/>
      <c r="DB677" s="52"/>
      <c r="DC677" s="52"/>
      <c r="DD677" s="52"/>
      <c r="DE677" s="52"/>
      <c r="DF677" s="52"/>
      <c r="DG677" s="52"/>
      <c r="DH677" s="52"/>
      <c r="DI677" s="52"/>
      <c r="DJ677" s="52"/>
      <c r="DK677" s="52"/>
      <c r="DL677" s="52"/>
      <c r="DM677" s="52"/>
      <c r="DN677" s="52"/>
      <c r="DO677" s="52"/>
      <c r="DP677" s="52"/>
      <c r="DQ677" s="52"/>
      <c r="DR677" s="52"/>
      <c r="DS677" s="52"/>
      <c r="DT677" s="52"/>
      <c r="DU677" s="52"/>
      <c r="DV677" s="52"/>
      <c r="DW677" s="52"/>
      <c r="DX677" s="52"/>
      <c r="DZ677"/>
      <c r="EA677" s="19"/>
      <c r="EB677" s="19"/>
      <c r="EC677" s="9"/>
      <c r="ED677" s="9"/>
      <c r="EE677" s="9"/>
      <c r="EF677" s="9"/>
      <c r="EG677" s="9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  <c r="FT677" s="13"/>
      <c r="FU677" s="13"/>
      <c r="FV677" s="13"/>
      <c r="FW677" s="13"/>
      <c r="FX677" s="13"/>
      <c r="FY677" s="13"/>
      <c r="FZ677" s="13"/>
      <c r="GA677" s="13"/>
    </row>
    <row r="678" spans="1:183" s="43" customFormat="1" ht="13.2" x14ac:dyDescent="0.25">
      <c r="A678" s="2"/>
      <c r="B678" s="2"/>
      <c r="C678" s="9">
        <v>14</v>
      </c>
      <c r="D678" s="9">
        <v>28</v>
      </c>
      <c r="E678" s="9">
        <v>41</v>
      </c>
      <c r="F678" s="9">
        <v>45</v>
      </c>
      <c r="G678" s="9">
        <v>66</v>
      </c>
      <c r="H678" s="9">
        <v>87</v>
      </c>
      <c r="J678" s="9">
        <v>87</v>
      </c>
      <c r="L678" s="39">
        <v>45122</v>
      </c>
      <c r="N678"/>
      <c r="O678"/>
      <c r="P678"/>
      <c r="Q678"/>
      <c r="R678"/>
      <c r="S678"/>
      <c r="T678"/>
      <c r="U678"/>
      <c r="V678"/>
      <c r="W678" s="52"/>
      <c r="Y678"/>
      <c r="Z678"/>
      <c r="AA678"/>
      <c r="AB678"/>
      <c r="AC678"/>
      <c r="AD678"/>
      <c r="AE678"/>
      <c r="AF678"/>
      <c r="AG678"/>
      <c r="AH678" s="52"/>
      <c r="AI678" s="148"/>
      <c r="AJ678" s="1"/>
      <c r="AK678" s="1"/>
      <c r="AL678" s="54"/>
      <c r="AM678" s="1"/>
      <c r="AO678" s="1"/>
      <c r="AP678" s="1"/>
      <c r="AQ678" s="1"/>
      <c r="AR678" s="54"/>
      <c r="AT678" s="1"/>
      <c r="AU678" s="1"/>
      <c r="AV678" s="1"/>
      <c r="AW678" s="54"/>
      <c r="AX678" s="57"/>
      <c r="AY678" s="54"/>
      <c r="AZ678" s="54"/>
      <c r="BA678" s="54"/>
      <c r="BB678" s="54"/>
      <c r="BC678" s="57"/>
      <c r="BD678" s="1"/>
      <c r="BE678" s="1"/>
      <c r="BF678" s="1"/>
      <c r="BG678" s="54"/>
      <c r="BI678" s="58"/>
      <c r="BJ678" s="13"/>
      <c r="BK678" s="1"/>
      <c r="BL678" s="58"/>
      <c r="BM678" s="58"/>
      <c r="BN678"/>
      <c r="BO678" s="52"/>
      <c r="BP678" s="52"/>
      <c r="BQ678" s="52"/>
      <c r="BR678" s="52"/>
      <c r="BS678" s="52"/>
      <c r="BT678" s="52"/>
      <c r="BU678" s="52"/>
      <c r="BV678" s="52"/>
      <c r="BW678" s="52"/>
      <c r="BX678" s="52"/>
      <c r="BY678" s="52"/>
      <c r="BZ678" s="52"/>
      <c r="CA678" s="52"/>
      <c r="CB678" s="52"/>
      <c r="CC678" s="52"/>
      <c r="CD678" s="52"/>
      <c r="CE678" s="52"/>
      <c r="CF678" s="52"/>
      <c r="CG678" s="52"/>
      <c r="CH678" s="52"/>
      <c r="CI678" s="52"/>
      <c r="CJ678" s="52"/>
      <c r="CK678" s="52"/>
      <c r="CL678" s="52"/>
      <c r="CM678" s="52"/>
      <c r="CN678" s="52"/>
      <c r="CO678" s="52"/>
      <c r="CP678" s="52"/>
      <c r="CQ678" s="52"/>
      <c r="CR678" s="52"/>
      <c r="CS678" s="52"/>
      <c r="CT678" s="52"/>
      <c r="CU678" s="52"/>
      <c r="CV678" s="52"/>
      <c r="CW678" s="52"/>
      <c r="CX678" s="52"/>
      <c r="CY678" s="52"/>
      <c r="CZ678" s="52"/>
      <c r="DA678" s="52"/>
      <c r="DB678" s="52"/>
      <c r="DC678" s="52"/>
      <c r="DD678" s="52"/>
      <c r="DE678" s="52"/>
      <c r="DF678" s="52"/>
      <c r="DG678" s="52"/>
      <c r="DH678" s="52"/>
      <c r="DI678" s="52"/>
      <c r="DJ678" s="52"/>
      <c r="DK678" s="52"/>
      <c r="DL678" s="52"/>
      <c r="DM678" s="52"/>
      <c r="DN678" s="52"/>
      <c r="DO678" s="52"/>
      <c r="DP678" s="52"/>
      <c r="DQ678" s="52"/>
      <c r="DR678" s="52"/>
      <c r="DS678" s="52"/>
      <c r="DT678" s="52"/>
      <c r="DU678" s="52"/>
      <c r="DV678" s="52"/>
      <c r="DW678" s="52"/>
      <c r="DX678" s="52"/>
      <c r="DZ678"/>
      <c r="EA678" s="19"/>
      <c r="EB678" s="19"/>
      <c r="EC678" s="9"/>
      <c r="ED678" s="9"/>
      <c r="EE678" s="9"/>
      <c r="EF678" s="9"/>
      <c r="EG678" s="9"/>
      <c r="EH678" s="13"/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3"/>
      <c r="FJ678" s="13"/>
      <c r="FK678" s="13"/>
      <c r="FL678" s="13"/>
      <c r="FM678" s="13"/>
      <c r="FN678" s="13"/>
      <c r="FO678" s="13"/>
      <c r="FP678" s="13"/>
      <c r="FQ678" s="13"/>
      <c r="FR678" s="13"/>
      <c r="FS678" s="13"/>
      <c r="FT678" s="13"/>
      <c r="FU678" s="13"/>
      <c r="FV678" s="13"/>
      <c r="FW678" s="13"/>
      <c r="FX678" s="13"/>
      <c r="FY678" s="13"/>
      <c r="FZ678" s="13"/>
      <c r="GA678" s="13"/>
    </row>
    <row r="679" spans="1:183" s="43" customFormat="1" ht="13.2" x14ac:dyDescent="0.25">
      <c r="A679" s="2"/>
      <c r="B679" s="2"/>
      <c r="C679" s="9">
        <v>21</v>
      </c>
      <c r="D679" s="9">
        <v>30</v>
      </c>
      <c r="E679" s="9">
        <v>31</v>
      </c>
      <c r="F679" s="9">
        <v>40</v>
      </c>
      <c r="G679" s="9">
        <v>51</v>
      </c>
      <c r="H679" s="9">
        <v>71</v>
      </c>
      <c r="J679" s="9">
        <v>71</v>
      </c>
      <c r="L679" s="39">
        <v>45119</v>
      </c>
      <c r="N679"/>
      <c r="O679"/>
      <c r="P679"/>
      <c r="Q679"/>
      <c r="R679"/>
      <c r="S679"/>
      <c r="T679"/>
      <c r="U679"/>
      <c r="V679"/>
      <c r="W679" s="52"/>
      <c r="Y679"/>
      <c r="Z679"/>
      <c r="AA679"/>
      <c r="AB679"/>
      <c r="AC679"/>
      <c r="AD679"/>
      <c r="AE679"/>
      <c r="AF679"/>
      <c r="AG679"/>
      <c r="AH679" s="52"/>
      <c r="AI679" s="148"/>
      <c r="AJ679" s="1"/>
      <c r="AK679" s="1"/>
      <c r="AL679" s="54"/>
      <c r="AM679" s="1"/>
      <c r="AO679" s="1"/>
      <c r="AP679" s="1"/>
      <c r="AQ679" s="1"/>
      <c r="AR679" s="54"/>
      <c r="AT679" s="1"/>
      <c r="AU679" s="1"/>
      <c r="AV679" s="1"/>
      <c r="AW679" s="54"/>
      <c r="AX679" s="57"/>
      <c r="AY679" s="54"/>
      <c r="AZ679" s="54"/>
      <c r="BA679" s="54"/>
      <c r="BB679" s="54"/>
      <c r="BC679" s="57"/>
      <c r="BD679" s="1"/>
      <c r="BE679" s="1"/>
      <c r="BF679" s="1"/>
      <c r="BG679" s="54"/>
      <c r="BI679"/>
      <c r="BJ679" s="13"/>
      <c r="BK679" s="1"/>
      <c r="BL679"/>
      <c r="BM679"/>
      <c r="BN679"/>
      <c r="BO679" s="52"/>
      <c r="BP679" s="52"/>
      <c r="BQ679" s="52"/>
      <c r="BR679" s="52"/>
      <c r="BS679" s="52"/>
      <c r="BT679" s="52"/>
      <c r="BU679" s="52"/>
      <c r="BV679" s="52"/>
      <c r="BW679" s="52"/>
      <c r="BX679" s="52"/>
      <c r="BY679" s="52"/>
      <c r="BZ679" s="52"/>
      <c r="CA679" s="52"/>
      <c r="CB679" s="52"/>
      <c r="CC679" s="52"/>
      <c r="CD679" s="52"/>
      <c r="CE679" s="52"/>
      <c r="CF679" s="52"/>
      <c r="CG679" s="52"/>
      <c r="CH679" s="52"/>
      <c r="CI679" s="52"/>
      <c r="CJ679" s="52"/>
      <c r="CK679" s="52"/>
      <c r="CL679" s="52"/>
      <c r="CM679" s="52"/>
      <c r="CN679" s="52"/>
      <c r="CO679" s="52"/>
      <c r="CP679" s="52"/>
      <c r="CQ679" s="52"/>
      <c r="CR679" s="52"/>
      <c r="CS679" s="52"/>
      <c r="CT679" s="52"/>
      <c r="CU679" s="52"/>
      <c r="CV679" s="52"/>
      <c r="CW679" s="52"/>
      <c r="CX679" s="52"/>
      <c r="CY679" s="52"/>
      <c r="CZ679" s="52"/>
      <c r="DA679" s="52"/>
      <c r="DB679" s="52"/>
      <c r="DC679" s="52"/>
      <c r="DD679" s="52"/>
      <c r="DE679" s="52"/>
      <c r="DF679" s="52"/>
      <c r="DG679" s="52"/>
      <c r="DH679" s="52"/>
      <c r="DI679" s="52"/>
      <c r="DJ679" s="52"/>
      <c r="DK679" s="52"/>
      <c r="DL679" s="52"/>
      <c r="DM679" s="52"/>
      <c r="DN679" s="52"/>
      <c r="DO679" s="52"/>
      <c r="DP679" s="52"/>
      <c r="DQ679" s="52"/>
      <c r="DR679" s="52"/>
      <c r="DS679" s="52"/>
      <c r="DT679" s="52"/>
      <c r="DU679" s="52"/>
      <c r="DV679" s="52"/>
      <c r="DW679" s="52"/>
      <c r="DX679" s="52"/>
      <c r="DZ679"/>
      <c r="EA679" s="19"/>
      <c r="EB679" s="19"/>
      <c r="EC679" s="9"/>
      <c r="ED679" s="9"/>
      <c r="EE679" s="9"/>
      <c r="EF679" s="9"/>
      <c r="EG679" s="9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3"/>
      <c r="FJ679" s="13"/>
      <c r="FK679" s="13"/>
      <c r="FL679" s="13"/>
      <c r="FM679" s="13"/>
      <c r="FN679" s="13"/>
      <c r="FO679" s="13"/>
      <c r="FP679" s="13"/>
      <c r="FQ679" s="13"/>
      <c r="FR679" s="13"/>
      <c r="FS679" s="13"/>
      <c r="FT679" s="13"/>
      <c r="FU679" s="13"/>
      <c r="FV679" s="13"/>
      <c r="FW679" s="13"/>
      <c r="FX679" s="13"/>
      <c r="FY679" s="13"/>
      <c r="FZ679" s="13"/>
      <c r="GA679" s="13"/>
    </row>
    <row r="680" spans="1:183" s="43" customFormat="1" ht="13.2" x14ac:dyDescent="0.25">
      <c r="A680" s="2"/>
      <c r="B680" s="2"/>
      <c r="C680" s="9">
        <v>27</v>
      </c>
      <c r="D680" s="9">
        <v>42</v>
      </c>
      <c r="E680" s="9">
        <v>45</v>
      </c>
      <c r="F680" s="9">
        <v>53</v>
      </c>
      <c r="G680" s="9">
        <v>63</v>
      </c>
      <c r="H680" s="9">
        <v>81</v>
      </c>
      <c r="J680" s="9">
        <v>81</v>
      </c>
      <c r="L680" s="39">
        <v>45117</v>
      </c>
      <c r="N680"/>
      <c r="O680"/>
      <c r="P680"/>
      <c r="Q680"/>
      <c r="R680"/>
      <c r="S680"/>
      <c r="T680"/>
      <c r="U680"/>
      <c r="V680"/>
      <c r="W680" s="52"/>
      <c r="Y680"/>
      <c r="Z680"/>
      <c r="AA680"/>
      <c r="AB680"/>
      <c r="AC680"/>
      <c r="AD680"/>
      <c r="AE680"/>
      <c r="AF680"/>
      <c r="AG680"/>
      <c r="AH680" s="52"/>
      <c r="AI680" s="148"/>
      <c r="AJ680" s="1"/>
      <c r="AK680" s="1"/>
      <c r="AL680" s="54"/>
      <c r="AM680" s="1"/>
      <c r="AO680" s="1"/>
      <c r="AP680" s="1"/>
      <c r="AQ680" s="1"/>
      <c r="AR680" s="54"/>
      <c r="AT680" s="1"/>
      <c r="AU680" s="1"/>
      <c r="AV680" s="1"/>
      <c r="AW680" s="54"/>
      <c r="AX680" s="57"/>
      <c r="AY680" s="54"/>
      <c r="AZ680" s="54"/>
      <c r="BA680" s="54"/>
      <c r="BB680" s="54"/>
      <c r="BC680" s="57"/>
      <c r="BD680" s="1"/>
      <c r="BE680" s="1"/>
      <c r="BF680" s="1"/>
      <c r="BG680" s="54"/>
      <c r="BI680"/>
      <c r="BJ680" s="13"/>
      <c r="BK680" s="1"/>
      <c r="BL680"/>
      <c r="BM680"/>
      <c r="BN680"/>
      <c r="BO680" s="52"/>
      <c r="BP680" s="52"/>
      <c r="BQ680" s="52"/>
      <c r="BR680" s="52"/>
      <c r="BS680" s="52"/>
      <c r="BT680" s="52"/>
      <c r="BU680" s="52"/>
      <c r="BV680" s="52"/>
      <c r="BW680" s="52"/>
      <c r="BX680" s="52"/>
      <c r="BY680" s="52"/>
      <c r="BZ680" s="52"/>
      <c r="CA680" s="52"/>
      <c r="CB680" s="52"/>
      <c r="CC680" s="52"/>
      <c r="CD680" s="52"/>
      <c r="CE680" s="52"/>
      <c r="CF680" s="52"/>
      <c r="CG680" s="52"/>
      <c r="CH680" s="52"/>
      <c r="CI680" s="52"/>
      <c r="CJ680" s="52"/>
      <c r="CK680" s="52"/>
      <c r="CL680" s="52"/>
      <c r="CM680" s="52"/>
      <c r="CN680" s="52"/>
      <c r="CO680" s="52"/>
      <c r="CP680" s="52"/>
      <c r="CQ680" s="52"/>
      <c r="CR680" s="52"/>
      <c r="CS680" s="52"/>
      <c r="CT680" s="52"/>
      <c r="CU680" s="52"/>
      <c r="CV680" s="52"/>
      <c r="CW680" s="52"/>
      <c r="CX680" s="52"/>
      <c r="CY680" s="52"/>
      <c r="CZ680" s="52"/>
      <c r="DA680" s="52"/>
      <c r="DB680" s="52"/>
      <c r="DC680" s="52"/>
      <c r="DD680" s="52"/>
      <c r="DE680" s="52"/>
      <c r="DF680" s="52"/>
      <c r="DG680" s="52"/>
      <c r="DH680" s="52"/>
      <c r="DI680" s="52"/>
      <c r="DJ680" s="52"/>
      <c r="DK680" s="52"/>
      <c r="DL680" s="52"/>
      <c r="DM680" s="52"/>
      <c r="DN680" s="52"/>
      <c r="DO680" s="52"/>
      <c r="DP680" s="52"/>
      <c r="DQ680" s="52"/>
      <c r="DR680" s="52"/>
      <c r="DS680" s="52"/>
      <c r="DT680" s="52"/>
      <c r="DU680" s="52"/>
      <c r="DV680" s="52"/>
      <c r="DW680" s="52"/>
      <c r="DX680" s="52"/>
      <c r="DZ680"/>
      <c r="EA680" s="19"/>
      <c r="EB680" s="19"/>
      <c r="EC680" s="9"/>
      <c r="ED680" s="9"/>
      <c r="EE680" s="9"/>
      <c r="EF680" s="9"/>
      <c r="EG680" s="9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  <c r="FI680" s="13"/>
      <c r="FJ680" s="13"/>
      <c r="FK680" s="13"/>
      <c r="FL680" s="13"/>
      <c r="FM680" s="13"/>
      <c r="FN680" s="13"/>
      <c r="FO680" s="13"/>
      <c r="FP680" s="13"/>
      <c r="FQ680" s="13"/>
      <c r="FR680" s="13"/>
      <c r="FS680" s="13"/>
      <c r="FT680" s="13"/>
      <c r="FU680" s="13"/>
      <c r="FV680" s="13"/>
      <c r="FW680" s="13"/>
      <c r="FX680" s="13"/>
      <c r="FY680" s="13"/>
      <c r="FZ680" s="13"/>
      <c r="GA680" s="13"/>
    </row>
    <row r="681" spans="1:183" s="43" customFormat="1" ht="13.2" x14ac:dyDescent="0.25">
      <c r="A681" s="2"/>
      <c r="B681" s="2"/>
      <c r="C681" s="9">
        <v>10</v>
      </c>
      <c r="D681" s="9">
        <v>37</v>
      </c>
      <c r="E681" s="9">
        <v>45</v>
      </c>
      <c r="F681" s="9">
        <v>67</v>
      </c>
      <c r="G681" s="9">
        <v>73</v>
      </c>
      <c r="H681" s="9">
        <v>84</v>
      </c>
      <c r="J681" s="9">
        <v>84</v>
      </c>
      <c r="L681" s="39">
        <v>45115</v>
      </c>
      <c r="N681"/>
      <c r="O681"/>
      <c r="P681"/>
      <c r="Q681"/>
      <c r="R681"/>
      <c r="S681"/>
      <c r="T681"/>
      <c r="U681"/>
      <c r="V681"/>
      <c r="W681" s="52"/>
      <c r="Y681"/>
      <c r="Z681"/>
      <c r="AA681"/>
      <c r="AB681"/>
      <c r="AC681"/>
      <c r="AD681"/>
      <c r="AE681"/>
      <c r="AF681"/>
      <c r="AG681"/>
      <c r="AH681" s="52"/>
      <c r="AI681" s="148"/>
      <c r="AJ681" s="1"/>
      <c r="AK681" s="1"/>
      <c r="AL681" s="54"/>
      <c r="AM681" s="1"/>
      <c r="AO681" s="1"/>
      <c r="AP681" s="1"/>
      <c r="AQ681" s="1"/>
      <c r="AR681" s="54"/>
      <c r="AT681" s="1"/>
      <c r="AU681" s="1"/>
      <c r="AV681" s="1"/>
      <c r="AW681" s="54"/>
      <c r="AX681" s="57"/>
      <c r="AY681" s="54"/>
      <c r="AZ681" s="54"/>
      <c r="BA681" s="54"/>
      <c r="BB681" s="54"/>
      <c r="BC681" s="57"/>
      <c r="BD681" s="1"/>
      <c r="BE681" s="1"/>
      <c r="BF681" s="1"/>
      <c r="BG681" s="54"/>
      <c r="BH681" s="78"/>
      <c r="BI681"/>
      <c r="BJ681" s="13"/>
      <c r="BK681" s="67"/>
      <c r="BL681"/>
      <c r="BM681"/>
      <c r="BN681" s="58"/>
      <c r="BO681" s="69"/>
      <c r="BP681" s="69"/>
      <c r="BQ681" s="69"/>
      <c r="BR681" s="69"/>
      <c r="BS681" s="69"/>
      <c r="BT681" s="69"/>
      <c r="BU681" s="69"/>
      <c r="BV681" s="69"/>
      <c r="BW681" s="69"/>
      <c r="BX681" s="69"/>
      <c r="BY681" s="69"/>
      <c r="BZ681" s="69"/>
      <c r="CA681" s="69"/>
      <c r="CB681" s="69"/>
      <c r="CC681" s="69"/>
      <c r="CD681" s="69"/>
      <c r="CE681" s="69"/>
      <c r="CF681" s="69"/>
      <c r="CG681" s="69"/>
      <c r="CH681" s="69"/>
      <c r="CI681" s="69"/>
      <c r="CJ681" s="69"/>
      <c r="CK681" s="69"/>
      <c r="CL681" s="69"/>
      <c r="CM681" s="69"/>
      <c r="CN681" s="69"/>
      <c r="CO681" s="69"/>
      <c r="CP681" s="69"/>
      <c r="CQ681" s="69"/>
      <c r="CR681" s="69"/>
      <c r="CS681" s="69"/>
      <c r="CT681" s="69"/>
      <c r="CU681" s="69"/>
      <c r="CV681" s="69"/>
      <c r="CW681" s="69"/>
      <c r="CX681" s="69"/>
      <c r="CY681" s="69"/>
      <c r="CZ681" s="69"/>
      <c r="DA681" s="69"/>
      <c r="DB681" s="69"/>
      <c r="DC681" s="69"/>
      <c r="DD681" s="69"/>
      <c r="DE681" s="69"/>
      <c r="DF681" s="69"/>
      <c r="DG681" s="69"/>
      <c r="DH681" s="69"/>
      <c r="DI681" s="69"/>
      <c r="DJ681" s="69"/>
      <c r="DK681" s="69"/>
      <c r="DL681" s="69"/>
      <c r="DM681" s="69"/>
      <c r="DN681" s="69"/>
      <c r="DO681" s="69"/>
      <c r="DP681" s="69"/>
      <c r="DQ681" s="69"/>
      <c r="DR681" s="69"/>
      <c r="DS681" s="69"/>
      <c r="DT681" s="69"/>
      <c r="DU681" s="69"/>
      <c r="DV681" s="69"/>
      <c r="DW681" s="69"/>
      <c r="DX681" s="69"/>
      <c r="DZ681"/>
      <c r="EA681" s="19"/>
      <c r="EB681" s="19"/>
      <c r="EC681" s="9"/>
      <c r="ED681" s="9"/>
      <c r="EE681" s="9"/>
      <c r="EF681" s="9"/>
      <c r="EG681" s="9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3"/>
      <c r="FD681" s="13"/>
      <c r="FE681" s="13"/>
      <c r="FF681" s="13"/>
      <c r="FG681" s="13"/>
      <c r="FH681" s="13"/>
      <c r="FI681" s="13"/>
      <c r="FJ681" s="13"/>
      <c r="FK681" s="13"/>
      <c r="FL681" s="13"/>
      <c r="FM681" s="13"/>
      <c r="FN681" s="13"/>
      <c r="FO681" s="13"/>
      <c r="FP681" s="13"/>
      <c r="FQ681" s="13"/>
      <c r="FR681" s="13"/>
      <c r="FS681" s="13"/>
      <c r="FT681" s="13"/>
      <c r="FU681" s="13"/>
      <c r="FV681" s="13"/>
      <c r="FW681" s="13"/>
      <c r="FX681" s="13"/>
      <c r="FY681" s="13"/>
      <c r="FZ681" s="13"/>
      <c r="GA681" s="13"/>
    </row>
    <row r="682" spans="1:183" s="52" customFormat="1" ht="13.2" x14ac:dyDescent="0.25">
      <c r="A682" s="2"/>
      <c r="B682" s="2"/>
      <c r="C682" s="9">
        <v>4</v>
      </c>
      <c r="D682" s="9">
        <v>16</v>
      </c>
      <c r="E682" s="9">
        <v>37</v>
      </c>
      <c r="F682" s="9">
        <v>38</v>
      </c>
      <c r="G682" s="9">
        <v>64</v>
      </c>
      <c r="H682" s="9">
        <v>81</v>
      </c>
      <c r="I682" s="43"/>
      <c r="J682" s="9">
        <v>81</v>
      </c>
      <c r="K682" s="43"/>
      <c r="L682" s="39">
        <v>45112</v>
      </c>
      <c r="M682" s="43"/>
      <c r="N682"/>
      <c r="O682"/>
      <c r="P682"/>
      <c r="Q682"/>
      <c r="R682"/>
      <c r="S682"/>
      <c r="T682"/>
      <c r="U682"/>
      <c r="V682"/>
      <c r="X682" s="43"/>
      <c r="Y682"/>
      <c r="Z682"/>
      <c r="AA682"/>
      <c r="AB682"/>
      <c r="AC682"/>
      <c r="AD682"/>
      <c r="AE682"/>
      <c r="AF682"/>
      <c r="AG682"/>
      <c r="AI682" s="148"/>
      <c r="AJ682" s="1"/>
      <c r="AK682" s="1"/>
      <c r="AL682" s="54"/>
      <c r="AM682" s="1"/>
      <c r="AN682" s="43"/>
      <c r="AO682" s="1"/>
      <c r="AP682" s="1"/>
      <c r="AQ682" s="19"/>
      <c r="AR682" s="54"/>
      <c r="AS682" s="43"/>
      <c r="AT682" s="1"/>
      <c r="AU682" s="1"/>
      <c r="AV682" s="1"/>
      <c r="AW682" s="54"/>
      <c r="AX682" s="57"/>
      <c r="AY682" s="54"/>
      <c r="AZ682" s="54"/>
      <c r="BA682" s="54"/>
      <c r="BB682" s="54"/>
      <c r="BC682" s="57"/>
      <c r="BD682" s="1"/>
      <c r="BE682" s="1"/>
      <c r="BF682" s="1"/>
      <c r="BG682" s="54"/>
      <c r="BH682" s="43"/>
      <c r="BI682"/>
      <c r="BJ682" s="13"/>
      <c r="BK682" s="1"/>
      <c r="BL682"/>
      <c r="BM682"/>
      <c r="BN682"/>
      <c r="DY682" s="43"/>
      <c r="DZ682"/>
      <c r="EA682" s="19"/>
      <c r="EB682" s="19"/>
      <c r="EC682" s="9"/>
      <c r="ED682" s="9"/>
      <c r="EE682" s="9"/>
      <c r="EF682" s="9"/>
      <c r="EG682" s="9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  <c r="FU682" s="13"/>
      <c r="FV682" s="13"/>
      <c r="FW682" s="13"/>
      <c r="FX682" s="13"/>
      <c r="FY682" s="13"/>
      <c r="FZ682" s="13"/>
      <c r="GA682" s="13"/>
    </row>
    <row r="683" spans="1:183" s="52" customFormat="1" ht="13.2" x14ac:dyDescent="0.25">
      <c r="A683" s="2"/>
      <c r="B683" s="2"/>
      <c r="C683" s="9">
        <v>7</v>
      </c>
      <c r="D683" s="9">
        <v>14</v>
      </c>
      <c r="E683" s="9">
        <v>52</v>
      </c>
      <c r="F683" s="9">
        <v>71</v>
      </c>
      <c r="G683" s="9">
        <v>77</v>
      </c>
      <c r="H683" s="9">
        <v>87</v>
      </c>
      <c r="I683" s="43"/>
      <c r="J683" s="9">
        <v>87</v>
      </c>
      <c r="K683" s="43"/>
      <c r="L683" s="39">
        <v>45110</v>
      </c>
      <c r="M683" s="43"/>
      <c r="N683"/>
      <c r="O683"/>
      <c r="P683"/>
      <c r="Q683"/>
      <c r="R683"/>
      <c r="S683"/>
      <c r="T683"/>
      <c r="U683"/>
      <c r="V683"/>
      <c r="X683" s="43"/>
      <c r="Y683"/>
      <c r="Z683"/>
      <c r="AA683"/>
      <c r="AB683"/>
      <c r="AC683"/>
      <c r="AD683"/>
      <c r="AE683"/>
      <c r="AF683"/>
      <c r="AG683"/>
      <c r="AI683" s="148"/>
      <c r="AJ683" s="67"/>
      <c r="AK683" s="67"/>
      <c r="AL683" s="99"/>
      <c r="AM683" s="67"/>
      <c r="AN683" s="78"/>
      <c r="AO683" s="67"/>
      <c r="AP683" s="67"/>
      <c r="AQ683" s="19"/>
      <c r="AR683" s="99"/>
      <c r="AS683" s="78"/>
      <c r="AT683" s="67"/>
      <c r="AU683" s="67"/>
      <c r="AV683" s="67"/>
      <c r="AW683" s="99"/>
      <c r="AX683" s="109"/>
      <c r="AY683" s="99"/>
      <c r="AZ683" s="99"/>
      <c r="BA683" s="99"/>
      <c r="BB683" s="99"/>
      <c r="BC683" s="109"/>
      <c r="BD683" s="67"/>
      <c r="BE683" s="67"/>
      <c r="BF683" s="67"/>
      <c r="BG683" s="99"/>
      <c r="BH683" s="43"/>
      <c r="BI683"/>
      <c r="BJ683" s="13"/>
      <c r="BK683" s="1"/>
      <c r="BL683"/>
      <c r="BM683"/>
      <c r="BN683"/>
      <c r="DY683" s="43"/>
      <c r="DZ683"/>
      <c r="EA683" s="19"/>
      <c r="EB683" s="19"/>
      <c r="EC683" s="9"/>
      <c r="ED683" s="9"/>
      <c r="EE683" s="9"/>
      <c r="EF683" s="9"/>
      <c r="EG683" s="9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3"/>
      <c r="FD683" s="13"/>
      <c r="FE683" s="13"/>
      <c r="FF683" s="13"/>
      <c r="FG683" s="13"/>
      <c r="FH683" s="13"/>
      <c r="FI683" s="13"/>
      <c r="FJ683" s="13"/>
      <c r="FK683" s="13"/>
      <c r="FL683" s="13"/>
      <c r="FM683" s="13"/>
      <c r="FN683" s="13"/>
      <c r="FO683" s="13"/>
      <c r="FP683" s="13"/>
      <c r="FQ683" s="13"/>
      <c r="FR683" s="13"/>
      <c r="FS683" s="13"/>
      <c r="FT683" s="13"/>
      <c r="FU683" s="13"/>
      <c r="FV683" s="13"/>
      <c r="FW683" s="13"/>
      <c r="FX683" s="13"/>
      <c r="FY683" s="13"/>
      <c r="FZ683" s="13"/>
      <c r="GA683" s="13"/>
    </row>
    <row r="684" spans="1:183" s="52" customFormat="1" ht="13.2" x14ac:dyDescent="0.25">
      <c r="A684" s="2"/>
      <c r="B684" s="2"/>
      <c r="C684" s="9">
        <v>3</v>
      </c>
      <c r="D684" s="9">
        <v>19</v>
      </c>
      <c r="E684" s="9">
        <v>24</v>
      </c>
      <c r="F684" s="9">
        <v>41</v>
      </c>
      <c r="G684" s="9">
        <v>46</v>
      </c>
      <c r="H684" s="9">
        <v>50</v>
      </c>
      <c r="I684" s="43"/>
      <c r="J684" s="9">
        <v>50</v>
      </c>
      <c r="K684" s="43"/>
      <c r="L684" s="39">
        <v>45108</v>
      </c>
      <c r="M684" s="43"/>
      <c r="N684"/>
      <c r="O684"/>
      <c r="P684"/>
      <c r="Q684"/>
      <c r="R684"/>
      <c r="S684"/>
      <c r="T684"/>
      <c r="U684"/>
      <c r="V684"/>
      <c r="X684" s="43"/>
      <c r="Y684"/>
      <c r="Z684"/>
      <c r="AA684"/>
      <c r="AB684"/>
      <c r="AC684"/>
      <c r="AD684"/>
      <c r="AE684"/>
      <c r="AF684"/>
      <c r="AG684"/>
      <c r="AI684" s="148"/>
      <c r="AJ684" s="1"/>
      <c r="AK684" s="1"/>
      <c r="AL684" s="54"/>
      <c r="AM684" s="1"/>
      <c r="AN684" s="43"/>
      <c r="AO684" s="1"/>
      <c r="AP684" s="1"/>
      <c r="AQ684" s="19"/>
      <c r="AR684" s="54"/>
      <c r="AS684" s="43"/>
      <c r="AT684" s="1"/>
      <c r="AU684" s="1"/>
      <c r="AV684" s="1"/>
      <c r="AW684" s="54"/>
      <c r="AX684" s="57"/>
      <c r="AY684" s="54"/>
      <c r="AZ684" s="54"/>
      <c r="BA684" s="54"/>
      <c r="BB684" s="54"/>
      <c r="BC684" s="57"/>
      <c r="BD684" s="1"/>
      <c r="BE684" s="1"/>
      <c r="BF684" s="1"/>
      <c r="BG684" s="54"/>
      <c r="BH684" s="43"/>
      <c r="BI684"/>
      <c r="BJ684" s="13"/>
      <c r="BK684" s="1"/>
      <c r="BL684"/>
      <c r="BM684"/>
      <c r="BN684"/>
      <c r="DY684" s="43"/>
      <c r="DZ684"/>
      <c r="EA684" s="19"/>
      <c r="EB684" s="19"/>
      <c r="EC684" s="9"/>
      <c r="ED684" s="9"/>
      <c r="EE684" s="9"/>
      <c r="EF684" s="9"/>
      <c r="EG684" s="9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  <c r="FU684" s="13"/>
      <c r="FV684" s="13"/>
      <c r="FW684" s="13"/>
      <c r="FX684" s="13"/>
      <c r="FY684" s="13"/>
      <c r="FZ684" s="13"/>
      <c r="GA684" s="13"/>
    </row>
    <row r="685" spans="1:183" s="52" customFormat="1" ht="13.2" x14ac:dyDescent="0.25">
      <c r="A685" s="2"/>
      <c r="B685" s="2"/>
      <c r="C685" s="9">
        <v>14</v>
      </c>
      <c r="D685" s="9">
        <v>19</v>
      </c>
      <c r="E685" s="9">
        <v>72</v>
      </c>
      <c r="F685" s="9">
        <v>73</v>
      </c>
      <c r="G685" s="9">
        <v>75</v>
      </c>
      <c r="H685" s="9">
        <v>82</v>
      </c>
      <c r="I685" s="43"/>
      <c r="J685" s="9">
        <v>82</v>
      </c>
      <c r="K685" s="43"/>
      <c r="L685" s="39">
        <v>45095</v>
      </c>
      <c r="M685" s="43"/>
      <c r="N685"/>
      <c r="O685"/>
      <c r="P685"/>
      <c r="Q685"/>
      <c r="R685"/>
      <c r="S685"/>
      <c r="T685"/>
      <c r="U685"/>
      <c r="V685"/>
      <c r="X685" s="43"/>
      <c r="Y685"/>
      <c r="Z685"/>
      <c r="AA685"/>
      <c r="AB685"/>
      <c r="AC685"/>
      <c r="AD685"/>
      <c r="AE685"/>
      <c r="AF685"/>
      <c r="AG685"/>
      <c r="AI685" s="148"/>
      <c r="AJ685" s="1"/>
      <c r="AK685" s="1"/>
      <c r="AL685" s="54"/>
      <c r="AM685" s="1"/>
      <c r="AN685" s="43"/>
      <c r="AO685" s="1"/>
      <c r="AP685" s="1"/>
      <c r="AQ685" s="19"/>
      <c r="AR685" s="54"/>
      <c r="AS685" s="43"/>
      <c r="AT685" s="1"/>
      <c r="AU685" s="1"/>
      <c r="AV685" s="1"/>
      <c r="AW685" s="54"/>
      <c r="AX685" s="57"/>
      <c r="AY685" s="54"/>
      <c r="AZ685" s="54"/>
      <c r="BA685" s="54"/>
      <c r="BB685" s="54"/>
      <c r="BC685" s="57"/>
      <c r="BD685" s="1"/>
      <c r="BE685" s="1"/>
      <c r="BF685" s="1"/>
      <c r="BG685" s="54"/>
      <c r="BH685" s="43"/>
      <c r="BI685"/>
      <c r="BJ685" s="13"/>
      <c r="BK685" s="1"/>
      <c r="BL685"/>
      <c r="BM685"/>
      <c r="BN685"/>
      <c r="DY685" s="43"/>
      <c r="DZ685"/>
      <c r="EA685" s="19"/>
      <c r="EB685" s="19"/>
      <c r="EC685" s="9"/>
      <c r="ED685" s="9"/>
      <c r="EE685" s="9"/>
      <c r="EF685" s="9"/>
      <c r="EG685" s="9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3"/>
      <c r="FJ685" s="13"/>
      <c r="FK685" s="13"/>
      <c r="FL685" s="13"/>
      <c r="FM685" s="13"/>
      <c r="FN685" s="13"/>
      <c r="FO685" s="13"/>
      <c r="FP685" s="13"/>
      <c r="FQ685" s="13"/>
      <c r="FR685" s="13"/>
      <c r="FS685" s="13"/>
      <c r="FT685" s="13"/>
      <c r="FU685" s="13"/>
      <c r="FV685" s="13"/>
      <c r="FW685" s="13"/>
      <c r="FX685" s="13"/>
      <c r="FY685" s="13"/>
      <c r="FZ685" s="13"/>
      <c r="GA685" s="13"/>
    </row>
    <row r="686" spans="1:183" s="52" customFormat="1" ht="13.2" x14ac:dyDescent="0.25">
      <c r="A686" s="2"/>
      <c r="B686" s="2"/>
      <c r="C686" s="9">
        <v>51</v>
      </c>
      <c r="D686" s="9">
        <v>64</v>
      </c>
      <c r="E686" s="9">
        <v>69</v>
      </c>
      <c r="F686" s="9">
        <v>70</v>
      </c>
      <c r="G686" s="9">
        <v>78</v>
      </c>
      <c r="H686" s="9">
        <v>85</v>
      </c>
      <c r="I686" s="43"/>
      <c r="J686" s="9">
        <v>85</v>
      </c>
      <c r="K686" s="43"/>
      <c r="L686" s="39">
        <v>45103</v>
      </c>
      <c r="M686" s="43"/>
      <c r="N686"/>
      <c r="O686"/>
      <c r="P686"/>
      <c r="Q686"/>
      <c r="R686"/>
      <c r="S686"/>
      <c r="T686"/>
      <c r="U686"/>
      <c r="V686"/>
      <c r="X686" s="43"/>
      <c r="Y686"/>
      <c r="Z686"/>
      <c r="AA686"/>
      <c r="AB686"/>
      <c r="AC686"/>
      <c r="AD686"/>
      <c r="AE686"/>
      <c r="AF686"/>
      <c r="AG686"/>
      <c r="AI686" s="148"/>
      <c r="AJ686" s="1"/>
      <c r="AK686" s="1"/>
      <c r="AL686" s="54"/>
      <c r="AM686" s="1"/>
      <c r="AN686" s="43"/>
      <c r="AO686" s="1"/>
      <c r="AP686" s="1"/>
      <c r="AQ686" s="19"/>
      <c r="AR686" s="54"/>
      <c r="AS686" s="43"/>
      <c r="AT686" s="1"/>
      <c r="AU686" s="1"/>
      <c r="AV686" s="1"/>
      <c r="AW686" s="54"/>
      <c r="AX686" s="57"/>
      <c r="AY686" s="54"/>
      <c r="AZ686" s="54"/>
      <c r="BA686" s="54"/>
      <c r="BB686" s="54"/>
      <c r="BC686" s="57"/>
      <c r="BD686" s="1"/>
      <c r="BE686" s="1"/>
      <c r="BF686" s="1"/>
      <c r="BG686" s="54"/>
      <c r="BH686" s="43"/>
      <c r="BI686"/>
      <c r="BJ686" s="13"/>
      <c r="BK686" s="1"/>
      <c r="BL686"/>
      <c r="BM686"/>
      <c r="BN686"/>
      <c r="DY686" s="43"/>
      <c r="DZ686"/>
      <c r="EA686" s="19"/>
      <c r="EB686" s="19"/>
      <c r="EC686" s="9"/>
      <c r="ED686" s="9"/>
      <c r="EE686" s="9"/>
      <c r="EF686" s="9"/>
      <c r="EG686" s="9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  <c r="FI686" s="13"/>
      <c r="FJ686" s="13"/>
      <c r="FK686" s="13"/>
      <c r="FL686" s="13"/>
      <c r="FM686" s="13"/>
      <c r="FN686" s="13"/>
      <c r="FO686" s="13"/>
      <c r="FP686" s="13"/>
      <c r="FQ686" s="13"/>
      <c r="FR686" s="13"/>
      <c r="FS686" s="13"/>
      <c r="FT686" s="13"/>
      <c r="FU686" s="13"/>
      <c r="FV686" s="13"/>
      <c r="FW686" s="13"/>
      <c r="FX686" s="13"/>
      <c r="FY686" s="13"/>
      <c r="FZ686" s="13"/>
      <c r="GA686" s="13"/>
    </row>
    <row r="687" spans="1:183" s="52" customFormat="1" ht="13.2" x14ac:dyDescent="0.25">
      <c r="A687" s="2"/>
      <c r="B687" s="2"/>
      <c r="C687" s="9">
        <v>18</v>
      </c>
      <c r="D687" s="9">
        <v>51</v>
      </c>
      <c r="E687" s="9">
        <v>64</v>
      </c>
      <c r="F687" s="9">
        <v>66</v>
      </c>
      <c r="G687" s="9">
        <v>84</v>
      </c>
      <c r="H687" s="9">
        <v>87</v>
      </c>
      <c r="I687" s="43"/>
      <c r="J687" s="9">
        <v>87</v>
      </c>
      <c r="K687" s="43"/>
      <c r="L687" s="39">
        <v>45101</v>
      </c>
      <c r="M687" s="43"/>
      <c r="N687"/>
      <c r="O687"/>
      <c r="P687"/>
      <c r="Q687"/>
      <c r="R687"/>
      <c r="S687"/>
      <c r="T687"/>
      <c r="U687"/>
      <c r="V687"/>
      <c r="X687" s="43"/>
      <c r="Y687"/>
      <c r="Z687"/>
      <c r="AA687"/>
      <c r="AB687"/>
      <c r="AC687"/>
      <c r="AD687"/>
      <c r="AE687"/>
      <c r="AF687"/>
      <c r="AG687"/>
      <c r="AI687" s="148"/>
      <c r="AJ687" s="1"/>
      <c r="AK687" s="1"/>
      <c r="AL687" s="54"/>
      <c r="AM687" s="1"/>
      <c r="AN687" s="43"/>
      <c r="AO687" s="1"/>
      <c r="AP687" s="1"/>
      <c r="AQ687" s="19"/>
      <c r="AR687" s="54"/>
      <c r="AS687" s="43"/>
      <c r="AT687" s="1"/>
      <c r="AU687" s="1"/>
      <c r="AV687" s="1"/>
      <c r="AW687" s="54"/>
      <c r="AX687" s="57"/>
      <c r="AY687" s="54"/>
      <c r="AZ687" s="54"/>
      <c r="BA687" s="54"/>
      <c r="BB687" s="54"/>
      <c r="BC687" s="57"/>
      <c r="BD687" s="1"/>
      <c r="BE687" s="1"/>
      <c r="BF687" s="1"/>
      <c r="BG687" s="54"/>
      <c r="BH687" s="43"/>
      <c r="BI687"/>
      <c r="BJ687" s="13"/>
      <c r="BK687" s="1"/>
      <c r="BL687"/>
      <c r="BM687"/>
      <c r="BN687"/>
      <c r="DY687" s="43"/>
      <c r="DZ687"/>
      <c r="EA687" s="19"/>
      <c r="EB687" s="19"/>
      <c r="EC687" s="9"/>
      <c r="ED687" s="9"/>
      <c r="EE687" s="9"/>
      <c r="EF687" s="9"/>
      <c r="EG687" s="9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  <c r="FI687" s="13"/>
      <c r="FJ687" s="13"/>
      <c r="FK687" s="13"/>
      <c r="FL687" s="13"/>
      <c r="FM687" s="13"/>
      <c r="FN687" s="13"/>
      <c r="FO687" s="13"/>
      <c r="FP687" s="13"/>
      <c r="FQ687" s="13"/>
      <c r="FR687" s="13"/>
      <c r="FS687" s="13"/>
      <c r="FT687" s="13"/>
      <c r="FU687" s="13"/>
      <c r="FV687" s="13"/>
      <c r="FW687" s="13"/>
      <c r="FX687" s="13"/>
      <c r="FY687" s="13"/>
      <c r="FZ687" s="13"/>
      <c r="GA687" s="13"/>
    </row>
    <row r="688" spans="1:183" s="52" customFormat="1" ht="13.2" x14ac:dyDescent="0.25">
      <c r="A688" s="2"/>
      <c r="B688" s="2"/>
      <c r="C688" s="9">
        <v>10</v>
      </c>
      <c r="D688" s="9">
        <v>25</v>
      </c>
      <c r="E688" s="9">
        <v>39</v>
      </c>
      <c r="F688" s="9">
        <v>47</v>
      </c>
      <c r="G688" s="9">
        <v>52</v>
      </c>
      <c r="H688" s="9">
        <v>72</v>
      </c>
      <c r="I688" s="43"/>
      <c r="J688" s="9">
        <v>72</v>
      </c>
      <c r="K688" s="43"/>
      <c r="L688" s="39">
        <v>45098</v>
      </c>
      <c r="M688" s="43"/>
      <c r="N688"/>
      <c r="O688"/>
      <c r="P688"/>
      <c r="Q688"/>
      <c r="R688"/>
      <c r="S688"/>
      <c r="T688"/>
      <c r="U688"/>
      <c r="V688"/>
      <c r="X688" s="43"/>
      <c r="Y688"/>
      <c r="Z688"/>
      <c r="AA688"/>
      <c r="AB688"/>
      <c r="AC688"/>
      <c r="AD688"/>
      <c r="AE688"/>
      <c r="AF688"/>
      <c r="AG688"/>
      <c r="AI688" s="148"/>
      <c r="AJ688" s="1"/>
      <c r="AK688" s="1"/>
      <c r="AL688" s="54"/>
      <c r="AM688" s="1"/>
      <c r="AN688" s="43"/>
      <c r="AO688" s="1"/>
      <c r="AP688" s="1"/>
      <c r="AQ688" s="19"/>
      <c r="AR688" s="54"/>
      <c r="AS688" s="43"/>
      <c r="AT688" s="1"/>
      <c r="AU688" s="1"/>
      <c r="AV688" s="1"/>
      <c r="AW688" s="54"/>
      <c r="AX688" s="57"/>
      <c r="AY688" s="54"/>
      <c r="AZ688" s="54"/>
      <c r="BA688" s="54"/>
      <c r="BB688" s="54"/>
      <c r="BC688" s="57"/>
      <c r="BD688" s="1"/>
      <c r="BE688" s="1"/>
      <c r="BF688" s="1"/>
      <c r="BG688" s="54"/>
      <c r="BH688" s="43"/>
      <c r="BI688"/>
      <c r="BJ688" s="13"/>
      <c r="BK688" s="1"/>
      <c r="BL688"/>
      <c r="BM688"/>
      <c r="BN688"/>
      <c r="DY688" s="43"/>
      <c r="DZ688"/>
      <c r="EA688" s="19"/>
      <c r="EB688" s="19"/>
      <c r="EC688" s="9"/>
      <c r="ED688" s="9"/>
      <c r="EE688" s="9"/>
      <c r="EF688" s="9"/>
      <c r="EG688" s="9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/>
      <c r="FJ688" s="13"/>
      <c r="FK688" s="13"/>
      <c r="FL688" s="13"/>
      <c r="FM688" s="13"/>
      <c r="FN688" s="13"/>
      <c r="FO688" s="13"/>
      <c r="FP688" s="13"/>
      <c r="FQ688" s="13"/>
      <c r="FR688" s="13"/>
      <c r="FS688" s="13"/>
      <c r="FT688" s="13"/>
      <c r="FU688" s="13"/>
      <c r="FV688" s="13"/>
      <c r="FW688" s="13"/>
      <c r="FX688" s="13"/>
      <c r="FY688" s="13"/>
      <c r="FZ688" s="13"/>
      <c r="GA688" s="13"/>
    </row>
    <row r="689" spans="1:183" s="52" customFormat="1" ht="13.2" x14ac:dyDescent="0.25">
      <c r="A689" s="2"/>
      <c r="B689" s="2"/>
      <c r="C689" s="9">
        <v>9</v>
      </c>
      <c r="D689" s="9">
        <v>22</v>
      </c>
      <c r="E689" s="9">
        <v>27</v>
      </c>
      <c r="F689" s="9">
        <v>50</v>
      </c>
      <c r="G689" s="9">
        <v>74</v>
      </c>
      <c r="H689" s="9">
        <v>86</v>
      </c>
      <c r="I689" s="43"/>
      <c r="J689" s="9">
        <v>86</v>
      </c>
      <c r="K689" s="43"/>
      <c r="L689" s="39">
        <v>45096</v>
      </c>
      <c r="M689" s="43"/>
      <c r="N689"/>
      <c r="O689"/>
      <c r="P689"/>
      <c r="Q689"/>
      <c r="R689"/>
      <c r="S689"/>
      <c r="T689"/>
      <c r="U689"/>
      <c r="V689"/>
      <c r="X689" s="43"/>
      <c r="Y689"/>
      <c r="Z689"/>
      <c r="AA689"/>
      <c r="AB689"/>
      <c r="AC689"/>
      <c r="AD689"/>
      <c r="AE689"/>
      <c r="AF689"/>
      <c r="AG689"/>
      <c r="AI689" s="148"/>
      <c r="AJ689" s="1"/>
      <c r="AK689" s="1"/>
      <c r="AL689" s="54"/>
      <c r="AM689" s="1"/>
      <c r="AN689" s="43"/>
      <c r="AO689" s="1"/>
      <c r="AP689" s="1"/>
      <c r="AQ689" s="19"/>
      <c r="AR689" s="54"/>
      <c r="AS689" s="43"/>
      <c r="AT689" s="1"/>
      <c r="AU689" s="1"/>
      <c r="AV689" s="1"/>
      <c r="AW689" s="54"/>
      <c r="AX689" s="57"/>
      <c r="AY689" s="54"/>
      <c r="AZ689" s="54"/>
      <c r="BA689" s="54"/>
      <c r="BB689" s="54"/>
      <c r="BC689" s="57"/>
      <c r="BD689" s="1"/>
      <c r="BE689" s="1"/>
      <c r="BF689" s="1"/>
      <c r="BG689" s="54"/>
      <c r="BH689" s="43"/>
      <c r="BI689"/>
      <c r="BJ689" s="13"/>
      <c r="BK689" s="1"/>
      <c r="BL689"/>
      <c r="BM689"/>
      <c r="BN689"/>
      <c r="DY689" s="43"/>
      <c r="DZ689"/>
      <c r="EA689" s="19"/>
      <c r="EB689" s="19"/>
      <c r="EC689" s="9"/>
      <c r="ED689" s="9"/>
      <c r="EE689" s="9"/>
      <c r="EF689" s="9"/>
      <c r="EG689" s="9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  <c r="FQ689" s="13"/>
      <c r="FR689" s="13"/>
      <c r="FS689" s="13"/>
      <c r="FT689" s="13"/>
      <c r="FU689" s="13"/>
      <c r="FV689" s="13"/>
      <c r="FW689" s="13"/>
      <c r="FX689" s="13"/>
      <c r="FY689" s="13"/>
      <c r="FZ689" s="13"/>
      <c r="GA689" s="13"/>
    </row>
    <row r="690" spans="1:183" s="52" customFormat="1" ht="13.2" x14ac:dyDescent="0.25">
      <c r="A690" s="2"/>
      <c r="B690" s="2"/>
      <c r="C690" s="9">
        <v>7</v>
      </c>
      <c r="D690" s="9">
        <v>30</v>
      </c>
      <c r="E690" s="9">
        <v>32</v>
      </c>
      <c r="F690" s="9">
        <v>33</v>
      </c>
      <c r="G690" s="9">
        <v>34</v>
      </c>
      <c r="H690" s="9">
        <v>35</v>
      </c>
      <c r="I690" s="43"/>
      <c r="J690" s="9">
        <v>35</v>
      </c>
      <c r="K690" s="43"/>
      <c r="L690" s="39">
        <v>45094</v>
      </c>
      <c r="M690" s="43"/>
      <c r="N690"/>
      <c r="O690"/>
      <c r="P690"/>
      <c r="Q690"/>
      <c r="R690"/>
      <c r="S690"/>
      <c r="T690"/>
      <c r="U690"/>
      <c r="V690"/>
      <c r="X690" s="43"/>
      <c r="Y690"/>
      <c r="Z690"/>
      <c r="AA690"/>
      <c r="AB690"/>
      <c r="AC690"/>
      <c r="AD690"/>
      <c r="AE690"/>
      <c r="AF690"/>
      <c r="AG690"/>
      <c r="AI690" s="148"/>
      <c r="AJ690" s="1"/>
      <c r="AK690" s="1"/>
      <c r="AL690" s="54"/>
      <c r="AM690" s="1"/>
      <c r="AN690" s="43"/>
      <c r="AO690" s="1"/>
      <c r="AP690" s="1"/>
      <c r="AQ690" s="19"/>
      <c r="AR690" s="54"/>
      <c r="AS690" s="43"/>
      <c r="AT690" s="1"/>
      <c r="AU690" s="1"/>
      <c r="AV690" s="1"/>
      <c r="AW690" s="54"/>
      <c r="AX690" s="57"/>
      <c r="AY690" s="54"/>
      <c r="AZ690" s="54"/>
      <c r="BA690" s="54"/>
      <c r="BB690" s="54"/>
      <c r="BC690" s="57"/>
      <c r="BD690" s="1"/>
      <c r="BE690" s="1"/>
      <c r="BF690" s="1"/>
      <c r="BG690" s="54"/>
      <c r="BH690" s="43"/>
      <c r="BI690"/>
      <c r="BJ690" s="13"/>
      <c r="BK690" s="1"/>
      <c r="BL690"/>
      <c r="BM690"/>
      <c r="BN690"/>
      <c r="DY690" s="43"/>
      <c r="DZ690"/>
      <c r="EA690" s="19"/>
      <c r="EB690" s="19"/>
      <c r="EC690" s="9"/>
      <c r="ED690" s="9"/>
      <c r="EE690" s="9"/>
      <c r="EF690" s="9"/>
      <c r="EG690" s="9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  <c r="FU690" s="13"/>
      <c r="FV690" s="13"/>
      <c r="FW690" s="13"/>
      <c r="FX690" s="13"/>
      <c r="FY690" s="13"/>
      <c r="FZ690" s="13"/>
      <c r="GA690" s="13"/>
    </row>
    <row r="691" spans="1:183" s="52" customFormat="1" ht="13.2" x14ac:dyDescent="0.25">
      <c r="A691" s="2"/>
      <c r="B691" s="2"/>
      <c r="C691" s="9">
        <v>4</v>
      </c>
      <c r="D691" s="9">
        <v>9</v>
      </c>
      <c r="E691" s="9">
        <v>34</v>
      </c>
      <c r="F691" s="9">
        <v>38</v>
      </c>
      <c r="G691" s="9">
        <v>89</v>
      </c>
      <c r="H691" s="9">
        <v>90</v>
      </c>
      <c r="I691" s="43"/>
      <c r="J691" s="9">
        <v>90</v>
      </c>
      <c r="K691" s="43"/>
      <c r="L691" s="39">
        <v>45091</v>
      </c>
      <c r="M691" s="43"/>
      <c r="N691"/>
      <c r="O691"/>
      <c r="P691"/>
      <c r="Q691"/>
      <c r="R691"/>
      <c r="S691"/>
      <c r="T691"/>
      <c r="U691"/>
      <c r="V691"/>
      <c r="X691" s="43"/>
      <c r="Y691"/>
      <c r="Z691"/>
      <c r="AA691"/>
      <c r="AB691"/>
      <c r="AC691"/>
      <c r="AD691"/>
      <c r="AE691"/>
      <c r="AF691"/>
      <c r="AG691"/>
      <c r="AI691" s="148"/>
      <c r="AJ691" s="1"/>
      <c r="AK691" s="1"/>
      <c r="AL691" s="54"/>
      <c r="AM691" s="1"/>
      <c r="AN691" s="43"/>
      <c r="AO691" s="1"/>
      <c r="AP691" s="1"/>
      <c r="AQ691" s="19"/>
      <c r="AR691" s="54"/>
      <c r="AS691" s="43"/>
      <c r="AT691" s="1"/>
      <c r="AU691" s="1"/>
      <c r="AV691" s="1"/>
      <c r="AW691" s="54"/>
      <c r="AX691" s="57"/>
      <c r="AY691" s="54"/>
      <c r="AZ691" s="54"/>
      <c r="BA691" s="54"/>
      <c r="BB691" s="54"/>
      <c r="BC691" s="57"/>
      <c r="BD691" s="1"/>
      <c r="BE691" s="1"/>
      <c r="BF691" s="1"/>
      <c r="BG691" s="54"/>
      <c r="BH691" s="43"/>
      <c r="BI691"/>
      <c r="BJ691" s="13"/>
      <c r="BK691" s="1"/>
      <c r="BL691"/>
      <c r="BM691"/>
      <c r="BN691"/>
      <c r="DY691" s="43"/>
      <c r="DZ691"/>
      <c r="EA691" s="19"/>
      <c r="EB691" s="19"/>
      <c r="EC691" s="9"/>
      <c r="ED691" s="9"/>
      <c r="EE691" s="9"/>
      <c r="EF691" s="9"/>
      <c r="EG691" s="9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/>
      <c r="FO691" s="13"/>
      <c r="FP691" s="13"/>
      <c r="FQ691" s="13"/>
      <c r="FR691" s="13"/>
      <c r="FS691" s="13"/>
      <c r="FT691" s="13"/>
      <c r="FU691" s="13"/>
      <c r="FV691" s="13"/>
      <c r="FW691" s="13"/>
      <c r="FX691" s="13"/>
      <c r="FY691" s="13"/>
      <c r="FZ691" s="13"/>
      <c r="GA691" s="13"/>
    </row>
    <row r="692" spans="1:183" s="52" customFormat="1" ht="13.2" x14ac:dyDescent="0.25">
      <c r="A692" s="2"/>
      <c r="B692" s="2"/>
      <c r="C692" s="9">
        <v>1</v>
      </c>
      <c r="D692" s="9">
        <v>12</v>
      </c>
      <c r="E692" s="9">
        <v>46</v>
      </c>
      <c r="F692" s="9">
        <v>58</v>
      </c>
      <c r="G692" s="9">
        <v>80</v>
      </c>
      <c r="H692" s="9">
        <v>86</v>
      </c>
      <c r="I692" s="43"/>
      <c r="J692" s="9">
        <v>86</v>
      </c>
      <c r="K692" s="43"/>
      <c r="L692" s="39">
        <v>45089</v>
      </c>
      <c r="M692" s="43"/>
      <c r="N692"/>
      <c r="O692"/>
      <c r="P692"/>
      <c r="Q692"/>
      <c r="R692"/>
      <c r="S692"/>
      <c r="T692"/>
      <c r="U692"/>
      <c r="V692"/>
      <c r="X692" s="43"/>
      <c r="Y692"/>
      <c r="Z692"/>
      <c r="AA692"/>
      <c r="AB692"/>
      <c r="AC692"/>
      <c r="AD692"/>
      <c r="AE692"/>
      <c r="AF692"/>
      <c r="AG692"/>
      <c r="AI692" s="148"/>
      <c r="AJ692" s="1"/>
      <c r="AK692" s="1"/>
      <c r="AL692" s="54"/>
      <c r="AM692" s="1"/>
      <c r="AN692" s="43"/>
      <c r="AO692" s="1"/>
      <c r="AP692" s="1"/>
      <c r="AQ692" s="19"/>
      <c r="AR692" s="54"/>
      <c r="AS692" s="43"/>
      <c r="AT692" s="1"/>
      <c r="AU692" s="1"/>
      <c r="AV692" s="1"/>
      <c r="AW692" s="54"/>
      <c r="AX692" s="57"/>
      <c r="AY692" s="54"/>
      <c r="AZ692" s="54"/>
      <c r="BA692" s="54"/>
      <c r="BB692" s="54"/>
      <c r="BC692" s="57"/>
      <c r="BD692" s="1"/>
      <c r="BE692" s="1"/>
      <c r="BF692" s="1"/>
      <c r="BG692" s="54"/>
      <c r="BH692" s="43"/>
      <c r="BI692"/>
      <c r="BJ692" s="13"/>
      <c r="BK692" s="1"/>
      <c r="BL692"/>
      <c r="BM692"/>
      <c r="BN692"/>
      <c r="DY692" s="43"/>
      <c r="DZ692"/>
      <c r="EA692" s="19"/>
      <c r="EB692" s="19"/>
      <c r="EC692" s="9"/>
      <c r="ED692" s="9"/>
      <c r="EE692" s="9"/>
      <c r="EF692" s="9"/>
      <c r="EG692" s="9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  <c r="FI692" s="13"/>
      <c r="FJ692" s="13"/>
      <c r="FK692" s="13"/>
      <c r="FL692" s="13"/>
      <c r="FM692" s="13"/>
      <c r="FN692" s="13"/>
      <c r="FO692" s="13"/>
      <c r="FP692" s="13"/>
      <c r="FQ692" s="13"/>
      <c r="FR692" s="13"/>
      <c r="FS692" s="13"/>
      <c r="FT692" s="13"/>
      <c r="FU692" s="13"/>
      <c r="FV692" s="13"/>
      <c r="FW692" s="13"/>
      <c r="FX692" s="13"/>
      <c r="FY692" s="13"/>
      <c r="FZ692" s="13"/>
      <c r="GA692" s="13"/>
    </row>
    <row r="693" spans="1:183" s="52" customFormat="1" ht="13.2" x14ac:dyDescent="0.25">
      <c r="A693" s="2"/>
      <c r="B693" s="2"/>
      <c r="C693" s="9">
        <v>2</v>
      </c>
      <c r="D693" s="9">
        <v>37</v>
      </c>
      <c r="E693" s="9">
        <v>39</v>
      </c>
      <c r="F693" s="9">
        <v>45</v>
      </c>
      <c r="G693" s="9">
        <v>50</v>
      </c>
      <c r="H693" s="9">
        <v>52</v>
      </c>
      <c r="I693" s="43"/>
      <c r="J693" s="9">
        <v>52</v>
      </c>
      <c r="K693" s="43"/>
      <c r="L693" s="39">
        <v>45087</v>
      </c>
      <c r="M693" s="43"/>
      <c r="N693"/>
      <c r="O693"/>
      <c r="P693"/>
      <c r="Q693"/>
      <c r="R693"/>
      <c r="S693"/>
      <c r="T693"/>
      <c r="U693"/>
      <c r="V693"/>
      <c r="X693" s="43"/>
      <c r="Y693"/>
      <c r="Z693"/>
      <c r="AA693"/>
      <c r="AB693"/>
      <c r="AC693"/>
      <c r="AD693"/>
      <c r="AE693"/>
      <c r="AF693"/>
      <c r="AG693"/>
      <c r="AI693" s="148"/>
      <c r="AJ693" s="1"/>
      <c r="AK693" s="1"/>
      <c r="AL693" s="54"/>
      <c r="AM693" s="1"/>
      <c r="AN693" s="43"/>
      <c r="AO693" s="1"/>
      <c r="AP693" s="1"/>
      <c r="AQ693" s="19"/>
      <c r="AR693" s="54"/>
      <c r="AS693" s="43"/>
      <c r="AT693" s="1"/>
      <c r="AU693" s="1"/>
      <c r="AV693" s="1"/>
      <c r="AW693" s="54"/>
      <c r="AX693" s="57"/>
      <c r="AY693" s="54"/>
      <c r="AZ693" s="54"/>
      <c r="BA693" s="54"/>
      <c r="BB693" s="54"/>
      <c r="BC693" s="57"/>
      <c r="BD693" s="1"/>
      <c r="BE693" s="1"/>
      <c r="BF693" s="1"/>
      <c r="BG693" s="54"/>
      <c r="BH693" s="43"/>
      <c r="BI693"/>
      <c r="BJ693" s="13"/>
      <c r="BK693" s="1"/>
      <c r="BL693"/>
      <c r="BM693"/>
      <c r="BN693"/>
      <c r="DY693" s="43"/>
      <c r="DZ693"/>
      <c r="EA693" s="19"/>
      <c r="EB693" s="19"/>
      <c r="EC693" s="9"/>
      <c r="ED693" s="9"/>
      <c r="EE693" s="9"/>
      <c r="EF693" s="9"/>
      <c r="EG693" s="9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3"/>
      <c r="FJ693" s="13"/>
      <c r="FK693" s="13"/>
      <c r="FL693" s="13"/>
      <c r="FM693" s="13"/>
      <c r="FN693" s="13"/>
      <c r="FO693" s="13"/>
      <c r="FP693" s="13"/>
      <c r="FQ693" s="13"/>
      <c r="FR693" s="13"/>
      <c r="FS693" s="13"/>
      <c r="FT693" s="13"/>
      <c r="FU693" s="13"/>
      <c r="FV693" s="13"/>
      <c r="FW693" s="13"/>
      <c r="FX693" s="13"/>
      <c r="FY693" s="13"/>
      <c r="FZ693" s="13"/>
      <c r="GA693" s="13"/>
    </row>
    <row r="694" spans="1:183" s="52" customFormat="1" ht="13.2" x14ac:dyDescent="0.25">
      <c r="A694" s="2"/>
      <c r="B694" s="2"/>
      <c r="C694" s="9">
        <v>1</v>
      </c>
      <c r="D694" s="9">
        <v>12</v>
      </c>
      <c r="E694" s="9">
        <v>41</v>
      </c>
      <c r="F694" s="9">
        <v>49</v>
      </c>
      <c r="G694" s="9">
        <v>55</v>
      </c>
      <c r="H694" s="9">
        <v>71</v>
      </c>
      <c r="I694" s="43"/>
      <c r="J694" s="9">
        <v>71</v>
      </c>
      <c r="K694" s="43"/>
      <c r="L694" s="39">
        <v>45084</v>
      </c>
      <c r="M694" s="43"/>
      <c r="N694"/>
      <c r="O694"/>
      <c r="P694"/>
      <c r="Q694"/>
      <c r="R694"/>
      <c r="S694"/>
      <c r="T694"/>
      <c r="U694"/>
      <c r="V694"/>
      <c r="X694" s="43"/>
      <c r="Y694"/>
      <c r="Z694"/>
      <c r="AA694"/>
      <c r="AB694"/>
      <c r="AC694"/>
      <c r="AD694"/>
      <c r="AE694"/>
      <c r="AF694"/>
      <c r="AG694"/>
      <c r="AI694" s="148"/>
      <c r="AJ694" s="1"/>
      <c r="AK694" s="1"/>
      <c r="AL694" s="54"/>
      <c r="AM694" s="1"/>
      <c r="AN694" s="43"/>
      <c r="AO694" s="1"/>
      <c r="AP694" s="1"/>
      <c r="AQ694" s="19"/>
      <c r="AR694" s="54"/>
      <c r="AS694" s="43"/>
      <c r="AT694" s="1"/>
      <c r="AU694" s="1"/>
      <c r="AV694" s="1"/>
      <c r="AW694" s="54"/>
      <c r="AX694" s="57"/>
      <c r="AY694" s="54"/>
      <c r="AZ694" s="54"/>
      <c r="BA694" s="54"/>
      <c r="BB694" s="54"/>
      <c r="BC694" s="57"/>
      <c r="BD694" s="1"/>
      <c r="BE694" s="1"/>
      <c r="BF694" s="1"/>
      <c r="BG694" s="54"/>
      <c r="BH694" s="43"/>
      <c r="BI694"/>
      <c r="BJ694" s="13"/>
      <c r="BK694" s="1"/>
      <c r="BL694"/>
      <c r="BM694"/>
      <c r="BN694"/>
      <c r="DY694" s="43"/>
      <c r="DZ694"/>
      <c r="EA694" s="19"/>
      <c r="EB694" s="19"/>
      <c r="EC694" s="9"/>
      <c r="ED694" s="9"/>
      <c r="EE694" s="9"/>
      <c r="EF694" s="9"/>
      <c r="EG694" s="9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  <c r="FI694" s="13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  <c r="FT694" s="13"/>
      <c r="FU694" s="13"/>
      <c r="FV694" s="13"/>
      <c r="FW694" s="13"/>
      <c r="FX694" s="13"/>
      <c r="FY694" s="13"/>
      <c r="FZ694" s="13"/>
      <c r="GA694" s="13"/>
    </row>
    <row r="695" spans="1:183" s="52" customFormat="1" ht="13.2" x14ac:dyDescent="0.25">
      <c r="A695" s="2"/>
      <c r="B695" s="2"/>
      <c r="C695" s="9">
        <v>15</v>
      </c>
      <c r="D695" s="9">
        <v>56</v>
      </c>
      <c r="E695" s="9">
        <v>67</v>
      </c>
      <c r="F695" s="9">
        <v>69</v>
      </c>
      <c r="G695" s="9">
        <v>88</v>
      </c>
      <c r="H695" s="9">
        <v>89</v>
      </c>
      <c r="I695" s="43"/>
      <c r="J695" s="9">
        <v>89</v>
      </c>
      <c r="K695" s="43"/>
      <c r="L695" s="39">
        <v>45082</v>
      </c>
      <c r="M695" s="43"/>
      <c r="N695"/>
      <c r="O695"/>
      <c r="P695"/>
      <c r="Q695"/>
      <c r="R695"/>
      <c r="S695"/>
      <c r="T695"/>
      <c r="U695"/>
      <c r="V695"/>
      <c r="X695" s="43"/>
      <c r="Y695"/>
      <c r="Z695"/>
      <c r="AA695"/>
      <c r="AB695"/>
      <c r="AC695"/>
      <c r="AD695"/>
      <c r="AE695"/>
      <c r="AF695"/>
      <c r="AG695"/>
      <c r="AI695" s="148"/>
      <c r="AJ695" s="1"/>
      <c r="AK695" s="1"/>
      <c r="AL695" s="54"/>
      <c r="AM695" s="1"/>
      <c r="AN695" s="43"/>
      <c r="AO695" s="1"/>
      <c r="AP695" s="1"/>
      <c r="AQ695" s="19"/>
      <c r="AR695" s="54"/>
      <c r="AS695" s="43"/>
      <c r="AT695" s="1"/>
      <c r="AU695" s="1"/>
      <c r="AV695" s="1"/>
      <c r="AW695" s="54"/>
      <c r="AX695" s="57"/>
      <c r="AY695" s="54"/>
      <c r="AZ695" s="54"/>
      <c r="BA695" s="54"/>
      <c r="BB695" s="54"/>
      <c r="BC695" s="57"/>
      <c r="BD695" s="1"/>
      <c r="BE695" s="1"/>
      <c r="BF695" s="1"/>
      <c r="BG695" s="54"/>
      <c r="BH695" s="43"/>
      <c r="BI695"/>
      <c r="BJ695" s="13"/>
      <c r="BK695" s="1"/>
      <c r="BL695"/>
      <c r="BM695"/>
      <c r="BN695"/>
      <c r="DY695" s="43"/>
      <c r="DZ695"/>
      <c r="EA695" s="19"/>
      <c r="EB695" s="19"/>
      <c r="EC695" s="9"/>
      <c r="ED695" s="9"/>
      <c r="EE695" s="9"/>
      <c r="EF695" s="9"/>
      <c r="EG695" s="9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3"/>
      <c r="FJ695" s="13"/>
      <c r="FK695" s="13"/>
      <c r="FL695" s="13"/>
      <c r="FM695" s="13"/>
      <c r="FN695" s="13"/>
      <c r="FO695" s="13"/>
      <c r="FP695" s="13"/>
      <c r="FQ695" s="13"/>
      <c r="FR695" s="13"/>
      <c r="FS695" s="13"/>
      <c r="FT695" s="13"/>
      <c r="FU695" s="13"/>
      <c r="FV695" s="13"/>
      <c r="FW695" s="13"/>
      <c r="FX695" s="13"/>
      <c r="FY695" s="13"/>
      <c r="FZ695" s="13"/>
      <c r="GA695" s="13"/>
    </row>
    <row r="696" spans="1:183" s="52" customFormat="1" ht="13.2" x14ac:dyDescent="0.25">
      <c r="A696" s="2"/>
      <c r="B696" s="2"/>
      <c r="C696" s="9">
        <v>24</v>
      </c>
      <c r="D696" s="9">
        <v>26</v>
      </c>
      <c r="E696" s="9">
        <v>43</v>
      </c>
      <c r="F696" s="9">
        <v>54</v>
      </c>
      <c r="G696" s="9">
        <v>62</v>
      </c>
      <c r="H696" s="9">
        <v>85</v>
      </c>
      <c r="I696" s="43"/>
      <c r="J696" s="9">
        <v>85</v>
      </c>
      <c r="K696" s="43"/>
      <c r="L696" s="39">
        <v>45080</v>
      </c>
      <c r="M696" s="43"/>
      <c r="N696"/>
      <c r="O696"/>
      <c r="P696"/>
      <c r="Q696"/>
      <c r="R696"/>
      <c r="S696"/>
      <c r="T696"/>
      <c r="U696"/>
      <c r="V696"/>
      <c r="X696" s="43"/>
      <c r="Y696"/>
      <c r="Z696"/>
      <c r="AA696"/>
      <c r="AB696"/>
      <c r="AC696"/>
      <c r="AD696"/>
      <c r="AE696"/>
      <c r="AF696"/>
      <c r="AG696"/>
      <c r="AI696" s="148"/>
      <c r="AJ696" s="1"/>
      <c r="AK696" s="1"/>
      <c r="AL696" s="54"/>
      <c r="AM696" s="1"/>
      <c r="AN696" s="43"/>
      <c r="AO696" s="1"/>
      <c r="AP696" s="1"/>
      <c r="AQ696" s="19"/>
      <c r="AR696" s="54"/>
      <c r="AS696" s="43"/>
      <c r="AT696" s="1"/>
      <c r="AU696" s="1"/>
      <c r="AV696" s="1"/>
      <c r="AW696" s="54"/>
      <c r="AX696" s="57"/>
      <c r="AY696" s="54"/>
      <c r="AZ696" s="54"/>
      <c r="BA696" s="54"/>
      <c r="BB696" s="54"/>
      <c r="BC696" s="57"/>
      <c r="BD696" s="1"/>
      <c r="BE696" s="1"/>
      <c r="BF696" s="1"/>
      <c r="BG696" s="54"/>
      <c r="BH696" s="43"/>
      <c r="BI696"/>
      <c r="BJ696" s="13"/>
      <c r="BK696" s="1"/>
      <c r="BL696"/>
      <c r="BM696"/>
      <c r="BN696"/>
      <c r="DY696" s="43"/>
      <c r="DZ696"/>
      <c r="EA696" s="19"/>
      <c r="EB696" s="19"/>
      <c r="EC696" s="9"/>
      <c r="ED696" s="9"/>
      <c r="EE696" s="9"/>
      <c r="EF696" s="9"/>
      <c r="EG696" s="9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3"/>
      <c r="FD696" s="13"/>
      <c r="FE696" s="13"/>
      <c r="FF696" s="13"/>
      <c r="FG696" s="13"/>
      <c r="FH696" s="13"/>
      <c r="FI696" s="13"/>
      <c r="FJ696" s="13"/>
      <c r="FK696" s="13"/>
      <c r="FL696" s="13"/>
      <c r="FM696" s="13"/>
      <c r="FN696" s="13"/>
      <c r="FO696" s="13"/>
      <c r="FP696" s="13"/>
      <c r="FQ696" s="13"/>
      <c r="FR696" s="13"/>
      <c r="FS696" s="13"/>
      <c r="FT696" s="13"/>
      <c r="FU696" s="13"/>
      <c r="FV696" s="13"/>
      <c r="FW696" s="13"/>
      <c r="FX696" s="13"/>
      <c r="FY696" s="13"/>
      <c r="FZ696" s="13"/>
      <c r="GA696" s="13"/>
    </row>
    <row r="697" spans="1:183" s="52" customFormat="1" ht="13.2" x14ac:dyDescent="0.25">
      <c r="A697" s="2"/>
      <c r="B697" s="2"/>
      <c r="C697" s="9">
        <v>1</v>
      </c>
      <c r="D697" s="9">
        <v>7</v>
      </c>
      <c r="E697" s="9">
        <v>10</v>
      </c>
      <c r="F697" s="9">
        <v>30</v>
      </c>
      <c r="G697" s="9">
        <v>49</v>
      </c>
      <c r="H697" s="9">
        <v>66</v>
      </c>
      <c r="I697" s="43"/>
      <c r="J697" s="9">
        <v>66</v>
      </c>
      <c r="K697" s="43"/>
      <c r="L697" s="39">
        <v>45077</v>
      </c>
      <c r="M697" s="43"/>
      <c r="N697"/>
      <c r="O697"/>
      <c r="P697"/>
      <c r="Q697"/>
      <c r="R697"/>
      <c r="S697"/>
      <c r="T697"/>
      <c r="U697"/>
      <c r="V697"/>
      <c r="X697" s="43"/>
      <c r="Y697"/>
      <c r="Z697"/>
      <c r="AA697"/>
      <c r="AB697"/>
      <c r="AC697"/>
      <c r="AD697"/>
      <c r="AE697"/>
      <c r="AF697"/>
      <c r="AG697"/>
      <c r="AI697" s="148"/>
      <c r="AJ697" s="1"/>
      <c r="AK697" s="1"/>
      <c r="AL697" s="54"/>
      <c r="AM697" s="1"/>
      <c r="AN697" s="43"/>
      <c r="AO697" s="1"/>
      <c r="AP697" s="1"/>
      <c r="AQ697" s="19"/>
      <c r="AR697" s="54"/>
      <c r="AS697" s="43"/>
      <c r="AT697" s="1"/>
      <c r="AU697" s="1"/>
      <c r="AV697" s="1"/>
      <c r="AW697" s="54"/>
      <c r="AX697" s="57"/>
      <c r="AY697" s="54"/>
      <c r="AZ697" s="54"/>
      <c r="BA697" s="54"/>
      <c r="BB697" s="54"/>
      <c r="BC697" s="57"/>
      <c r="BD697" s="1"/>
      <c r="BE697" s="1"/>
      <c r="BF697" s="1"/>
      <c r="BG697" s="54"/>
      <c r="BH697" s="43"/>
      <c r="BI697"/>
      <c r="BJ697" s="13"/>
      <c r="BK697" s="1"/>
      <c r="BL697"/>
      <c r="BM697"/>
      <c r="BN697"/>
      <c r="DY697" s="43"/>
      <c r="DZ697"/>
      <c r="EA697" s="19"/>
      <c r="EB697" s="19"/>
      <c r="EC697" s="9"/>
      <c r="ED697" s="9"/>
      <c r="EE697" s="9"/>
      <c r="EF697" s="9"/>
      <c r="EG697" s="9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  <c r="FT697" s="13"/>
      <c r="FU697" s="13"/>
      <c r="FV697" s="13"/>
      <c r="FW697" s="13"/>
      <c r="FX697" s="13"/>
      <c r="FY697" s="13"/>
      <c r="FZ697" s="13"/>
      <c r="GA697" s="13"/>
    </row>
    <row r="698" spans="1:183" s="52" customFormat="1" ht="13.2" x14ac:dyDescent="0.25">
      <c r="A698" s="2"/>
      <c r="B698" s="2"/>
      <c r="C698" s="9">
        <v>8</v>
      </c>
      <c r="D698" s="9">
        <v>15</v>
      </c>
      <c r="E698" s="9">
        <v>47</v>
      </c>
      <c r="F698" s="9">
        <v>63</v>
      </c>
      <c r="G698" s="9">
        <v>69</v>
      </c>
      <c r="H698" s="9">
        <v>86</v>
      </c>
      <c r="I698" s="43"/>
      <c r="J698" s="9">
        <v>86</v>
      </c>
      <c r="K698" s="43"/>
      <c r="L698" s="39">
        <v>45075</v>
      </c>
      <c r="M698" s="43"/>
      <c r="N698"/>
      <c r="O698"/>
      <c r="P698"/>
      <c r="Q698"/>
      <c r="R698"/>
      <c r="S698"/>
      <c r="T698"/>
      <c r="U698"/>
      <c r="V698"/>
      <c r="X698" s="43"/>
      <c r="Y698"/>
      <c r="Z698"/>
      <c r="AA698"/>
      <c r="AB698"/>
      <c r="AC698"/>
      <c r="AD698"/>
      <c r="AE698"/>
      <c r="AF698"/>
      <c r="AG698"/>
      <c r="AI698" s="148"/>
      <c r="AJ698" s="1"/>
      <c r="AK698" s="1"/>
      <c r="AL698" s="54"/>
      <c r="AM698" s="1"/>
      <c r="AN698" s="43"/>
      <c r="AO698" s="1"/>
      <c r="AP698" s="1"/>
      <c r="AQ698" s="19"/>
      <c r="AR698" s="54"/>
      <c r="AS698" s="43"/>
      <c r="AT698" s="1"/>
      <c r="AU698" s="1"/>
      <c r="AV698" s="1"/>
      <c r="AW698" s="54"/>
      <c r="AX698" s="57"/>
      <c r="AY698" s="54"/>
      <c r="AZ698" s="54"/>
      <c r="BA698" s="54"/>
      <c r="BB698" s="54"/>
      <c r="BC698" s="57"/>
      <c r="BD698" s="1"/>
      <c r="BE698" s="1"/>
      <c r="BF698" s="1"/>
      <c r="BG698" s="54"/>
      <c r="BH698" s="43"/>
      <c r="BI698"/>
      <c r="BJ698" s="13"/>
      <c r="BK698" s="1"/>
      <c r="BL698"/>
      <c r="BM698"/>
      <c r="BN698"/>
      <c r="DY698" s="43"/>
      <c r="DZ698"/>
      <c r="EA698" s="19"/>
      <c r="EB698" s="19"/>
      <c r="EC698" s="9"/>
      <c r="ED698" s="9"/>
      <c r="EE698" s="9"/>
      <c r="EF698" s="9"/>
      <c r="EG698" s="9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  <c r="FT698" s="13"/>
      <c r="FU698" s="13"/>
      <c r="FV698" s="13"/>
      <c r="FW698" s="13"/>
      <c r="FX698" s="13"/>
      <c r="FY698" s="13"/>
      <c r="FZ698" s="13"/>
      <c r="GA698" s="13"/>
    </row>
    <row r="699" spans="1:183" s="52" customFormat="1" ht="13.2" x14ac:dyDescent="0.25">
      <c r="A699" s="2"/>
      <c r="B699" s="2"/>
      <c r="C699" s="9">
        <v>20</v>
      </c>
      <c r="D699" s="9">
        <v>22</v>
      </c>
      <c r="E699" s="9">
        <v>32</v>
      </c>
      <c r="F699" s="9">
        <v>46</v>
      </c>
      <c r="G699" s="9">
        <v>56</v>
      </c>
      <c r="H699" s="9">
        <v>75</v>
      </c>
      <c r="I699" s="43"/>
      <c r="J699" s="9">
        <v>75</v>
      </c>
      <c r="K699" s="43"/>
      <c r="L699" s="39">
        <v>45073</v>
      </c>
      <c r="M699" s="43"/>
      <c r="N699"/>
      <c r="O699"/>
      <c r="P699"/>
      <c r="Q699"/>
      <c r="R699"/>
      <c r="S699"/>
      <c r="T699"/>
      <c r="U699"/>
      <c r="V699"/>
      <c r="X699" s="43"/>
      <c r="Y699"/>
      <c r="Z699"/>
      <c r="AA699"/>
      <c r="AB699"/>
      <c r="AC699"/>
      <c r="AD699"/>
      <c r="AE699"/>
      <c r="AF699"/>
      <c r="AG699"/>
      <c r="AI699" s="148"/>
      <c r="AJ699" s="1"/>
      <c r="AK699" s="1"/>
      <c r="AL699" s="54"/>
      <c r="AM699" s="1"/>
      <c r="AN699" s="43"/>
      <c r="AO699" s="1"/>
      <c r="AP699" s="1"/>
      <c r="AQ699" s="19"/>
      <c r="AR699" s="54"/>
      <c r="AS699" s="43"/>
      <c r="AT699" s="1"/>
      <c r="AU699" s="1"/>
      <c r="AV699" s="1"/>
      <c r="AW699" s="54"/>
      <c r="AX699" s="57"/>
      <c r="AY699" s="54"/>
      <c r="AZ699" s="54"/>
      <c r="BA699" s="54"/>
      <c r="BB699" s="54"/>
      <c r="BC699" s="57"/>
      <c r="BD699" s="1"/>
      <c r="BE699" s="1"/>
      <c r="BF699" s="1"/>
      <c r="BG699" s="54"/>
      <c r="BH699" s="43"/>
      <c r="BI699"/>
      <c r="BJ699" s="13"/>
      <c r="BK699" s="1"/>
      <c r="BL699"/>
      <c r="BM699"/>
      <c r="BN699"/>
      <c r="DY699" s="43"/>
      <c r="DZ699"/>
      <c r="EA699" s="19"/>
      <c r="EB699" s="19"/>
      <c r="EC699" s="9"/>
      <c r="ED699" s="9"/>
      <c r="EE699" s="9"/>
      <c r="EF699" s="9"/>
      <c r="EG699" s="9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3"/>
      <c r="FJ699" s="13"/>
      <c r="FK699" s="13"/>
      <c r="FL699" s="13"/>
      <c r="FM699" s="13"/>
      <c r="FN699" s="13"/>
      <c r="FO699" s="13"/>
      <c r="FP699" s="13"/>
      <c r="FQ699" s="13"/>
      <c r="FR699" s="13"/>
      <c r="FS699" s="13"/>
      <c r="FT699" s="13"/>
      <c r="FU699" s="13"/>
      <c r="FV699" s="13"/>
      <c r="FW699" s="13"/>
      <c r="FX699" s="13"/>
      <c r="FY699" s="13"/>
      <c r="FZ699" s="13"/>
      <c r="GA699" s="13"/>
    </row>
    <row r="700" spans="1:183" s="52" customFormat="1" ht="13.2" x14ac:dyDescent="0.25">
      <c r="A700" s="2"/>
      <c r="B700" s="2"/>
      <c r="C700" s="9">
        <v>11</v>
      </c>
      <c r="D700" s="9">
        <v>37</v>
      </c>
      <c r="E700" s="9">
        <v>38</v>
      </c>
      <c r="F700" s="9">
        <v>40</v>
      </c>
      <c r="G700" s="9">
        <v>49</v>
      </c>
      <c r="H700" s="9">
        <v>78</v>
      </c>
      <c r="I700" s="43"/>
      <c r="J700" s="9">
        <v>78</v>
      </c>
      <c r="K700" s="43"/>
      <c r="L700" s="39">
        <v>45070</v>
      </c>
      <c r="M700" s="43"/>
      <c r="N700"/>
      <c r="O700"/>
      <c r="P700"/>
      <c r="Q700"/>
      <c r="R700"/>
      <c r="S700"/>
      <c r="T700"/>
      <c r="U700"/>
      <c r="V700"/>
      <c r="X700" s="43"/>
      <c r="Y700"/>
      <c r="Z700"/>
      <c r="AA700"/>
      <c r="AB700"/>
      <c r="AC700"/>
      <c r="AD700"/>
      <c r="AE700"/>
      <c r="AF700"/>
      <c r="AG700"/>
      <c r="AI700" s="148"/>
      <c r="AJ700" s="1"/>
      <c r="AK700" s="1"/>
      <c r="AL700" s="54"/>
      <c r="AM700" s="1"/>
      <c r="AN700" s="43"/>
      <c r="AO700" s="1"/>
      <c r="AP700" s="1"/>
      <c r="AQ700" s="19"/>
      <c r="AR700" s="54"/>
      <c r="AS700" s="43"/>
      <c r="AT700" s="1"/>
      <c r="AU700" s="1"/>
      <c r="AV700" s="1"/>
      <c r="AW700" s="54"/>
      <c r="AX700" s="57"/>
      <c r="AY700" s="54"/>
      <c r="AZ700" s="54"/>
      <c r="BA700" s="54"/>
      <c r="BB700" s="54"/>
      <c r="BC700" s="57"/>
      <c r="BD700" s="1"/>
      <c r="BE700" s="1"/>
      <c r="BF700" s="1"/>
      <c r="BG700" s="54"/>
      <c r="BH700" s="43"/>
      <c r="BI700"/>
      <c r="BJ700" s="13"/>
      <c r="BK700" s="1"/>
      <c r="BL700"/>
      <c r="BM700"/>
      <c r="BN700"/>
      <c r="DY700" s="43"/>
      <c r="DZ700"/>
      <c r="EA700" s="19"/>
      <c r="EB700" s="19"/>
      <c r="EC700" s="9"/>
      <c r="ED700" s="9"/>
      <c r="EE700" s="9"/>
      <c r="EF700" s="9"/>
      <c r="EG700" s="9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  <c r="FI700" s="13"/>
      <c r="FJ700" s="13"/>
      <c r="FK700" s="13"/>
      <c r="FL700" s="13"/>
      <c r="FM700" s="13"/>
      <c r="FN700" s="13"/>
      <c r="FO700" s="13"/>
      <c r="FP700" s="13"/>
      <c r="FQ700" s="13"/>
      <c r="FR700" s="13"/>
      <c r="FS700" s="13"/>
      <c r="FT700" s="13"/>
      <c r="FU700" s="13"/>
      <c r="FV700" s="13"/>
      <c r="FW700" s="13"/>
      <c r="FX700" s="13"/>
      <c r="FY700" s="13"/>
      <c r="FZ700" s="13"/>
      <c r="GA700" s="13"/>
    </row>
    <row r="701" spans="1:183" s="52" customFormat="1" ht="13.2" x14ac:dyDescent="0.25">
      <c r="A701" s="2"/>
      <c r="B701" s="2"/>
      <c r="C701" s="9">
        <v>18</v>
      </c>
      <c r="D701" s="9">
        <v>36</v>
      </c>
      <c r="E701" s="9">
        <v>45</v>
      </c>
      <c r="F701" s="9">
        <v>48</v>
      </c>
      <c r="G701" s="9">
        <v>49</v>
      </c>
      <c r="H701" s="9">
        <v>69</v>
      </c>
      <c r="I701" s="43"/>
      <c r="J701" s="9">
        <v>69</v>
      </c>
      <c r="K701" s="43"/>
      <c r="L701" s="39">
        <v>45068</v>
      </c>
      <c r="M701" s="43"/>
      <c r="N701"/>
      <c r="O701"/>
      <c r="P701"/>
      <c r="Q701"/>
      <c r="R701"/>
      <c r="S701"/>
      <c r="T701"/>
      <c r="U701"/>
      <c r="V701"/>
      <c r="X701" s="43"/>
      <c r="Y701"/>
      <c r="Z701"/>
      <c r="AA701"/>
      <c r="AB701"/>
      <c r="AC701"/>
      <c r="AD701"/>
      <c r="AE701"/>
      <c r="AF701"/>
      <c r="AG701"/>
      <c r="AI701" s="148"/>
      <c r="AJ701" s="1"/>
      <c r="AK701" s="1"/>
      <c r="AL701" s="54"/>
      <c r="AM701" s="1"/>
      <c r="AN701" s="43"/>
      <c r="AO701" s="1"/>
      <c r="AP701" s="1"/>
      <c r="AQ701" s="19"/>
      <c r="AR701" s="54"/>
      <c r="AS701" s="43"/>
      <c r="AT701" s="1"/>
      <c r="AU701" s="1"/>
      <c r="AV701" s="1"/>
      <c r="AW701" s="54"/>
      <c r="AX701" s="57"/>
      <c r="AY701" s="54"/>
      <c r="AZ701" s="54"/>
      <c r="BA701" s="54"/>
      <c r="BB701" s="54"/>
      <c r="BC701" s="57"/>
      <c r="BD701" s="1"/>
      <c r="BE701" s="1"/>
      <c r="BF701" s="1"/>
      <c r="BG701" s="54"/>
      <c r="BH701" s="43"/>
      <c r="BI701"/>
      <c r="BJ701" s="13"/>
      <c r="BK701" s="1"/>
      <c r="BL701"/>
      <c r="BM701"/>
      <c r="BN701"/>
      <c r="DY701" s="43"/>
      <c r="DZ701"/>
      <c r="EA701" s="19"/>
      <c r="EB701" s="19"/>
      <c r="EC701" s="9"/>
      <c r="ED701" s="9"/>
      <c r="EE701" s="9"/>
      <c r="EF701" s="9"/>
      <c r="EG701" s="9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  <c r="FI701" s="13"/>
      <c r="FJ701" s="13"/>
      <c r="FK701" s="13"/>
      <c r="FL701" s="13"/>
      <c r="FM701" s="13"/>
      <c r="FN701" s="13"/>
      <c r="FO701" s="13"/>
      <c r="FP701" s="13"/>
      <c r="FQ701" s="13"/>
      <c r="FR701" s="13"/>
      <c r="FS701" s="13"/>
      <c r="FT701" s="13"/>
      <c r="FU701" s="13"/>
      <c r="FV701" s="13"/>
      <c r="FW701" s="13"/>
      <c r="FX701" s="13"/>
      <c r="FY701" s="13"/>
      <c r="FZ701" s="13"/>
      <c r="GA701" s="13"/>
    </row>
    <row r="702" spans="1:183" s="52" customFormat="1" ht="13.2" x14ac:dyDescent="0.25">
      <c r="A702" s="2"/>
      <c r="B702" s="2"/>
      <c r="C702" s="9">
        <v>3</v>
      </c>
      <c r="D702" s="9">
        <v>14</v>
      </c>
      <c r="E702" s="9">
        <v>18</v>
      </c>
      <c r="F702" s="9">
        <v>51</v>
      </c>
      <c r="G702" s="9">
        <v>62</v>
      </c>
      <c r="H702" s="9">
        <v>68</v>
      </c>
      <c r="I702" s="43"/>
      <c r="J702" s="9">
        <v>68</v>
      </c>
      <c r="K702" s="43"/>
      <c r="L702" s="39">
        <v>45066</v>
      </c>
      <c r="M702" s="43"/>
      <c r="N702"/>
      <c r="O702"/>
      <c r="P702"/>
      <c r="Q702"/>
      <c r="R702"/>
      <c r="S702"/>
      <c r="T702"/>
      <c r="U702"/>
      <c r="V702"/>
      <c r="X702" s="43"/>
      <c r="Y702"/>
      <c r="Z702"/>
      <c r="AA702"/>
      <c r="AB702"/>
      <c r="AC702"/>
      <c r="AD702"/>
      <c r="AE702"/>
      <c r="AF702"/>
      <c r="AG702"/>
      <c r="AI702" s="148"/>
      <c r="AJ702" s="1"/>
      <c r="AK702" s="1"/>
      <c r="AL702" s="54"/>
      <c r="AM702" s="1"/>
      <c r="AN702" s="43"/>
      <c r="AO702" s="1"/>
      <c r="AP702" s="1"/>
      <c r="AQ702" s="19"/>
      <c r="AR702" s="54"/>
      <c r="AS702" s="43"/>
      <c r="AT702" s="1"/>
      <c r="AU702" s="1"/>
      <c r="AV702" s="1"/>
      <c r="AW702" s="54"/>
      <c r="AX702" s="57"/>
      <c r="AY702" s="54"/>
      <c r="AZ702" s="54"/>
      <c r="BA702" s="54"/>
      <c r="BB702" s="54"/>
      <c r="BC702" s="57"/>
      <c r="BD702" s="1"/>
      <c r="BE702" s="1"/>
      <c r="BF702" s="1"/>
      <c r="BG702" s="54"/>
      <c r="BH702" s="43"/>
      <c r="BI702"/>
      <c r="BJ702" s="13"/>
      <c r="BK702" s="1"/>
      <c r="BL702"/>
      <c r="BM702"/>
      <c r="BN702"/>
      <c r="DY702" s="43"/>
      <c r="DZ702"/>
      <c r="EA702" s="19"/>
      <c r="EB702" s="19"/>
      <c r="EC702" s="9"/>
      <c r="ED702" s="9"/>
      <c r="EE702" s="9"/>
      <c r="EF702" s="9"/>
      <c r="EG702" s="9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3"/>
      <c r="FD702" s="13"/>
      <c r="FE702" s="13"/>
      <c r="FF702" s="13"/>
      <c r="FG702" s="13"/>
      <c r="FH702" s="13"/>
      <c r="FI702" s="13"/>
      <c r="FJ702" s="13"/>
      <c r="FK702" s="13"/>
      <c r="FL702" s="13"/>
      <c r="FM702" s="13"/>
      <c r="FN702" s="13"/>
      <c r="FO702" s="13"/>
      <c r="FP702" s="13"/>
      <c r="FQ702" s="13"/>
      <c r="FR702" s="13"/>
      <c r="FS702" s="13"/>
      <c r="FT702" s="13"/>
      <c r="FU702" s="13"/>
      <c r="FV702" s="13"/>
      <c r="FW702" s="13"/>
      <c r="FX702" s="13"/>
      <c r="FY702" s="13"/>
      <c r="FZ702" s="13"/>
      <c r="GA702" s="13"/>
    </row>
    <row r="703" spans="1:183" s="52" customFormat="1" ht="13.2" x14ac:dyDescent="0.25">
      <c r="A703" s="2"/>
      <c r="B703" s="2"/>
      <c r="C703" s="9">
        <v>14</v>
      </c>
      <c r="D703" s="9">
        <v>29</v>
      </c>
      <c r="E703" s="9">
        <v>40</v>
      </c>
      <c r="F703" s="9">
        <v>46</v>
      </c>
      <c r="G703" s="9">
        <v>79</v>
      </c>
      <c r="H703" s="9">
        <v>89</v>
      </c>
      <c r="I703" s="43"/>
      <c r="J703" s="9">
        <v>89</v>
      </c>
      <c r="K703" s="43"/>
      <c r="L703" s="39">
        <v>45065</v>
      </c>
      <c r="M703" s="43"/>
      <c r="N703"/>
      <c r="O703"/>
      <c r="P703"/>
      <c r="Q703"/>
      <c r="R703"/>
      <c r="S703"/>
      <c r="T703"/>
      <c r="U703"/>
      <c r="V703"/>
      <c r="X703" s="43"/>
      <c r="Y703"/>
      <c r="Z703"/>
      <c r="AA703"/>
      <c r="AB703"/>
      <c r="AC703"/>
      <c r="AD703"/>
      <c r="AE703"/>
      <c r="AF703"/>
      <c r="AG703"/>
      <c r="AI703" s="148"/>
      <c r="AJ703" s="1"/>
      <c r="AK703" s="1"/>
      <c r="AL703" s="54"/>
      <c r="AM703" s="1"/>
      <c r="AN703" s="43"/>
      <c r="AO703" s="1"/>
      <c r="AP703" s="1"/>
      <c r="AQ703" s="19"/>
      <c r="AR703" s="54"/>
      <c r="AS703" s="43"/>
      <c r="AT703" s="1"/>
      <c r="AU703" s="1"/>
      <c r="AV703" s="1"/>
      <c r="AW703" s="54"/>
      <c r="AX703" s="57"/>
      <c r="AY703" s="54"/>
      <c r="AZ703" s="54"/>
      <c r="BA703" s="54"/>
      <c r="BB703" s="54"/>
      <c r="BC703" s="57"/>
      <c r="BD703" s="1"/>
      <c r="BE703" s="1"/>
      <c r="BF703" s="1"/>
      <c r="BG703" s="54"/>
      <c r="BH703" s="43"/>
      <c r="BI703"/>
      <c r="BJ703" s="13"/>
      <c r="BK703" s="1"/>
      <c r="BL703"/>
      <c r="BM703"/>
      <c r="BN703"/>
      <c r="DY703" s="43"/>
      <c r="DZ703"/>
      <c r="EA703" s="19"/>
      <c r="EB703" s="19"/>
      <c r="EC703" s="9"/>
      <c r="ED703" s="9"/>
      <c r="EE703" s="9"/>
      <c r="EF703" s="9"/>
      <c r="EG703" s="9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  <c r="FI703" s="13"/>
      <c r="FJ703" s="13"/>
      <c r="FK703" s="13"/>
      <c r="FL703" s="13"/>
      <c r="FM703" s="13"/>
      <c r="FN703" s="13"/>
      <c r="FO703" s="13"/>
      <c r="FP703" s="13"/>
      <c r="FQ703" s="13"/>
      <c r="FR703" s="13"/>
      <c r="FS703" s="13"/>
      <c r="FT703" s="13"/>
      <c r="FU703" s="13"/>
      <c r="FV703" s="13"/>
      <c r="FW703" s="13"/>
      <c r="FX703" s="13"/>
      <c r="FY703" s="13"/>
      <c r="FZ703" s="13"/>
      <c r="GA703" s="13"/>
    </row>
    <row r="704" spans="1:183" s="52" customFormat="1" ht="13.2" x14ac:dyDescent="0.25">
      <c r="A704" s="2"/>
      <c r="B704" s="2"/>
      <c r="C704" s="9">
        <v>10</v>
      </c>
      <c r="D704" s="9">
        <v>13</v>
      </c>
      <c r="E704" s="9">
        <v>20</v>
      </c>
      <c r="F704" s="9">
        <v>31</v>
      </c>
      <c r="G704" s="9">
        <v>69</v>
      </c>
      <c r="H704" s="9">
        <v>87</v>
      </c>
      <c r="I704" s="43"/>
      <c r="J704" s="9">
        <v>87</v>
      </c>
      <c r="K704" s="43"/>
      <c r="L704" s="39">
        <v>45061</v>
      </c>
      <c r="M704" s="43"/>
      <c r="N704"/>
      <c r="O704"/>
      <c r="P704"/>
      <c r="Q704"/>
      <c r="R704"/>
      <c r="S704"/>
      <c r="T704"/>
      <c r="U704"/>
      <c r="V704"/>
      <c r="X704" s="43"/>
      <c r="Y704"/>
      <c r="Z704"/>
      <c r="AA704"/>
      <c r="AB704"/>
      <c r="AC704"/>
      <c r="AD704"/>
      <c r="AE704"/>
      <c r="AF704"/>
      <c r="AG704"/>
      <c r="AI704" s="148"/>
      <c r="AJ704" s="1"/>
      <c r="AK704" s="1"/>
      <c r="AL704" s="54"/>
      <c r="AM704" s="1"/>
      <c r="AN704" s="43"/>
      <c r="AO704" s="1"/>
      <c r="AP704" s="1"/>
      <c r="AQ704" s="19"/>
      <c r="AR704" s="54"/>
      <c r="AS704" s="43"/>
      <c r="AT704" s="1"/>
      <c r="AU704" s="1"/>
      <c r="AV704" s="1"/>
      <c r="AW704" s="54"/>
      <c r="AX704" s="57"/>
      <c r="AY704" s="54"/>
      <c r="AZ704" s="54"/>
      <c r="BA704" s="54"/>
      <c r="BB704" s="54"/>
      <c r="BC704" s="57"/>
      <c r="BD704" s="1"/>
      <c r="BE704" s="1"/>
      <c r="BF704" s="1"/>
      <c r="BG704" s="54"/>
      <c r="BH704" s="43"/>
      <c r="BI704"/>
      <c r="BJ704" s="13"/>
      <c r="BK704" s="1"/>
      <c r="BL704"/>
      <c r="BM704"/>
      <c r="BN704"/>
      <c r="DY704" s="43"/>
      <c r="DZ704"/>
      <c r="EA704" s="19"/>
      <c r="EB704" s="19"/>
      <c r="EC704" s="9"/>
      <c r="ED704" s="9"/>
      <c r="EE704" s="9"/>
      <c r="EF704" s="9"/>
      <c r="EG704" s="9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  <c r="FT704" s="13"/>
      <c r="FU704" s="13"/>
      <c r="FV704" s="13"/>
      <c r="FW704" s="13"/>
      <c r="FX704" s="13"/>
      <c r="FY704" s="13"/>
      <c r="FZ704" s="13"/>
      <c r="GA704" s="13"/>
    </row>
    <row r="705" spans="1:183" s="52" customFormat="1" ht="13.2" x14ac:dyDescent="0.25">
      <c r="A705" s="2"/>
      <c r="B705" s="2"/>
      <c r="C705" s="9">
        <v>25</v>
      </c>
      <c r="D705" s="9">
        <v>49</v>
      </c>
      <c r="E705" s="9">
        <v>66</v>
      </c>
      <c r="F705" s="9">
        <v>80</v>
      </c>
      <c r="G705" s="9">
        <v>81</v>
      </c>
      <c r="H705" s="9">
        <v>88</v>
      </c>
      <c r="I705" s="43"/>
      <c r="J705" s="9">
        <v>88</v>
      </c>
      <c r="K705" s="43"/>
      <c r="L705" s="39">
        <v>45059</v>
      </c>
      <c r="M705" s="43"/>
      <c r="N705"/>
      <c r="O705"/>
      <c r="P705"/>
      <c r="Q705"/>
      <c r="R705"/>
      <c r="S705"/>
      <c r="T705"/>
      <c r="U705"/>
      <c r="V705"/>
      <c r="X705" s="43"/>
      <c r="Y705"/>
      <c r="Z705"/>
      <c r="AA705"/>
      <c r="AB705"/>
      <c r="AC705"/>
      <c r="AD705"/>
      <c r="AE705"/>
      <c r="AF705"/>
      <c r="AG705"/>
      <c r="AI705" s="148"/>
      <c r="AJ705" s="1"/>
      <c r="AK705" s="1"/>
      <c r="AL705" s="54"/>
      <c r="AM705" s="1"/>
      <c r="AN705" s="43"/>
      <c r="AO705" s="1"/>
      <c r="AP705" s="1"/>
      <c r="AQ705" s="19"/>
      <c r="AR705" s="54"/>
      <c r="AS705" s="43"/>
      <c r="AT705" s="1"/>
      <c r="AU705" s="1"/>
      <c r="AV705" s="1"/>
      <c r="AW705" s="54"/>
      <c r="AX705" s="57"/>
      <c r="AY705" s="54"/>
      <c r="AZ705" s="54"/>
      <c r="BA705" s="54"/>
      <c r="BB705" s="54"/>
      <c r="BC705" s="57"/>
      <c r="BD705" s="1"/>
      <c r="BE705" s="1"/>
      <c r="BF705" s="1"/>
      <c r="BG705" s="54"/>
      <c r="BH705" s="43"/>
      <c r="BI705"/>
      <c r="BJ705" s="13"/>
      <c r="BK705" s="1"/>
      <c r="BL705"/>
      <c r="BM705"/>
      <c r="BN705"/>
      <c r="DY705" s="43"/>
      <c r="DZ705"/>
      <c r="EA705" s="19"/>
      <c r="EB705" s="19"/>
      <c r="EC705" s="9"/>
      <c r="ED705" s="9"/>
      <c r="EE705" s="9"/>
      <c r="EF705" s="9"/>
      <c r="EG705" s="9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3"/>
      <c r="FD705" s="13"/>
      <c r="FE705" s="13"/>
      <c r="FF705" s="13"/>
      <c r="FG705" s="13"/>
      <c r="FH705" s="13"/>
      <c r="FI705" s="13"/>
      <c r="FJ705" s="13"/>
      <c r="FK705" s="13"/>
      <c r="FL705" s="13"/>
      <c r="FM705" s="13"/>
      <c r="FN705" s="13"/>
      <c r="FO705" s="13"/>
      <c r="FP705" s="13"/>
      <c r="FQ705" s="13"/>
      <c r="FR705" s="13"/>
      <c r="FS705" s="13"/>
      <c r="FT705" s="13"/>
      <c r="FU705" s="13"/>
      <c r="FV705" s="13"/>
      <c r="FW705" s="13"/>
      <c r="FX705" s="13"/>
      <c r="FY705" s="13"/>
      <c r="FZ705" s="13"/>
      <c r="GA705" s="13"/>
    </row>
    <row r="706" spans="1:183" s="52" customFormat="1" ht="13.2" x14ac:dyDescent="0.25">
      <c r="A706" s="2"/>
      <c r="B706" s="2"/>
      <c r="C706" s="9">
        <v>17</v>
      </c>
      <c r="D706" s="9">
        <v>30</v>
      </c>
      <c r="E706" s="9">
        <v>35</v>
      </c>
      <c r="F706" s="9">
        <v>62</v>
      </c>
      <c r="G706" s="9">
        <v>89</v>
      </c>
      <c r="H706" s="9">
        <v>90</v>
      </c>
      <c r="I706" s="43"/>
      <c r="J706" s="9">
        <v>90</v>
      </c>
      <c r="K706" s="43"/>
      <c r="L706" s="39">
        <v>45056</v>
      </c>
      <c r="M706" s="43"/>
      <c r="N706"/>
      <c r="O706"/>
      <c r="P706"/>
      <c r="Q706"/>
      <c r="R706"/>
      <c r="S706"/>
      <c r="T706"/>
      <c r="U706"/>
      <c r="V706"/>
      <c r="X706" s="43"/>
      <c r="Y706"/>
      <c r="Z706"/>
      <c r="AA706"/>
      <c r="AB706"/>
      <c r="AC706"/>
      <c r="AD706"/>
      <c r="AE706"/>
      <c r="AF706"/>
      <c r="AG706"/>
      <c r="AI706" s="148"/>
      <c r="AJ706" s="1"/>
      <c r="AK706" s="1"/>
      <c r="AL706" s="54"/>
      <c r="AM706" s="1"/>
      <c r="AN706" s="43"/>
      <c r="AO706" s="1"/>
      <c r="AP706" s="1"/>
      <c r="AQ706" s="19"/>
      <c r="AR706" s="54"/>
      <c r="AS706" s="43"/>
      <c r="AT706" s="1"/>
      <c r="AU706" s="1"/>
      <c r="AV706" s="1"/>
      <c r="AW706" s="54"/>
      <c r="AX706" s="57"/>
      <c r="AY706" s="54"/>
      <c r="AZ706" s="54"/>
      <c r="BA706" s="54"/>
      <c r="BB706" s="54"/>
      <c r="BC706" s="57"/>
      <c r="BD706" s="1"/>
      <c r="BE706" s="1"/>
      <c r="BF706" s="1"/>
      <c r="BG706" s="54"/>
      <c r="BH706" s="43"/>
      <c r="BI706"/>
      <c r="BJ706" s="13"/>
      <c r="BK706" s="1"/>
      <c r="BL706"/>
      <c r="BM706"/>
      <c r="BN706"/>
      <c r="DY706" s="43"/>
      <c r="DZ706"/>
      <c r="EA706" s="19"/>
      <c r="EB706" s="19"/>
      <c r="EC706" s="9"/>
      <c r="ED706" s="9"/>
      <c r="EE706" s="9"/>
      <c r="EF706" s="9"/>
      <c r="EG706" s="9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  <c r="FU706" s="13"/>
      <c r="FV706" s="13"/>
      <c r="FW706" s="13"/>
      <c r="FX706" s="13"/>
      <c r="FY706" s="13"/>
      <c r="FZ706" s="13"/>
      <c r="GA706" s="13"/>
    </row>
    <row r="707" spans="1:183" s="52" customFormat="1" ht="13.2" x14ac:dyDescent="0.25">
      <c r="A707" s="2"/>
      <c r="B707" s="2"/>
      <c r="C707" s="9">
        <v>9</v>
      </c>
      <c r="D707" s="9">
        <v>15</v>
      </c>
      <c r="E707" s="9">
        <v>46</v>
      </c>
      <c r="F707" s="9">
        <v>47</v>
      </c>
      <c r="G707" s="9">
        <v>57</v>
      </c>
      <c r="H707" s="9">
        <v>67</v>
      </c>
      <c r="I707" s="43"/>
      <c r="J707" s="9">
        <v>67</v>
      </c>
      <c r="K707" s="43"/>
      <c r="L707" s="39">
        <v>45054</v>
      </c>
      <c r="M707" s="43"/>
      <c r="N707"/>
      <c r="O707"/>
      <c r="P707"/>
      <c r="Q707"/>
      <c r="R707"/>
      <c r="S707"/>
      <c r="T707"/>
      <c r="U707"/>
      <c r="V707"/>
      <c r="X707" s="43"/>
      <c r="Y707"/>
      <c r="Z707"/>
      <c r="AA707"/>
      <c r="AB707"/>
      <c r="AC707"/>
      <c r="AD707"/>
      <c r="AE707"/>
      <c r="AF707"/>
      <c r="AG707"/>
      <c r="AI707" s="148"/>
      <c r="AJ707" s="1"/>
      <c r="AK707" s="1"/>
      <c r="AL707" s="54"/>
      <c r="AM707" s="1"/>
      <c r="AN707" s="43"/>
      <c r="AO707" s="1"/>
      <c r="AP707" s="1"/>
      <c r="AQ707" s="19"/>
      <c r="AR707" s="54"/>
      <c r="AS707" s="43"/>
      <c r="AT707" s="1"/>
      <c r="AU707" s="1"/>
      <c r="AV707" s="1"/>
      <c r="AW707" s="54"/>
      <c r="AX707" s="57"/>
      <c r="AY707" s="54"/>
      <c r="AZ707" s="54"/>
      <c r="BA707" s="54"/>
      <c r="BB707" s="54"/>
      <c r="BC707" s="57"/>
      <c r="BD707" s="1"/>
      <c r="BE707" s="1"/>
      <c r="BF707" s="1"/>
      <c r="BG707" s="54"/>
      <c r="BH707" s="43"/>
      <c r="BI707"/>
      <c r="BJ707" s="13"/>
      <c r="BK707" s="1"/>
      <c r="BL707"/>
      <c r="BM707"/>
      <c r="BN707"/>
      <c r="DY707" s="43"/>
      <c r="DZ707"/>
      <c r="EA707" s="19"/>
      <c r="EB707" s="19"/>
      <c r="EC707" s="9"/>
      <c r="ED707" s="9"/>
      <c r="EE707" s="9"/>
      <c r="EF707" s="9"/>
      <c r="EG707" s="9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3"/>
      <c r="FD707" s="13"/>
      <c r="FE707" s="13"/>
      <c r="FF707" s="13"/>
      <c r="FG707" s="13"/>
      <c r="FH707" s="13"/>
      <c r="FI707" s="13"/>
      <c r="FJ707" s="13"/>
      <c r="FK707" s="13"/>
      <c r="FL707" s="13"/>
      <c r="FM707" s="13"/>
      <c r="FN707" s="13"/>
      <c r="FO707" s="13"/>
      <c r="FP707" s="13"/>
      <c r="FQ707" s="13"/>
      <c r="FR707" s="13"/>
      <c r="FS707" s="13"/>
      <c r="FT707" s="13"/>
      <c r="FU707" s="13"/>
      <c r="FV707" s="13"/>
      <c r="FW707" s="13"/>
      <c r="FX707" s="13"/>
      <c r="FY707" s="13"/>
      <c r="FZ707" s="13"/>
      <c r="GA707" s="13"/>
    </row>
    <row r="708" spans="1:183" s="52" customFormat="1" ht="13.2" x14ac:dyDescent="0.25">
      <c r="A708" s="2"/>
      <c r="B708" s="2"/>
      <c r="C708" s="9">
        <v>21</v>
      </c>
      <c r="D708" s="9">
        <v>29</v>
      </c>
      <c r="E708" s="9">
        <v>66</v>
      </c>
      <c r="F708" s="9">
        <v>67</v>
      </c>
      <c r="G708" s="9">
        <v>82</v>
      </c>
      <c r="H708" s="9">
        <v>87</v>
      </c>
      <c r="I708" s="43"/>
      <c r="J708" s="9">
        <v>87</v>
      </c>
      <c r="K708" s="43"/>
      <c r="L708" s="39">
        <v>45052</v>
      </c>
      <c r="M708" s="43"/>
      <c r="N708"/>
      <c r="O708"/>
      <c r="P708"/>
      <c r="Q708"/>
      <c r="R708"/>
      <c r="S708"/>
      <c r="T708"/>
      <c r="U708"/>
      <c r="V708"/>
      <c r="X708" s="43"/>
      <c r="Y708"/>
      <c r="Z708"/>
      <c r="AA708"/>
      <c r="AB708"/>
      <c r="AC708"/>
      <c r="AD708"/>
      <c r="AE708"/>
      <c r="AF708"/>
      <c r="AG708"/>
      <c r="AI708" s="148"/>
      <c r="AJ708" s="1"/>
      <c r="AK708" s="1"/>
      <c r="AL708" s="54"/>
      <c r="AM708" s="1"/>
      <c r="AN708" s="43"/>
      <c r="AO708" s="1"/>
      <c r="AP708" s="1"/>
      <c r="AQ708" s="19"/>
      <c r="AR708" s="54"/>
      <c r="AS708" s="43"/>
      <c r="AT708" s="1"/>
      <c r="AU708" s="1"/>
      <c r="AV708" s="1"/>
      <c r="AW708" s="54"/>
      <c r="AX708" s="57"/>
      <c r="AY708" s="54"/>
      <c r="AZ708" s="54"/>
      <c r="BA708" s="54"/>
      <c r="BB708" s="54"/>
      <c r="BC708" s="57"/>
      <c r="BD708" s="1"/>
      <c r="BE708" s="1"/>
      <c r="BF708" s="1"/>
      <c r="BG708" s="54"/>
      <c r="BH708" s="43"/>
      <c r="BI708"/>
      <c r="BJ708" s="13"/>
      <c r="BK708" s="1"/>
      <c r="BL708"/>
      <c r="BM708"/>
      <c r="BN708"/>
      <c r="DY708" s="43"/>
      <c r="DZ708"/>
      <c r="EA708" s="19"/>
      <c r="EB708" s="19"/>
      <c r="EC708" s="9"/>
      <c r="ED708" s="9"/>
      <c r="EE708" s="9"/>
      <c r="EF708" s="9"/>
      <c r="EG708" s="9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3"/>
      <c r="FD708" s="13"/>
      <c r="FE708" s="13"/>
      <c r="FF708" s="13"/>
      <c r="FG708" s="13"/>
      <c r="FH708" s="13"/>
      <c r="FI708" s="13"/>
      <c r="FJ708" s="13"/>
      <c r="FK708" s="13"/>
      <c r="FL708" s="13"/>
      <c r="FM708" s="13"/>
      <c r="FN708" s="13"/>
      <c r="FO708" s="13"/>
      <c r="FP708" s="13"/>
      <c r="FQ708" s="13"/>
      <c r="FR708" s="13"/>
      <c r="FS708" s="13"/>
      <c r="FT708" s="13"/>
      <c r="FU708" s="13"/>
      <c r="FV708" s="13"/>
      <c r="FW708" s="13"/>
      <c r="FX708" s="13"/>
      <c r="FY708" s="13"/>
      <c r="FZ708" s="13"/>
      <c r="GA708" s="13"/>
    </row>
    <row r="709" spans="1:183" s="52" customFormat="1" ht="13.2" x14ac:dyDescent="0.25">
      <c r="A709" s="2"/>
      <c r="B709" s="2"/>
      <c r="C709" s="9">
        <v>7</v>
      </c>
      <c r="D709" s="9">
        <v>18</v>
      </c>
      <c r="E709" s="9">
        <v>45</v>
      </c>
      <c r="F709" s="9">
        <v>47</v>
      </c>
      <c r="G709" s="9">
        <v>61</v>
      </c>
      <c r="H709" s="9">
        <v>88</v>
      </c>
      <c r="I709" s="43"/>
      <c r="J709" s="9">
        <v>88</v>
      </c>
      <c r="K709" s="43"/>
      <c r="L709" s="39">
        <v>45049</v>
      </c>
      <c r="M709" s="43"/>
      <c r="N709"/>
      <c r="O709"/>
      <c r="P709"/>
      <c r="Q709"/>
      <c r="R709"/>
      <c r="S709"/>
      <c r="T709"/>
      <c r="U709"/>
      <c r="V709"/>
      <c r="X709" s="43"/>
      <c r="Y709"/>
      <c r="Z709"/>
      <c r="AA709"/>
      <c r="AB709"/>
      <c r="AC709"/>
      <c r="AD709"/>
      <c r="AE709"/>
      <c r="AF709"/>
      <c r="AG709"/>
      <c r="AI709" s="148"/>
      <c r="AJ709" s="1"/>
      <c r="AK709" s="1"/>
      <c r="AL709" s="54"/>
      <c r="AM709" s="1"/>
      <c r="AN709" s="43"/>
      <c r="AO709" s="1"/>
      <c r="AP709" s="1"/>
      <c r="AQ709" s="19"/>
      <c r="AR709" s="54"/>
      <c r="AS709" s="43"/>
      <c r="AT709" s="1"/>
      <c r="AU709" s="1"/>
      <c r="AV709" s="1"/>
      <c r="AW709" s="54"/>
      <c r="AX709" s="57"/>
      <c r="AY709" s="54"/>
      <c r="AZ709" s="54"/>
      <c r="BA709" s="54"/>
      <c r="BB709" s="54"/>
      <c r="BC709" s="57"/>
      <c r="BD709" s="1"/>
      <c r="BE709" s="1"/>
      <c r="BF709" s="1"/>
      <c r="BG709" s="54"/>
      <c r="BH709" s="43"/>
      <c r="BI709"/>
      <c r="BJ709" s="13"/>
      <c r="BK709" s="1"/>
      <c r="BL709"/>
      <c r="BM709"/>
      <c r="BN709"/>
      <c r="DY709" s="43"/>
      <c r="DZ709"/>
      <c r="EA709" s="19"/>
      <c r="EB709" s="19"/>
      <c r="EC709" s="9"/>
      <c r="ED709" s="9"/>
      <c r="EE709" s="9"/>
      <c r="EF709" s="9"/>
      <c r="EG709" s="9"/>
      <c r="EH709" s="13"/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3"/>
      <c r="FD709" s="13"/>
      <c r="FE709" s="13"/>
      <c r="FF709" s="13"/>
      <c r="FG709" s="13"/>
      <c r="FH709" s="13"/>
      <c r="FI709" s="13"/>
      <c r="FJ709" s="13"/>
      <c r="FK709" s="13"/>
      <c r="FL709" s="13"/>
      <c r="FM709" s="13"/>
      <c r="FN709" s="13"/>
      <c r="FO709" s="13"/>
      <c r="FP709" s="13"/>
      <c r="FQ709" s="13"/>
      <c r="FR709" s="13"/>
      <c r="FS709" s="13"/>
      <c r="FT709" s="13"/>
      <c r="FU709" s="13"/>
      <c r="FV709" s="13"/>
      <c r="FW709" s="13"/>
      <c r="FX709" s="13"/>
      <c r="FY709" s="13"/>
      <c r="FZ709" s="13"/>
      <c r="GA709" s="13"/>
    </row>
    <row r="710" spans="1:183" s="52" customFormat="1" ht="13.2" x14ac:dyDescent="0.25">
      <c r="A710" s="2"/>
      <c r="B710" s="2"/>
      <c r="C710" s="9">
        <v>34</v>
      </c>
      <c r="D710" s="9">
        <v>39</v>
      </c>
      <c r="E710" s="9">
        <v>43</v>
      </c>
      <c r="F710" s="9">
        <v>49</v>
      </c>
      <c r="G710" s="9">
        <v>56</v>
      </c>
      <c r="H710" s="9">
        <v>57</v>
      </c>
      <c r="I710" s="43"/>
      <c r="J710" s="9">
        <v>57</v>
      </c>
      <c r="K710" s="43"/>
      <c r="L710" s="39">
        <v>45047</v>
      </c>
      <c r="M710" s="43"/>
      <c r="N710"/>
      <c r="O710"/>
      <c r="P710"/>
      <c r="Q710"/>
      <c r="R710"/>
      <c r="S710"/>
      <c r="T710"/>
      <c r="U710"/>
      <c r="V710"/>
      <c r="X710" s="43"/>
      <c r="Y710"/>
      <c r="Z710"/>
      <c r="AA710"/>
      <c r="AB710"/>
      <c r="AC710"/>
      <c r="AD710"/>
      <c r="AE710"/>
      <c r="AF710"/>
      <c r="AG710"/>
      <c r="AI710" s="148"/>
      <c r="AJ710" s="1"/>
      <c r="AK710" s="1"/>
      <c r="AL710" s="54"/>
      <c r="AM710" s="1"/>
      <c r="AN710" s="43"/>
      <c r="AO710" s="1"/>
      <c r="AP710" s="1"/>
      <c r="AQ710" s="19"/>
      <c r="AR710" s="54"/>
      <c r="AS710" s="43"/>
      <c r="AT710" s="1"/>
      <c r="AU710" s="1"/>
      <c r="AV710" s="1"/>
      <c r="AW710" s="54"/>
      <c r="AX710" s="57"/>
      <c r="AY710" s="54"/>
      <c r="AZ710" s="54"/>
      <c r="BA710" s="54"/>
      <c r="BB710" s="54"/>
      <c r="BC710" s="57"/>
      <c r="BD710" s="1"/>
      <c r="BE710" s="1"/>
      <c r="BF710" s="1"/>
      <c r="BG710" s="54"/>
      <c r="BH710" s="43"/>
      <c r="BI710"/>
      <c r="BJ710" s="13"/>
      <c r="BK710" s="1"/>
      <c r="BL710"/>
      <c r="BM710"/>
      <c r="BN710"/>
      <c r="DY710" s="43"/>
      <c r="DZ710"/>
      <c r="EA710" s="19"/>
      <c r="EB710" s="19"/>
      <c r="EC710" s="9"/>
      <c r="ED710" s="9"/>
      <c r="EE710" s="9"/>
      <c r="EF710" s="9"/>
      <c r="EG710" s="9"/>
      <c r="EH710" s="13"/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3"/>
      <c r="FD710" s="13"/>
      <c r="FE710" s="13"/>
      <c r="FF710" s="13"/>
      <c r="FG710" s="13"/>
      <c r="FH710" s="13"/>
      <c r="FI710" s="13"/>
      <c r="FJ710" s="13"/>
      <c r="FK710" s="13"/>
      <c r="FL710" s="13"/>
      <c r="FM710" s="13"/>
      <c r="FN710" s="13"/>
      <c r="FO710" s="13"/>
      <c r="FP710" s="13"/>
      <c r="FQ710" s="13"/>
      <c r="FR710" s="13"/>
      <c r="FS710" s="13"/>
      <c r="FT710" s="13"/>
      <c r="FU710" s="13"/>
      <c r="FV710" s="13"/>
      <c r="FW710" s="13"/>
      <c r="FX710" s="13"/>
      <c r="FY710" s="13"/>
      <c r="FZ710" s="13"/>
      <c r="GA710" s="13"/>
    </row>
    <row r="711" spans="1:183" s="52" customFormat="1" ht="13.2" x14ac:dyDescent="0.25">
      <c r="A711" s="2"/>
      <c r="B711" s="2"/>
      <c r="C711" s="9">
        <v>8</v>
      </c>
      <c r="D711" s="9">
        <v>11</v>
      </c>
      <c r="E711" s="9">
        <v>41</v>
      </c>
      <c r="F711" s="9">
        <v>58</v>
      </c>
      <c r="G711" s="9">
        <v>84</v>
      </c>
      <c r="H711" s="9">
        <v>87</v>
      </c>
      <c r="I711" s="43"/>
      <c r="J711" s="9">
        <v>87</v>
      </c>
      <c r="K711" s="43"/>
      <c r="L711" s="39">
        <v>45045</v>
      </c>
      <c r="M711" s="43"/>
      <c r="N711"/>
      <c r="O711"/>
      <c r="P711"/>
      <c r="Q711"/>
      <c r="R711"/>
      <c r="S711"/>
      <c r="T711"/>
      <c r="U711"/>
      <c r="V711"/>
      <c r="X711" s="43"/>
      <c r="Y711"/>
      <c r="Z711"/>
      <c r="AA711"/>
      <c r="AB711"/>
      <c r="AC711"/>
      <c r="AD711"/>
      <c r="AE711"/>
      <c r="AF711"/>
      <c r="AG711"/>
      <c r="AI711" s="148"/>
      <c r="AJ711" s="1"/>
      <c r="AK711" s="1"/>
      <c r="AL711" s="54"/>
      <c r="AM711" s="1"/>
      <c r="AN711" s="43"/>
      <c r="AO711" s="1"/>
      <c r="AP711" s="1"/>
      <c r="AQ711" s="19"/>
      <c r="AR711" s="54"/>
      <c r="AS711" s="43"/>
      <c r="AT711" s="1"/>
      <c r="AU711" s="1"/>
      <c r="AV711" s="1"/>
      <c r="AW711" s="54"/>
      <c r="AX711" s="57"/>
      <c r="AY711" s="54"/>
      <c r="AZ711" s="54"/>
      <c r="BA711" s="54"/>
      <c r="BB711" s="54"/>
      <c r="BC711" s="57"/>
      <c r="BD711" s="1"/>
      <c r="BE711" s="1"/>
      <c r="BF711" s="1"/>
      <c r="BG711" s="54"/>
      <c r="BH711" s="43"/>
      <c r="BI711"/>
      <c r="BJ711" s="13"/>
      <c r="BK711" s="1"/>
      <c r="BL711"/>
      <c r="BM711"/>
      <c r="BN711"/>
      <c r="DY711" s="43"/>
      <c r="DZ711"/>
      <c r="EA711" s="19"/>
      <c r="EB711" s="19"/>
      <c r="EC711" s="9"/>
      <c r="ED711" s="9"/>
      <c r="EE711" s="9"/>
      <c r="EF711" s="9"/>
      <c r="EG711" s="9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  <c r="FI711" s="13"/>
      <c r="FJ711" s="13"/>
      <c r="FK711" s="13"/>
      <c r="FL711" s="13"/>
      <c r="FM711" s="13"/>
      <c r="FN711" s="13"/>
      <c r="FO711" s="13"/>
      <c r="FP711" s="13"/>
      <c r="FQ711" s="13"/>
      <c r="FR711" s="13"/>
      <c r="FS711" s="13"/>
      <c r="FT711" s="13"/>
      <c r="FU711" s="13"/>
      <c r="FV711" s="13"/>
      <c r="FW711" s="13"/>
      <c r="FX711" s="13"/>
      <c r="FY711" s="13"/>
      <c r="FZ711" s="13"/>
      <c r="GA711" s="13"/>
    </row>
    <row r="712" spans="1:183" s="52" customFormat="1" ht="13.2" x14ac:dyDescent="0.25">
      <c r="A712" s="2"/>
      <c r="B712" s="2"/>
      <c r="C712" s="9">
        <v>8</v>
      </c>
      <c r="D712" s="9">
        <v>25</v>
      </c>
      <c r="E712" s="9">
        <v>53</v>
      </c>
      <c r="F712" s="9">
        <v>62</v>
      </c>
      <c r="G712" s="9">
        <v>71</v>
      </c>
      <c r="H712" s="9">
        <v>82</v>
      </c>
      <c r="I712" s="43"/>
      <c r="J712" s="9">
        <v>82</v>
      </c>
      <c r="K712" s="43"/>
      <c r="L712" s="39">
        <v>45042</v>
      </c>
      <c r="M712" s="43"/>
      <c r="N712"/>
      <c r="O712"/>
      <c r="P712"/>
      <c r="Q712"/>
      <c r="R712"/>
      <c r="S712"/>
      <c r="T712"/>
      <c r="U712"/>
      <c r="V712"/>
      <c r="X712" s="43"/>
      <c r="Y712"/>
      <c r="Z712"/>
      <c r="AA712"/>
      <c r="AB712"/>
      <c r="AC712"/>
      <c r="AD712"/>
      <c r="AE712"/>
      <c r="AF712"/>
      <c r="AG712"/>
      <c r="AI712" s="148"/>
      <c r="AJ712" s="1"/>
      <c r="AK712" s="1"/>
      <c r="AL712" s="54"/>
      <c r="AM712" s="1"/>
      <c r="AN712" s="43"/>
      <c r="AO712" s="1"/>
      <c r="AP712" s="1"/>
      <c r="AQ712" s="19"/>
      <c r="AR712" s="54"/>
      <c r="AS712" s="43"/>
      <c r="AT712" s="1"/>
      <c r="AU712" s="1"/>
      <c r="AV712" s="1"/>
      <c r="AW712" s="54"/>
      <c r="AX712" s="57"/>
      <c r="AY712" s="54"/>
      <c r="AZ712" s="54"/>
      <c r="BA712" s="54"/>
      <c r="BB712" s="54"/>
      <c r="BC712" s="57"/>
      <c r="BD712" s="1"/>
      <c r="BE712" s="1"/>
      <c r="BF712" s="1"/>
      <c r="BG712" s="54"/>
      <c r="BH712" s="43"/>
      <c r="BI712"/>
      <c r="BJ712" s="13"/>
      <c r="BK712" s="1"/>
      <c r="BL712"/>
      <c r="BM712"/>
      <c r="BN712"/>
      <c r="DY712" s="43"/>
      <c r="DZ712"/>
      <c r="EA712" s="19"/>
      <c r="EB712" s="19"/>
      <c r="EC712" s="9"/>
      <c r="ED712" s="9"/>
      <c r="EE712" s="9"/>
      <c r="EF712" s="9"/>
      <c r="EG712" s="9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  <c r="FI712" s="13"/>
      <c r="FJ712" s="13"/>
      <c r="FK712" s="13"/>
      <c r="FL712" s="13"/>
      <c r="FM712" s="13"/>
      <c r="FN712" s="13"/>
      <c r="FO712" s="13"/>
      <c r="FP712" s="13"/>
      <c r="FQ712" s="13"/>
      <c r="FR712" s="13"/>
      <c r="FS712" s="13"/>
      <c r="FT712" s="13"/>
      <c r="FU712" s="13"/>
      <c r="FV712" s="13"/>
      <c r="FW712" s="13"/>
      <c r="FX712" s="13"/>
      <c r="FY712" s="13"/>
      <c r="FZ712" s="13"/>
      <c r="GA712" s="13"/>
    </row>
    <row r="713" spans="1:183" s="52" customFormat="1" ht="13.2" x14ac:dyDescent="0.25">
      <c r="A713" s="2"/>
      <c r="B713" s="2"/>
      <c r="C713" s="9">
        <v>12</v>
      </c>
      <c r="D713" s="9">
        <v>15</v>
      </c>
      <c r="E713" s="9">
        <v>45</v>
      </c>
      <c r="F713" s="9">
        <v>62</v>
      </c>
      <c r="G713" s="9">
        <v>74</v>
      </c>
      <c r="H713" s="9">
        <v>84</v>
      </c>
      <c r="I713" s="43"/>
      <c r="J713" s="9">
        <v>84</v>
      </c>
      <c r="K713" s="43"/>
      <c r="L713" s="39">
        <v>45040</v>
      </c>
      <c r="M713" s="43"/>
      <c r="N713"/>
      <c r="O713"/>
      <c r="P713"/>
      <c r="Q713"/>
      <c r="R713"/>
      <c r="S713"/>
      <c r="T713"/>
      <c r="U713"/>
      <c r="V713"/>
      <c r="X713" s="43"/>
      <c r="Y713"/>
      <c r="Z713"/>
      <c r="AA713"/>
      <c r="AB713"/>
      <c r="AC713"/>
      <c r="AD713"/>
      <c r="AE713"/>
      <c r="AF713"/>
      <c r="AG713"/>
      <c r="AI713" s="148"/>
      <c r="AJ713" s="1"/>
      <c r="AK713" s="1"/>
      <c r="AL713" s="54"/>
      <c r="AM713" s="1"/>
      <c r="AN713" s="43"/>
      <c r="AO713" s="1"/>
      <c r="AP713" s="1"/>
      <c r="AQ713" s="19"/>
      <c r="AR713" s="54"/>
      <c r="AS713" s="43"/>
      <c r="AT713" s="1"/>
      <c r="AU713" s="1"/>
      <c r="AV713" s="1"/>
      <c r="AW713" s="54"/>
      <c r="AX713" s="57"/>
      <c r="AY713" s="54"/>
      <c r="AZ713" s="54"/>
      <c r="BA713" s="54"/>
      <c r="BB713" s="54"/>
      <c r="BC713" s="57"/>
      <c r="BD713" s="1"/>
      <c r="BE713" s="1"/>
      <c r="BF713" s="1"/>
      <c r="BG713" s="54"/>
      <c r="BH713" s="43"/>
      <c r="BI713"/>
      <c r="BJ713" s="13"/>
      <c r="BK713" s="1"/>
      <c r="BL713"/>
      <c r="BM713"/>
      <c r="BN713"/>
      <c r="DY713" s="43"/>
      <c r="DZ713"/>
      <c r="EA713" s="19"/>
      <c r="EB713" s="19"/>
      <c r="EC713" s="9"/>
      <c r="ED713" s="9"/>
      <c r="EE713" s="9"/>
      <c r="EF713" s="9"/>
      <c r="EG713" s="9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/>
      <c r="FQ713" s="13"/>
      <c r="FR713" s="13"/>
      <c r="FS713" s="13"/>
      <c r="FT713" s="13"/>
      <c r="FU713" s="13"/>
      <c r="FV713" s="13"/>
      <c r="FW713" s="13"/>
      <c r="FX713" s="13"/>
      <c r="FY713" s="13"/>
      <c r="FZ713" s="13"/>
      <c r="GA713" s="13"/>
    </row>
    <row r="714" spans="1:183" s="52" customFormat="1" ht="13.2" x14ac:dyDescent="0.25">
      <c r="A714" s="2"/>
      <c r="B714" s="2"/>
      <c r="C714" s="9">
        <v>7</v>
      </c>
      <c r="D714" s="9">
        <v>8</v>
      </c>
      <c r="E714" s="9">
        <v>11</v>
      </c>
      <c r="F714" s="9">
        <v>20</v>
      </c>
      <c r="G714" s="9">
        <v>46</v>
      </c>
      <c r="H714" s="9">
        <v>76</v>
      </c>
      <c r="I714" s="43"/>
      <c r="J714" s="9">
        <v>76</v>
      </c>
      <c r="K714" s="43"/>
      <c r="L714" s="39">
        <v>45038</v>
      </c>
      <c r="M714" s="43"/>
      <c r="N714"/>
      <c r="O714"/>
      <c r="P714"/>
      <c r="Q714"/>
      <c r="R714"/>
      <c r="S714"/>
      <c r="T714"/>
      <c r="U714"/>
      <c r="V714"/>
      <c r="X714" s="43"/>
      <c r="Y714"/>
      <c r="Z714"/>
      <c r="AA714"/>
      <c r="AB714"/>
      <c r="AC714"/>
      <c r="AD714"/>
      <c r="AE714"/>
      <c r="AF714"/>
      <c r="AG714"/>
      <c r="AI714" s="148"/>
      <c r="AJ714" s="1"/>
      <c r="AK714" s="1"/>
      <c r="AL714" s="54"/>
      <c r="AM714" s="1"/>
      <c r="AN714" s="43"/>
      <c r="AO714" s="1"/>
      <c r="AP714" s="1"/>
      <c r="AQ714" s="19"/>
      <c r="AR714" s="54"/>
      <c r="AS714" s="43"/>
      <c r="AT714" s="1"/>
      <c r="AU714" s="1"/>
      <c r="AV714" s="1"/>
      <c r="AW714" s="54"/>
      <c r="AX714" s="57"/>
      <c r="AY714" s="54"/>
      <c r="AZ714" s="54"/>
      <c r="BA714" s="54"/>
      <c r="BB714" s="54"/>
      <c r="BC714" s="57"/>
      <c r="BD714" s="1"/>
      <c r="BE714" s="1"/>
      <c r="BF714" s="1"/>
      <c r="BG714" s="54"/>
      <c r="BH714" s="43"/>
      <c r="BI714"/>
      <c r="BJ714" s="13"/>
      <c r="BK714" s="1"/>
      <c r="BL714"/>
      <c r="BM714"/>
      <c r="BN714"/>
      <c r="DY714" s="43"/>
      <c r="DZ714"/>
      <c r="EA714" s="19"/>
      <c r="EB714" s="19"/>
      <c r="EC714" s="9"/>
      <c r="ED714" s="9"/>
      <c r="EE714" s="9"/>
      <c r="EF714" s="9"/>
      <c r="EG714" s="9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3"/>
      <c r="FD714" s="13"/>
      <c r="FE714" s="13"/>
      <c r="FF714" s="13"/>
      <c r="FG714" s="13"/>
      <c r="FH714" s="13"/>
      <c r="FI714" s="13"/>
      <c r="FJ714" s="13"/>
      <c r="FK714" s="13"/>
      <c r="FL714" s="13"/>
      <c r="FM714" s="13"/>
      <c r="FN714" s="13"/>
      <c r="FO714" s="13"/>
      <c r="FP714" s="13"/>
      <c r="FQ714" s="13"/>
      <c r="FR714" s="13"/>
      <c r="FS714" s="13"/>
      <c r="FT714" s="13"/>
      <c r="FU714" s="13"/>
      <c r="FV714" s="13"/>
      <c r="FW714" s="13"/>
      <c r="FX714" s="13"/>
      <c r="FY714" s="13"/>
      <c r="FZ714" s="13"/>
      <c r="GA714" s="13"/>
    </row>
    <row r="715" spans="1:183" s="52" customFormat="1" ht="13.2" x14ac:dyDescent="0.25">
      <c r="A715" s="2"/>
      <c r="B715" s="2"/>
      <c r="C715" s="9">
        <v>35</v>
      </c>
      <c r="D715" s="9">
        <v>41</v>
      </c>
      <c r="E715" s="9">
        <v>42</v>
      </c>
      <c r="F715" s="9">
        <v>46</v>
      </c>
      <c r="G715" s="9">
        <v>70</v>
      </c>
      <c r="H715" s="9">
        <v>87</v>
      </c>
      <c r="I715" s="43"/>
      <c r="J715" s="9">
        <v>87</v>
      </c>
      <c r="K715" s="43"/>
      <c r="L715" s="39">
        <v>45035</v>
      </c>
      <c r="M715" s="43"/>
      <c r="N715"/>
      <c r="O715"/>
      <c r="P715"/>
      <c r="Q715"/>
      <c r="R715"/>
      <c r="S715"/>
      <c r="T715"/>
      <c r="U715"/>
      <c r="V715"/>
      <c r="X715" s="43"/>
      <c r="Y715"/>
      <c r="Z715"/>
      <c r="AA715"/>
      <c r="AB715"/>
      <c r="AC715"/>
      <c r="AD715"/>
      <c r="AE715"/>
      <c r="AF715"/>
      <c r="AG715"/>
      <c r="AI715" s="148"/>
      <c r="AJ715" s="1"/>
      <c r="AK715" s="1"/>
      <c r="AL715" s="54"/>
      <c r="AM715" s="1"/>
      <c r="AN715" s="43"/>
      <c r="AO715" s="1"/>
      <c r="AP715" s="1"/>
      <c r="AQ715" s="19"/>
      <c r="AR715" s="54"/>
      <c r="AS715" s="43"/>
      <c r="AT715" s="1"/>
      <c r="AU715" s="1"/>
      <c r="AV715" s="1"/>
      <c r="AW715" s="54"/>
      <c r="AX715" s="57"/>
      <c r="AY715" s="54"/>
      <c r="AZ715" s="54"/>
      <c r="BA715" s="54"/>
      <c r="BB715" s="54"/>
      <c r="BC715" s="57"/>
      <c r="BD715" s="1"/>
      <c r="BE715" s="1"/>
      <c r="BF715" s="1"/>
      <c r="BG715" s="54"/>
      <c r="BH715" s="43"/>
      <c r="BI715"/>
      <c r="BJ715" s="13"/>
      <c r="BK715" s="1"/>
      <c r="BL715"/>
      <c r="BM715"/>
      <c r="BN715"/>
      <c r="DY715" s="43"/>
      <c r="DZ715"/>
      <c r="EA715" s="19"/>
      <c r="EB715" s="19"/>
      <c r="EC715" s="9"/>
      <c r="ED715" s="9"/>
      <c r="EE715" s="9"/>
      <c r="EF715" s="9"/>
      <c r="EG715" s="9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  <c r="FT715" s="13"/>
      <c r="FU715" s="13"/>
      <c r="FV715" s="13"/>
      <c r="FW715" s="13"/>
      <c r="FX715" s="13"/>
      <c r="FY715" s="13"/>
      <c r="FZ715" s="13"/>
      <c r="GA715" s="13"/>
    </row>
    <row r="716" spans="1:183" s="52" customFormat="1" ht="13.2" x14ac:dyDescent="0.25">
      <c r="A716" s="2"/>
      <c r="B716" s="2"/>
      <c r="C716" s="9">
        <v>5</v>
      </c>
      <c r="D716" s="9">
        <v>6</v>
      </c>
      <c r="E716" s="9">
        <v>18</v>
      </c>
      <c r="F716" s="9">
        <v>25</v>
      </c>
      <c r="G716" s="9">
        <v>48</v>
      </c>
      <c r="H716" s="9">
        <v>72</v>
      </c>
      <c r="I716" s="43"/>
      <c r="J716" s="9">
        <v>72</v>
      </c>
      <c r="K716" s="43"/>
      <c r="L716" s="39">
        <v>45033</v>
      </c>
      <c r="M716" s="43"/>
      <c r="N716"/>
      <c r="O716"/>
      <c r="P716"/>
      <c r="Q716"/>
      <c r="R716"/>
      <c r="S716"/>
      <c r="T716"/>
      <c r="U716"/>
      <c r="V716"/>
      <c r="X716" s="43"/>
      <c r="Y716"/>
      <c r="Z716"/>
      <c r="AA716"/>
      <c r="AB716"/>
      <c r="AC716"/>
      <c r="AD716"/>
      <c r="AE716"/>
      <c r="AF716"/>
      <c r="AG716"/>
      <c r="AI716" s="148"/>
      <c r="AJ716" s="1"/>
      <c r="AK716" s="1"/>
      <c r="AL716" s="54"/>
      <c r="AM716" s="1"/>
      <c r="AN716" s="43"/>
      <c r="AO716" s="1"/>
      <c r="AP716" s="1"/>
      <c r="AQ716" s="19"/>
      <c r="AR716" s="54"/>
      <c r="AS716" s="43"/>
      <c r="AT716" s="1"/>
      <c r="AU716" s="1"/>
      <c r="AV716" s="1"/>
      <c r="AW716" s="54"/>
      <c r="AX716" s="57"/>
      <c r="AY716" s="54"/>
      <c r="AZ716" s="54"/>
      <c r="BA716" s="54"/>
      <c r="BB716" s="54"/>
      <c r="BC716" s="57"/>
      <c r="BD716" s="1"/>
      <c r="BE716" s="1"/>
      <c r="BF716" s="1"/>
      <c r="BG716" s="54"/>
      <c r="BH716" s="43"/>
      <c r="BI716"/>
      <c r="BJ716" s="13"/>
      <c r="BK716" s="1"/>
      <c r="BL716"/>
      <c r="BM716"/>
      <c r="BN716"/>
      <c r="DY716" s="43"/>
      <c r="DZ716"/>
      <c r="EA716" s="19"/>
      <c r="EB716" s="19"/>
      <c r="EC716" s="9"/>
      <c r="ED716" s="9"/>
      <c r="EE716" s="9"/>
      <c r="EF716" s="9"/>
      <c r="EG716" s="9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3"/>
      <c r="FD716" s="13"/>
      <c r="FE716" s="13"/>
      <c r="FF716" s="13"/>
      <c r="FG716" s="13"/>
      <c r="FH716" s="13"/>
      <c r="FI716" s="13"/>
      <c r="FJ716" s="13"/>
      <c r="FK716" s="13"/>
      <c r="FL716" s="13"/>
      <c r="FM716" s="13"/>
      <c r="FN716" s="13"/>
      <c r="FO716" s="13"/>
      <c r="FP716" s="13"/>
      <c r="FQ716" s="13"/>
      <c r="FR716" s="13"/>
      <c r="FS716" s="13"/>
      <c r="FT716" s="13"/>
      <c r="FU716" s="13"/>
      <c r="FV716" s="13"/>
      <c r="FW716" s="13"/>
      <c r="FX716" s="13"/>
      <c r="FY716" s="13"/>
      <c r="FZ716" s="13"/>
      <c r="GA716" s="13"/>
    </row>
    <row r="717" spans="1:183" s="52" customFormat="1" ht="13.2" x14ac:dyDescent="0.25">
      <c r="A717" s="2"/>
      <c r="B717" s="2"/>
      <c r="C717" s="9">
        <v>9</v>
      </c>
      <c r="D717" s="9">
        <v>26</v>
      </c>
      <c r="E717" s="9">
        <v>39</v>
      </c>
      <c r="F717" s="9">
        <v>43</v>
      </c>
      <c r="G717" s="9">
        <v>56</v>
      </c>
      <c r="H717" s="9">
        <v>64</v>
      </c>
      <c r="I717" s="43"/>
      <c r="J717" s="9">
        <v>64</v>
      </c>
      <c r="K717" s="43"/>
      <c r="L717" s="39">
        <v>45031</v>
      </c>
      <c r="M717" s="43"/>
      <c r="N717"/>
      <c r="O717"/>
      <c r="P717"/>
      <c r="Q717"/>
      <c r="R717"/>
      <c r="S717"/>
      <c r="T717"/>
      <c r="U717"/>
      <c r="V717"/>
      <c r="X717" s="43"/>
      <c r="Y717"/>
      <c r="Z717"/>
      <c r="AA717"/>
      <c r="AB717"/>
      <c r="AC717"/>
      <c r="AD717"/>
      <c r="AE717"/>
      <c r="AF717"/>
      <c r="AG717"/>
      <c r="AI717" s="148"/>
      <c r="AJ717" s="1"/>
      <c r="AK717" s="1"/>
      <c r="AL717" s="54"/>
      <c r="AM717" s="1"/>
      <c r="AN717" s="43"/>
      <c r="AO717" s="1"/>
      <c r="AP717" s="1"/>
      <c r="AQ717" s="19"/>
      <c r="AR717" s="54"/>
      <c r="AS717" s="43"/>
      <c r="AT717" s="1"/>
      <c r="AU717" s="1"/>
      <c r="AV717" s="1"/>
      <c r="AW717" s="54"/>
      <c r="AX717" s="57"/>
      <c r="AY717" s="54"/>
      <c r="AZ717" s="54"/>
      <c r="BA717" s="54"/>
      <c r="BB717" s="54"/>
      <c r="BC717" s="57"/>
      <c r="BD717" s="1"/>
      <c r="BE717" s="1"/>
      <c r="BF717" s="1"/>
      <c r="BG717" s="54"/>
      <c r="BH717" s="43"/>
      <c r="BI717"/>
      <c r="BJ717" s="13"/>
      <c r="BK717" s="1"/>
      <c r="BL717"/>
      <c r="BM717"/>
      <c r="BN717"/>
      <c r="DY717" s="43"/>
      <c r="DZ717"/>
      <c r="EA717" s="19"/>
      <c r="EB717" s="19"/>
      <c r="EC717" s="9"/>
      <c r="ED717" s="9"/>
      <c r="EE717" s="9"/>
      <c r="EF717" s="9"/>
      <c r="EG717" s="9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  <c r="FI717" s="13"/>
      <c r="FJ717" s="13"/>
      <c r="FK717" s="13"/>
      <c r="FL717" s="13"/>
      <c r="FM717" s="13"/>
      <c r="FN717" s="13"/>
      <c r="FO717" s="13"/>
      <c r="FP717" s="13"/>
      <c r="FQ717" s="13"/>
      <c r="FR717" s="13"/>
      <c r="FS717" s="13"/>
      <c r="FT717" s="13"/>
      <c r="FU717" s="13"/>
      <c r="FV717" s="13"/>
      <c r="FW717" s="13"/>
      <c r="FX717" s="13"/>
      <c r="FY717" s="13"/>
      <c r="FZ717" s="13"/>
      <c r="GA717" s="13"/>
    </row>
    <row r="718" spans="1:183" s="52" customFormat="1" ht="13.2" x14ac:dyDescent="0.25">
      <c r="A718" s="2"/>
      <c r="B718" s="2"/>
      <c r="C718" s="9">
        <v>38</v>
      </c>
      <c r="D718" s="9">
        <v>42</v>
      </c>
      <c r="E718" s="9">
        <v>63</v>
      </c>
      <c r="F718" s="9">
        <v>65</v>
      </c>
      <c r="G718" s="9">
        <v>82</v>
      </c>
      <c r="H718" s="9">
        <v>85</v>
      </c>
      <c r="I718" s="43"/>
      <c r="J718" s="9">
        <v>85</v>
      </c>
      <c r="K718" s="43"/>
      <c r="L718" s="39">
        <v>45028</v>
      </c>
      <c r="M718" s="43"/>
      <c r="N718"/>
      <c r="O718"/>
      <c r="P718"/>
      <c r="Q718"/>
      <c r="R718"/>
      <c r="S718"/>
      <c r="T718"/>
      <c r="U718"/>
      <c r="V718"/>
      <c r="X718" s="43"/>
      <c r="Y718"/>
      <c r="Z718"/>
      <c r="AA718"/>
      <c r="AB718"/>
      <c r="AC718"/>
      <c r="AD718"/>
      <c r="AE718"/>
      <c r="AF718"/>
      <c r="AG718"/>
      <c r="AI718" s="148"/>
      <c r="AJ718" s="1"/>
      <c r="AK718" s="1"/>
      <c r="AL718" s="54"/>
      <c r="AM718" s="1"/>
      <c r="AN718" s="43"/>
      <c r="AO718" s="1"/>
      <c r="AP718" s="1"/>
      <c r="AQ718" s="19"/>
      <c r="AR718" s="54"/>
      <c r="AS718" s="43"/>
      <c r="AT718" s="1"/>
      <c r="AU718" s="1"/>
      <c r="AV718" s="1"/>
      <c r="AW718" s="54"/>
      <c r="AX718" s="57"/>
      <c r="AY718" s="54"/>
      <c r="AZ718" s="54"/>
      <c r="BA718" s="54"/>
      <c r="BB718" s="54"/>
      <c r="BC718" s="57"/>
      <c r="BD718" s="1"/>
      <c r="BE718" s="1"/>
      <c r="BF718" s="1"/>
      <c r="BG718" s="54"/>
      <c r="BH718" s="43"/>
      <c r="BI718"/>
      <c r="BJ718" s="13"/>
      <c r="BK718" s="1"/>
      <c r="BL718"/>
      <c r="BM718"/>
      <c r="BN718"/>
      <c r="DY718" s="43"/>
      <c r="DZ718"/>
      <c r="EA718" s="19"/>
      <c r="EB718" s="19"/>
      <c r="EC718" s="9"/>
      <c r="ED718" s="9"/>
      <c r="EE718" s="9"/>
      <c r="EF718" s="9"/>
      <c r="EG718" s="9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  <c r="FI718" s="13"/>
      <c r="FJ718" s="13"/>
      <c r="FK718" s="13"/>
      <c r="FL718" s="13"/>
      <c r="FM718" s="13"/>
      <c r="FN718" s="13"/>
      <c r="FO718" s="13"/>
      <c r="FP718" s="13"/>
      <c r="FQ718" s="13"/>
      <c r="FR718" s="13"/>
      <c r="FS718" s="13"/>
      <c r="FT718" s="13"/>
      <c r="FU718" s="13"/>
      <c r="FV718" s="13"/>
      <c r="FW718" s="13"/>
      <c r="FX718" s="13"/>
      <c r="FY718" s="13"/>
      <c r="FZ718" s="13"/>
      <c r="GA718" s="13"/>
    </row>
    <row r="719" spans="1:183" s="52" customFormat="1" ht="13.2" x14ac:dyDescent="0.25">
      <c r="A719" s="2"/>
      <c r="B719" s="2"/>
      <c r="C719" s="9">
        <v>1</v>
      </c>
      <c r="D719" s="9">
        <v>2</v>
      </c>
      <c r="E719" s="9">
        <v>11</v>
      </c>
      <c r="F719" s="9">
        <v>33</v>
      </c>
      <c r="G719" s="9">
        <v>38</v>
      </c>
      <c r="H719" s="9">
        <v>89</v>
      </c>
      <c r="I719" s="43"/>
      <c r="J719" s="9">
        <v>89</v>
      </c>
      <c r="K719" s="43"/>
      <c r="L719" s="39">
        <v>45026</v>
      </c>
      <c r="M719" s="43"/>
      <c r="N719"/>
      <c r="O719"/>
      <c r="P719"/>
      <c r="Q719"/>
      <c r="R719"/>
      <c r="S719"/>
      <c r="T719"/>
      <c r="U719"/>
      <c r="V719"/>
      <c r="X719" s="43"/>
      <c r="Y719"/>
      <c r="Z719"/>
      <c r="AA719"/>
      <c r="AB719"/>
      <c r="AC719"/>
      <c r="AD719"/>
      <c r="AE719"/>
      <c r="AF719"/>
      <c r="AG719"/>
      <c r="AI719" s="148"/>
      <c r="AJ719" s="1"/>
      <c r="AK719" s="1"/>
      <c r="AL719" s="54"/>
      <c r="AM719" s="1"/>
      <c r="AN719" s="43"/>
      <c r="AO719" s="1"/>
      <c r="AP719" s="1"/>
      <c r="AQ719" s="19"/>
      <c r="AR719" s="54"/>
      <c r="AS719" s="43"/>
      <c r="AT719" s="1"/>
      <c r="AU719" s="1"/>
      <c r="AV719" s="1"/>
      <c r="AW719" s="54"/>
      <c r="AX719" s="57"/>
      <c r="AY719" s="54"/>
      <c r="AZ719" s="54"/>
      <c r="BA719" s="54"/>
      <c r="BB719" s="54"/>
      <c r="BC719" s="57"/>
      <c r="BD719" s="1"/>
      <c r="BE719" s="1"/>
      <c r="BF719" s="1"/>
      <c r="BG719" s="54"/>
      <c r="BH719" s="43"/>
      <c r="BI719"/>
      <c r="BJ719" s="13"/>
      <c r="BK719" s="1"/>
      <c r="BL719"/>
      <c r="BM719"/>
      <c r="BN719"/>
      <c r="DY719" s="43"/>
      <c r="DZ719"/>
      <c r="EA719" s="19"/>
      <c r="EB719" s="19"/>
      <c r="EC719" s="9"/>
      <c r="ED719" s="9"/>
      <c r="EE719" s="9"/>
      <c r="EF719" s="9"/>
      <c r="EG719" s="9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3"/>
      <c r="FJ719" s="13"/>
      <c r="FK719" s="13"/>
      <c r="FL719" s="13"/>
      <c r="FM719" s="13"/>
      <c r="FN719" s="13"/>
      <c r="FO719" s="13"/>
      <c r="FP719" s="13"/>
      <c r="FQ719" s="13"/>
      <c r="FR719" s="13"/>
      <c r="FS719" s="13"/>
      <c r="FT719" s="13"/>
      <c r="FU719" s="13"/>
      <c r="FV719" s="13"/>
      <c r="FW719" s="13"/>
      <c r="FX719" s="13"/>
      <c r="FY719" s="13"/>
      <c r="FZ719" s="13"/>
      <c r="GA719" s="13"/>
    </row>
    <row r="720" spans="1:183" s="52" customFormat="1" ht="13.2" x14ac:dyDescent="0.25">
      <c r="A720" s="2"/>
      <c r="B720" s="2"/>
      <c r="C720" s="9">
        <v>5</v>
      </c>
      <c r="D720" s="9">
        <v>20</v>
      </c>
      <c r="E720" s="9">
        <v>21</v>
      </c>
      <c r="F720" s="9">
        <v>31</v>
      </c>
      <c r="G720" s="9">
        <v>40</v>
      </c>
      <c r="H720" s="9">
        <v>51</v>
      </c>
      <c r="I720" s="43"/>
      <c r="J720" s="9">
        <v>51</v>
      </c>
      <c r="K720" s="43"/>
      <c r="L720" s="39">
        <v>45024</v>
      </c>
      <c r="M720" s="43"/>
      <c r="N720"/>
      <c r="O720"/>
      <c r="P720"/>
      <c r="Q720"/>
      <c r="R720"/>
      <c r="S720"/>
      <c r="T720"/>
      <c r="U720"/>
      <c r="V720"/>
      <c r="X720" s="43"/>
      <c r="Y720"/>
      <c r="Z720"/>
      <c r="AA720"/>
      <c r="AB720"/>
      <c r="AC720"/>
      <c r="AD720"/>
      <c r="AE720"/>
      <c r="AF720"/>
      <c r="AG720"/>
      <c r="AI720" s="148"/>
      <c r="AJ720" s="1"/>
      <c r="AK720" s="1"/>
      <c r="AL720" s="54"/>
      <c r="AM720" s="1"/>
      <c r="AN720" s="43"/>
      <c r="AO720" s="1"/>
      <c r="AP720" s="1"/>
      <c r="AQ720" s="19"/>
      <c r="AR720" s="54"/>
      <c r="AS720" s="43"/>
      <c r="AT720" s="1"/>
      <c r="AU720" s="1"/>
      <c r="AV720" s="1"/>
      <c r="AW720" s="54"/>
      <c r="AX720" s="57"/>
      <c r="AY720" s="54"/>
      <c r="AZ720" s="54"/>
      <c r="BA720" s="54"/>
      <c r="BB720" s="54"/>
      <c r="BC720" s="57"/>
      <c r="BD720" s="1"/>
      <c r="BE720" s="1"/>
      <c r="BF720" s="1"/>
      <c r="BG720" s="54"/>
      <c r="BH720" s="43"/>
      <c r="BI720"/>
      <c r="BJ720" s="13"/>
      <c r="BK720" s="1"/>
      <c r="BL720"/>
      <c r="BM720"/>
      <c r="BN720"/>
      <c r="DY720" s="43"/>
      <c r="DZ720"/>
      <c r="EA720" s="19"/>
      <c r="EB720" s="19"/>
      <c r="EC720" s="9"/>
      <c r="ED720" s="9"/>
      <c r="EE720" s="9"/>
      <c r="EF720" s="9"/>
      <c r="EG720" s="9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3"/>
      <c r="FP720" s="13"/>
      <c r="FQ720" s="13"/>
      <c r="FR720" s="13"/>
      <c r="FS720" s="13"/>
      <c r="FT720" s="13"/>
      <c r="FU720" s="13"/>
      <c r="FV720" s="13"/>
      <c r="FW720" s="13"/>
      <c r="FX720" s="13"/>
      <c r="FY720" s="13"/>
      <c r="FZ720" s="13"/>
      <c r="GA720" s="13"/>
    </row>
    <row r="721" spans="1:183" s="52" customFormat="1" ht="13.2" x14ac:dyDescent="0.25">
      <c r="A721" s="2"/>
      <c r="B721" s="2"/>
      <c r="C721" s="9">
        <v>25</v>
      </c>
      <c r="D721" s="9">
        <v>36</v>
      </c>
      <c r="E721" s="9">
        <v>39</v>
      </c>
      <c r="F721" s="9">
        <v>47</v>
      </c>
      <c r="G721" s="9">
        <v>55</v>
      </c>
      <c r="H721" s="9">
        <v>58</v>
      </c>
      <c r="I721" s="43"/>
      <c r="J721" s="9">
        <v>58</v>
      </c>
      <c r="K721" s="43"/>
      <c r="L721" s="39">
        <v>45021</v>
      </c>
      <c r="M721" s="43"/>
      <c r="N721"/>
      <c r="O721"/>
      <c r="P721"/>
      <c r="Q721"/>
      <c r="R721"/>
      <c r="S721"/>
      <c r="T721"/>
      <c r="U721"/>
      <c r="V721"/>
      <c r="X721" s="43"/>
      <c r="Y721"/>
      <c r="Z721"/>
      <c r="AA721"/>
      <c r="AB721"/>
      <c r="AC721"/>
      <c r="AD721"/>
      <c r="AE721"/>
      <c r="AF721"/>
      <c r="AG721"/>
      <c r="AI721" s="148"/>
      <c r="AJ721" s="1"/>
      <c r="AK721" s="1"/>
      <c r="AL721" s="54"/>
      <c r="AM721" s="1"/>
      <c r="AN721" s="43"/>
      <c r="AO721" s="1"/>
      <c r="AP721" s="1"/>
      <c r="AQ721" s="19"/>
      <c r="AR721" s="54"/>
      <c r="AS721" s="43"/>
      <c r="AT721" s="1"/>
      <c r="AU721" s="1"/>
      <c r="AV721" s="1"/>
      <c r="AW721" s="54"/>
      <c r="AX721" s="57"/>
      <c r="AY721" s="54"/>
      <c r="AZ721" s="54"/>
      <c r="BA721" s="54"/>
      <c r="BB721" s="54"/>
      <c r="BC721" s="57"/>
      <c r="BD721" s="1"/>
      <c r="BE721" s="1"/>
      <c r="BF721" s="1"/>
      <c r="BG721" s="54"/>
      <c r="BH721" s="43"/>
      <c r="BI721"/>
      <c r="BJ721" s="13"/>
      <c r="BK721" s="1"/>
      <c r="BL721"/>
      <c r="BM721"/>
      <c r="BN721"/>
      <c r="DY721" s="43"/>
      <c r="DZ721"/>
      <c r="EA721" s="19"/>
      <c r="EB721" s="19"/>
      <c r="EC721" s="9"/>
      <c r="ED721" s="9"/>
      <c r="EE721" s="9"/>
      <c r="EF721" s="9"/>
      <c r="EG721" s="9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  <c r="FI721" s="13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  <c r="FT721" s="13"/>
      <c r="FU721" s="13"/>
      <c r="FV721" s="13"/>
      <c r="FW721" s="13"/>
      <c r="FX721" s="13"/>
      <c r="FY721" s="13"/>
      <c r="FZ721" s="13"/>
      <c r="GA721" s="13"/>
    </row>
    <row r="722" spans="1:183" s="52" customFormat="1" ht="13.2" x14ac:dyDescent="0.25">
      <c r="A722" s="2"/>
      <c r="B722" s="2"/>
      <c r="C722" s="9">
        <v>2</v>
      </c>
      <c r="D722" s="9">
        <v>11</v>
      </c>
      <c r="E722" s="9">
        <v>47</v>
      </c>
      <c r="F722" s="9">
        <v>61</v>
      </c>
      <c r="G722" s="9">
        <v>80</v>
      </c>
      <c r="H722" s="9">
        <v>89</v>
      </c>
      <c r="I722" s="43"/>
      <c r="J722" s="9">
        <v>89</v>
      </c>
      <c r="K722" s="43"/>
      <c r="L722" s="39">
        <v>45019</v>
      </c>
      <c r="M722" s="43"/>
      <c r="N722"/>
      <c r="O722"/>
      <c r="P722"/>
      <c r="Q722"/>
      <c r="R722"/>
      <c r="S722"/>
      <c r="T722"/>
      <c r="U722"/>
      <c r="V722"/>
      <c r="X722" s="43"/>
      <c r="Y722"/>
      <c r="Z722"/>
      <c r="AA722"/>
      <c r="AB722"/>
      <c r="AC722"/>
      <c r="AD722"/>
      <c r="AE722"/>
      <c r="AF722"/>
      <c r="AG722"/>
      <c r="AI722" s="148"/>
      <c r="AJ722" s="1"/>
      <c r="AK722" s="1"/>
      <c r="AL722" s="54"/>
      <c r="AM722" s="1"/>
      <c r="AN722" s="43"/>
      <c r="AO722" s="1"/>
      <c r="AP722" s="1"/>
      <c r="AQ722" s="19"/>
      <c r="AR722" s="54"/>
      <c r="AS722" s="43"/>
      <c r="AT722" s="1"/>
      <c r="AU722" s="1"/>
      <c r="AV722" s="1"/>
      <c r="AW722" s="54"/>
      <c r="AX722" s="57"/>
      <c r="AY722" s="54"/>
      <c r="AZ722" s="54"/>
      <c r="BA722" s="54"/>
      <c r="BB722" s="54"/>
      <c r="BC722" s="57"/>
      <c r="BD722" s="1"/>
      <c r="BE722" s="1"/>
      <c r="BF722" s="1"/>
      <c r="BG722" s="54"/>
      <c r="BH722" s="43"/>
      <c r="BI722"/>
      <c r="BJ722" s="13"/>
      <c r="BK722" s="1"/>
      <c r="BL722"/>
      <c r="BM722"/>
      <c r="BN722"/>
      <c r="DY722" s="43"/>
      <c r="DZ722"/>
      <c r="EA722" s="19"/>
      <c r="EB722" s="19"/>
      <c r="EC722" s="9"/>
      <c r="ED722" s="9"/>
      <c r="EE722" s="9"/>
      <c r="EF722" s="9"/>
      <c r="EG722" s="9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  <c r="FU722" s="13"/>
      <c r="FV722" s="13"/>
      <c r="FW722" s="13"/>
      <c r="FX722" s="13"/>
      <c r="FY722" s="13"/>
      <c r="FZ722" s="13"/>
      <c r="GA722" s="13"/>
    </row>
    <row r="723" spans="1:183" s="52" customFormat="1" ht="13.2" x14ac:dyDescent="0.25">
      <c r="A723" s="2"/>
      <c r="B723" s="2"/>
      <c r="C723" s="9">
        <v>10</v>
      </c>
      <c r="D723" s="9">
        <v>28</v>
      </c>
      <c r="E723" s="9">
        <v>38</v>
      </c>
      <c r="F723" s="9">
        <v>70</v>
      </c>
      <c r="G723" s="9">
        <v>86</v>
      </c>
      <c r="H723" s="9">
        <v>89</v>
      </c>
      <c r="I723" s="43"/>
      <c r="J723" s="9">
        <v>89</v>
      </c>
      <c r="K723" s="43"/>
      <c r="L723" s="39">
        <v>45017</v>
      </c>
      <c r="M723" s="43"/>
      <c r="N723"/>
      <c r="O723"/>
      <c r="P723"/>
      <c r="Q723"/>
      <c r="R723"/>
      <c r="S723"/>
      <c r="T723"/>
      <c r="U723"/>
      <c r="V723"/>
      <c r="X723" s="43"/>
      <c r="Y723"/>
      <c r="Z723"/>
      <c r="AA723"/>
      <c r="AB723"/>
      <c r="AC723"/>
      <c r="AD723"/>
      <c r="AE723"/>
      <c r="AF723"/>
      <c r="AG723"/>
      <c r="AI723" s="148"/>
      <c r="AJ723" s="1"/>
      <c r="AK723" s="1"/>
      <c r="AL723" s="54"/>
      <c r="AM723" s="1"/>
      <c r="AN723" s="43"/>
      <c r="AO723" s="1"/>
      <c r="AP723" s="1"/>
      <c r="AQ723" s="19"/>
      <c r="AR723" s="54"/>
      <c r="AS723" s="43"/>
      <c r="AT723" s="1"/>
      <c r="AU723" s="1"/>
      <c r="AV723" s="1"/>
      <c r="AW723" s="54"/>
      <c r="AX723" s="57"/>
      <c r="AY723" s="54"/>
      <c r="AZ723" s="54"/>
      <c r="BA723" s="54"/>
      <c r="BB723" s="54"/>
      <c r="BC723" s="57"/>
      <c r="BD723" s="1"/>
      <c r="BE723" s="1"/>
      <c r="BF723" s="1"/>
      <c r="BG723" s="54"/>
      <c r="BH723" s="43"/>
      <c r="BI723"/>
      <c r="BJ723" s="13"/>
      <c r="BK723" s="1"/>
      <c r="BL723"/>
      <c r="BM723"/>
      <c r="BN723"/>
      <c r="DY723" s="43"/>
      <c r="DZ723"/>
      <c r="EA723" s="19"/>
      <c r="EB723" s="19"/>
      <c r="EC723" s="9"/>
      <c r="ED723" s="9"/>
      <c r="EE723" s="9"/>
      <c r="EF723" s="9"/>
      <c r="EG723" s="9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/>
      <c r="FM723" s="13"/>
      <c r="FN723" s="13"/>
      <c r="FO723" s="13"/>
      <c r="FP723" s="13"/>
      <c r="FQ723" s="13"/>
      <c r="FR723" s="13"/>
      <c r="FS723" s="13"/>
      <c r="FT723" s="13"/>
      <c r="FU723" s="13"/>
      <c r="FV723" s="13"/>
      <c r="FW723" s="13"/>
      <c r="FX723" s="13"/>
      <c r="FY723" s="13"/>
      <c r="FZ723" s="13"/>
      <c r="GA723" s="13"/>
    </row>
    <row r="724" spans="1:183" s="52" customFormat="1" ht="13.2" x14ac:dyDescent="0.25">
      <c r="A724" s="2"/>
      <c r="B724" s="2"/>
      <c r="C724" s="9">
        <v>21</v>
      </c>
      <c r="D724" s="9">
        <v>33</v>
      </c>
      <c r="E724" s="9">
        <v>49</v>
      </c>
      <c r="F724" s="9">
        <v>50</v>
      </c>
      <c r="G724" s="9">
        <v>51</v>
      </c>
      <c r="H724" s="9">
        <v>55</v>
      </c>
      <c r="I724" s="43"/>
      <c r="J724" s="9">
        <v>55</v>
      </c>
      <c r="K724" s="43"/>
      <c r="L724" s="39">
        <v>45014</v>
      </c>
      <c r="M724" s="43"/>
      <c r="N724"/>
      <c r="O724"/>
      <c r="P724"/>
      <c r="Q724"/>
      <c r="R724"/>
      <c r="S724"/>
      <c r="T724"/>
      <c r="U724"/>
      <c r="V724"/>
      <c r="X724" s="43"/>
      <c r="Y724"/>
      <c r="Z724"/>
      <c r="AA724"/>
      <c r="AB724"/>
      <c r="AC724"/>
      <c r="AD724"/>
      <c r="AE724"/>
      <c r="AF724"/>
      <c r="AG724"/>
      <c r="AI724" s="148"/>
      <c r="AJ724" s="1"/>
      <c r="AK724" s="1"/>
      <c r="AL724" s="54"/>
      <c r="AM724" s="1"/>
      <c r="AN724" s="43"/>
      <c r="AO724" s="1"/>
      <c r="AP724" s="1"/>
      <c r="AQ724" s="19"/>
      <c r="AR724" s="54"/>
      <c r="AS724" s="43"/>
      <c r="AT724" s="1"/>
      <c r="AU724" s="1"/>
      <c r="AV724" s="1"/>
      <c r="AW724" s="54"/>
      <c r="AX724" s="57"/>
      <c r="AY724" s="54"/>
      <c r="AZ724" s="54"/>
      <c r="BA724" s="54"/>
      <c r="BB724" s="54"/>
      <c r="BC724" s="57"/>
      <c r="BD724" s="1"/>
      <c r="BE724" s="1"/>
      <c r="BF724" s="1"/>
      <c r="BG724" s="54"/>
      <c r="BH724" s="43"/>
      <c r="BI724"/>
      <c r="BJ724" s="13"/>
      <c r="BK724" s="1"/>
      <c r="BL724"/>
      <c r="BM724"/>
      <c r="BN724"/>
      <c r="DY724" s="43"/>
      <c r="DZ724"/>
      <c r="EA724" s="19"/>
      <c r="EB724" s="19"/>
      <c r="EC724" s="9"/>
      <c r="ED724" s="9"/>
      <c r="EE724" s="9"/>
      <c r="EF724" s="9"/>
      <c r="EG724" s="9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3"/>
      <c r="FJ724" s="13"/>
      <c r="FK724" s="13"/>
      <c r="FL724" s="13"/>
      <c r="FM724" s="13"/>
      <c r="FN724" s="13"/>
      <c r="FO724" s="13"/>
      <c r="FP724" s="13"/>
      <c r="FQ724" s="13"/>
      <c r="FR724" s="13"/>
      <c r="FS724" s="13"/>
      <c r="FT724" s="13"/>
      <c r="FU724" s="13"/>
      <c r="FV724" s="13"/>
      <c r="FW724" s="13"/>
      <c r="FX724" s="13"/>
      <c r="FY724" s="13"/>
      <c r="FZ724" s="13"/>
      <c r="GA724" s="13"/>
    </row>
    <row r="725" spans="1:183" s="52" customFormat="1" ht="13.2" x14ac:dyDescent="0.25">
      <c r="A725" s="2"/>
      <c r="B725" s="2"/>
      <c r="C725" s="9">
        <v>23</v>
      </c>
      <c r="D725" s="9">
        <v>25</v>
      </c>
      <c r="E725" s="9">
        <v>36</v>
      </c>
      <c r="F725" s="9">
        <v>38</v>
      </c>
      <c r="G725" s="9">
        <v>82</v>
      </c>
      <c r="H725" s="9">
        <v>83</v>
      </c>
      <c r="I725" s="43"/>
      <c r="J725" s="9">
        <v>83</v>
      </c>
      <c r="K725" s="43"/>
      <c r="L725" s="39">
        <v>45012</v>
      </c>
      <c r="M725" s="43"/>
      <c r="N725"/>
      <c r="O725"/>
      <c r="P725"/>
      <c r="Q725"/>
      <c r="R725"/>
      <c r="S725"/>
      <c r="T725"/>
      <c r="U725"/>
      <c r="V725"/>
      <c r="X725" s="43"/>
      <c r="Y725"/>
      <c r="Z725"/>
      <c r="AA725"/>
      <c r="AB725"/>
      <c r="AC725"/>
      <c r="AD725"/>
      <c r="AE725"/>
      <c r="AF725"/>
      <c r="AG725"/>
      <c r="AI725" s="148"/>
      <c r="AJ725" s="1"/>
      <c r="AK725" s="1"/>
      <c r="AL725" s="54"/>
      <c r="AM725" s="1"/>
      <c r="AN725" s="43"/>
      <c r="AO725" s="1"/>
      <c r="AP725" s="1"/>
      <c r="AQ725" s="19"/>
      <c r="AR725" s="54"/>
      <c r="AS725" s="43"/>
      <c r="AT725" s="1"/>
      <c r="AU725" s="1"/>
      <c r="AV725" s="1"/>
      <c r="AW725" s="54"/>
      <c r="AX725" s="57"/>
      <c r="AY725" s="54"/>
      <c r="AZ725" s="54"/>
      <c r="BA725" s="54"/>
      <c r="BB725" s="54"/>
      <c r="BC725" s="57"/>
      <c r="BD725" s="1"/>
      <c r="BE725" s="1"/>
      <c r="BF725" s="1"/>
      <c r="BG725" s="54"/>
      <c r="BH725" s="43"/>
      <c r="BI725"/>
      <c r="BJ725" s="13"/>
      <c r="BK725" s="1"/>
      <c r="BL725"/>
      <c r="BM725"/>
      <c r="BN725"/>
      <c r="DY725" s="43"/>
      <c r="DZ725"/>
      <c r="EA725" s="19"/>
      <c r="EB725" s="19"/>
      <c r="EC725" s="9"/>
      <c r="ED725" s="9"/>
      <c r="EE725" s="9"/>
      <c r="EF725" s="9"/>
      <c r="EG725" s="9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  <c r="FI725" s="13"/>
      <c r="FJ725" s="13"/>
      <c r="FK725" s="13"/>
      <c r="FL725" s="13"/>
      <c r="FM725" s="13"/>
      <c r="FN725" s="13"/>
      <c r="FO725" s="13"/>
      <c r="FP725" s="13"/>
      <c r="FQ725" s="13"/>
      <c r="FR725" s="13"/>
      <c r="FS725" s="13"/>
      <c r="FT725" s="13"/>
      <c r="FU725" s="13"/>
      <c r="FV725" s="13"/>
      <c r="FW725" s="13"/>
      <c r="FX725" s="13"/>
      <c r="FY725" s="13"/>
      <c r="FZ725" s="13"/>
      <c r="GA725" s="13"/>
    </row>
    <row r="726" spans="1:183" s="52" customFormat="1" ht="13.2" x14ac:dyDescent="0.25">
      <c r="A726" s="2"/>
      <c r="B726" s="2"/>
      <c r="C726" s="9">
        <v>6</v>
      </c>
      <c r="D726" s="9">
        <v>37</v>
      </c>
      <c r="E726" s="9">
        <v>66</v>
      </c>
      <c r="F726" s="9">
        <v>72</v>
      </c>
      <c r="G726" s="9">
        <v>77</v>
      </c>
      <c r="H726" s="9">
        <v>83</v>
      </c>
      <c r="I726" s="43"/>
      <c r="J726" s="9">
        <v>83</v>
      </c>
      <c r="K726" s="43"/>
      <c r="L726" s="39">
        <v>45010</v>
      </c>
      <c r="M726" s="43"/>
      <c r="N726"/>
      <c r="O726"/>
      <c r="P726"/>
      <c r="Q726"/>
      <c r="R726"/>
      <c r="S726"/>
      <c r="T726"/>
      <c r="U726"/>
      <c r="V726"/>
      <c r="X726" s="43"/>
      <c r="Y726"/>
      <c r="Z726"/>
      <c r="AA726"/>
      <c r="AB726"/>
      <c r="AC726"/>
      <c r="AD726"/>
      <c r="AE726"/>
      <c r="AF726"/>
      <c r="AG726"/>
      <c r="AI726" s="148"/>
      <c r="AJ726" s="1"/>
      <c r="AK726" s="1"/>
      <c r="AL726" s="54"/>
      <c r="AM726" s="1"/>
      <c r="AN726" s="43"/>
      <c r="AO726" s="1"/>
      <c r="AP726" s="1"/>
      <c r="AQ726" s="19"/>
      <c r="AR726" s="54"/>
      <c r="AS726" s="43"/>
      <c r="AT726" s="1"/>
      <c r="AU726" s="1"/>
      <c r="AV726" s="1"/>
      <c r="AW726" s="54"/>
      <c r="AX726" s="57"/>
      <c r="AY726" s="54"/>
      <c r="AZ726" s="54"/>
      <c r="BA726" s="54"/>
      <c r="BB726" s="54"/>
      <c r="BC726" s="57"/>
      <c r="BD726" s="1"/>
      <c r="BE726" s="1"/>
      <c r="BF726" s="1"/>
      <c r="BG726" s="54"/>
      <c r="BH726" s="43"/>
      <c r="BI726"/>
      <c r="BJ726" s="13"/>
      <c r="BK726" s="1"/>
      <c r="BL726"/>
      <c r="BM726"/>
      <c r="BN726"/>
      <c r="DY726" s="43"/>
      <c r="DZ726"/>
      <c r="EA726" s="19"/>
      <c r="EB726" s="19"/>
      <c r="EC726" s="9"/>
      <c r="ED726" s="9"/>
      <c r="EE726" s="9"/>
      <c r="EF726" s="9"/>
      <c r="EG726" s="9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3"/>
      <c r="FJ726" s="13"/>
      <c r="FK726" s="13"/>
      <c r="FL726" s="13"/>
      <c r="FM726" s="13"/>
      <c r="FN726" s="13"/>
      <c r="FO726" s="13"/>
      <c r="FP726" s="13"/>
      <c r="FQ726" s="13"/>
      <c r="FR726" s="13"/>
      <c r="FS726" s="13"/>
      <c r="FT726" s="13"/>
      <c r="FU726" s="13"/>
      <c r="FV726" s="13"/>
      <c r="FW726" s="13"/>
      <c r="FX726" s="13"/>
      <c r="FY726" s="13"/>
      <c r="FZ726" s="13"/>
      <c r="GA726" s="13"/>
    </row>
    <row r="727" spans="1:183" s="52" customFormat="1" ht="13.2" x14ac:dyDescent="0.25">
      <c r="A727" s="2"/>
      <c r="B727" s="2"/>
      <c r="C727" s="9">
        <v>3</v>
      </c>
      <c r="D727" s="9">
        <v>29</v>
      </c>
      <c r="E727" s="9">
        <v>58</v>
      </c>
      <c r="F727" s="9">
        <v>68</v>
      </c>
      <c r="G727" s="9">
        <v>69</v>
      </c>
      <c r="H727" s="9">
        <v>77</v>
      </c>
      <c r="I727" s="43"/>
      <c r="J727" s="9">
        <v>77</v>
      </c>
      <c r="K727" s="43"/>
      <c r="L727" s="39">
        <v>45007</v>
      </c>
      <c r="M727" s="43"/>
      <c r="N727"/>
      <c r="O727"/>
      <c r="P727"/>
      <c r="Q727"/>
      <c r="R727"/>
      <c r="S727"/>
      <c r="T727"/>
      <c r="U727"/>
      <c r="V727"/>
      <c r="X727" s="43"/>
      <c r="Y727"/>
      <c r="Z727"/>
      <c r="AA727"/>
      <c r="AB727"/>
      <c r="AC727"/>
      <c r="AD727"/>
      <c r="AE727"/>
      <c r="AF727"/>
      <c r="AG727"/>
      <c r="AI727" s="148"/>
      <c r="AJ727" s="1"/>
      <c r="AK727" s="1"/>
      <c r="AL727" s="54"/>
      <c r="AM727" s="1"/>
      <c r="AN727" s="43"/>
      <c r="AO727" s="1"/>
      <c r="AP727" s="1"/>
      <c r="AQ727" s="19"/>
      <c r="AR727" s="54"/>
      <c r="AS727" s="43"/>
      <c r="AT727" s="1"/>
      <c r="AU727" s="1"/>
      <c r="AV727" s="1"/>
      <c r="AW727" s="54"/>
      <c r="AX727" s="57"/>
      <c r="AY727" s="54"/>
      <c r="AZ727" s="54"/>
      <c r="BA727" s="54"/>
      <c r="BB727" s="54"/>
      <c r="BC727" s="57"/>
      <c r="BD727" s="1"/>
      <c r="BE727" s="1"/>
      <c r="BF727" s="1"/>
      <c r="BG727" s="54"/>
      <c r="BH727" s="43"/>
      <c r="BI727"/>
      <c r="BJ727" s="13"/>
      <c r="BK727" s="1"/>
      <c r="BL727"/>
      <c r="BM727"/>
      <c r="BN727"/>
      <c r="DY727" s="43"/>
      <c r="DZ727"/>
      <c r="EA727" s="19"/>
      <c r="EB727" s="19"/>
      <c r="EC727" s="9"/>
      <c r="ED727" s="9"/>
      <c r="EE727" s="9"/>
      <c r="EF727" s="9"/>
      <c r="EG727" s="9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  <c r="FI727" s="13"/>
      <c r="FJ727" s="13"/>
      <c r="FK727" s="13"/>
      <c r="FL727" s="13"/>
      <c r="FM727" s="13"/>
      <c r="FN727" s="13"/>
      <c r="FO727" s="13"/>
      <c r="FP727" s="13"/>
      <c r="FQ727" s="13"/>
      <c r="FR727" s="13"/>
      <c r="FS727" s="13"/>
      <c r="FT727" s="13"/>
      <c r="FU727" s="13"/>
      <c r="FV727" s="13"/>
      <c r="FW727" s="13"/>
      <c r="FX727" s="13"/>
      <c r="FY727" s="13"/>
      <c r="FZ727" s="13"/>
      <c r="GA727" s="13"/>
    </row>
    <row r="728" spans="1:183" s="52" customFormat="1" ht="13.2" x14ac:dyDescent="0.25">
      <c r="A728" s="2"/>
      <c r="B728" s="2"/>
      <c r="C728" s="9">
        <v>11</v>
      </c>
      <c r="D728" s="9">
        <v>14</v>
      </c>
      <c r="E728" s="9">
        <v>15</v>
      </c>
      <c r="F728" s="9">
        <v>25</v>
      </c>
      <c r="G728" s="9">
        <v>26</v>
      </c>
      <c r="H728" s="9">
        <v>74</v>
      </c>
      <c r="I728" s="43"/>
      <c r="J728" s="9">
        <v>74</v>
      </c>
      <c r="K728" s="43"/>
      <c r="L728" s="39">
        <v>45005</v>
      </c>
      <c r="M728" s="43"/>
      <c r="N728"/>
      <c r="O728"/>
      <c r="P728"/>
      <c r="Q728"/>
      <c r="R728"/>
      <c r="S728"/>
      <c r="T728"/>
      <c r="U728"/>
      <c r="V728"/>
      <c r="X728" s="43"/>
      <c r="Y728"/>
      <c r="Z728"/>
      <c r="AA728"/>
      <c r="AB728"/>
      <c r="AC728"/>
      <c r="AD728"/>
      <c r="AE728"/>
      <c r="AF728"/>
      <c r="AG728"/>
      <c r="AI728" s="148"/>
      <c r="AJ728" s="1"/>
      <c r="AK728" s="1"/>
      <c r="AL728" s="54"/>
      <c r="AM728" s="1"/>
      <c r="AN728" s="43"/>
      <c r="AO728" s="1"/>
      <c r="AP728" s="1"/>
      <c r="AQ728" s="19"/>
      <c r="AR728" s="54"/>
      <c r="AS728" s="43"/>
      <c r="AT728" s="1"/>
      <c r="AU728" s="1"/>
      <c r="AV728" s="1"/>
      <c r="AW728" s="54"/>
      <c r="AX728" s="57"/>
      <c r="AY728" s="54"/>
      <c r="AZ728" s="54"/>
      <c r="BA728" s="54"/>
      <c r="BB728" s="54"/>
      <c r="BC728" s="57"/>
      <c r="BD728" s="1"/>
      <c r="BE728" s="1"/>
      <c r="BF728" s="1"/>
      <c r="BG728" s="54"/>
      <c r="BH728" s="43"/>
      <c r="BI728"/>
      <c r="BJ728" s="13"/>
      <c r="BK728" s="1"/>
      <c r="BL728"/>
      <c r="BM728"/>
      <c r="BN728"/>
      <c r="DY728" s="43"/>
      <c r="DZ728"/>
      <c r="EA728" s="19"/>
      <c r="EB728" s="19"/>
      <c r="EC728" s="9"/>
      <c r="ED728" s="9"/>
      <c r="EE728" s="9"/>
      <c r="EF728" s="9"/>
      <c r="EG728" s="9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3"/>
      <c r="FJ728" s="13"/>
      <c r="FK728" s="13"/>
      <c r="FL728" s="13"/>
      <c r="FM728" s="13"/>
      <c r="FN728" s="13"/>
      <c r="FO728" s="13"/>
      <c r="FP728" s="13"/>
      <c r="FQ728" s="13"/>
      <c r="FR728" s="13"/>
      <c r="FS728" s="13"/>
      <c r="FT728" s="13"/>
      <c r="FU728" s="13"/>
      <c r="FV728" s="13"/>
      <c r="FW728" s="13"/>
      <c r="FX728" s="13"/>
      <c r="FY728" s="13"/>
      <c r="FZ728" s="13"/>
      <c r="GA728" s="13"/>
    </row>
    <row r="729" spans="1:183" s="52" customFormat="1" ht="13.2" x14ac:dyDescent="0.25">
      <c r="A729" s="2"/>
      <c r="B729" s="2"/>
      <c r="C729" s="9">
        <v>11</v>
      </c>
      <c r="D729" s="9">
        <v>18</v>
      </c>
      <c r="E729" s="9">
        <v>30</v>
      </c>
      <c r="F729" s="9">
        <v>60</v>
      </c>
      <c r="G729" s="9">
        <v>81</v>
      </c>
      <c r="H729" s="9">
        <v>84</v>
      </c>
      <c r="I729" s="43"/>
      <c r="J729" s="9">
        <v>84</v>
      </c>
      <c r="K729" s="43"/>
      <c r="L729" s="39">
        <v>45003</v>
      </c>
      <c r="M729" s="43"/>
      <c r="N729"/>
      <c r="O729"/>
      <c r="P729"/>
      <c r="Q729"/>
      <c r="R729"/>
      <c r="S729"/>
      <c r="T729"/>
      <c r="U729"/>
      <c r="V729"/>
      <c r="X729" s="43"/>
      <c r="Y729"/>
      <c r="Z729"/>
      <c r="AA729"/>
      <c r="AB729"/>
      <c r="AC729"/>
      <c r="AD729"/>
      <c r="AE729"/>
      <c r="AF729"/>
      <c r="AG729"/>
      <c r="AI729" s="148"/>
      <c r="AJ729" s="1"/>
      <c r="AK729" s="1"/>
      <c r="AL729" s="54"/>
      <c r="AM729" s="1"/>
      <c r="AN729" s="43"/>
      <c r="AO729" s="1"/>
      <c r="AP729" s="1"/>
      <c r="AQ729" s="19"/>
      <c r="AR729" s="54"/>
      <c r="AS729" s="43"/>
      <c r="AT729" s="1"/>
      <c r="AU729" s="1"/>
      <c r="AV729" s="1"/>
      <c r="AW729" s="54"/>
      <c r="AX729" s="57"/>
      <c r="AY729" s="54"/>
      <c r="AZ729" s="54"/>
      <c r="BA729" s="54"/>
      <c r="BB729" s="54"/>
      <c r="BC729" s="57"/>
      <c r="BD729" s="1"/>
      <c r="BE729" s="1"/>
      <c r="BF729" s="1"/>
      <c r="BG729" s="54"/>
      <c r="BH729" s="43"/>
      <c r="BI729"/>
      <c r="BJ729" s="13"/>
      <c r="BK729" s="1"/>
      <c r="BL729"/>
      <c r="BM729"/>
      <c r="BN729"/>
      <c r="DY729" s="43"/>
      <c r="DZ729"/>
      <c r="EA729" s="19"/>
      <c r="EB729" s="19"/>
      <c r="EC729" s="9"/>
      <c r="ED729" s="9"/>
      <c r="EE729" s="9"/>
      <c r="EF729" s="9"/>
      <c r="EG729" s="9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  <c r="FU729" s="13"/>
      <c r="FV729" s="13"/>
      <c r="FW729" s="13"/>
      <c r="FX729" s="13"/>
      <c r="FY729" s="13"/>
      <c r="FZ729" s="13"/>
      <c r="GA729" s="13"/>
    </row>
    <row r="730" spans="1:183" s="52" customFormat="1" ht="13.2" x14ac:dyDescent="0.25">
      <c r="A730" s="2"/>
      <c r="B730" s="2"/>
      <c r="C730" s="9">
        <v>11</v>
      </c>
      <c r="D730" s="9">
        <v>28</v>
      </c>
      <c r="E730" s="9">
        <v>29</v>
      </c>
      <c r="F730" s="9">
        <v>58</v>
      </c>
      <c r="G730" s="9">
        <v>68</v>
      </c>
      <c r="H730" s="9">
        <v>78</v>
      </c>
      <c r="I730" s="43"/>
      <c r="J730" s="9">
        <v>78</v>
      </c>
      <c r="K730" s="43"/>
      <c r="L730" s="39">
        <v>45000</v>
      </c>
      <c r="M730" s="43"/>
      <c r="N730"/>
      <c r="O730"/>
      <c r="P730"/>
      <c r="Q730"/>
      <c r="R730"/>
      <c r="S730"/>
      <c r="T730"/>
      <c r="U730"/>
      <c r="V730"/>
      <c r="X730" s="43"/>
      <c r="Y730"/>
      <c r="Z730"/>
      <c r="AA730"/>
      <c r="AB730"/>
      <c r="AC730"/>
      <c r="AD730"/>
      <c r="AE730"/>
      <c r="AF730"/>
      <c r="AG730"/>
      <c r="AI730" s="148"/>
      <c r="AJ730" s="1"/>
      <c r="AK730" s="1"/>
      <c r="AL730" s="54"/>
      <c r="AM730" s="1"/>
      <c r="AN730" s="43"/>
      <c r="AO730" s="1"/>
      <c r="AP730" s="1"/>
      <c r="AQ730" s="19"/>
      <c r="AR730" s="54"/>
      <c r="AS730" s="43"/>
      <c r="AT730" s="1"/>
      <c r="AU730" s="1"/>
      <c r="AV730" s="1"/>
      <c r="AW730" s="54"/>
      <c r="AX730" s="57"/>
      <c r="AY730" s="54"/>
      <c r="AZ730" s="54"/>
      <c r="BA730" s="54"/>
      <c r="BB730" s="54"/>
      <c r="BC730" s="57"/>
      <c r="BD730" s="1"/>
      <c r="BE730" s="1"/>
      <c r="BF730" s="1"/>
      <c r="BG730" s="54"/>
      <c r="BH730" s="43"/>
      <c r="BI730"/>
      <c r="BJ730" s="13"/>
      <c r="BK730" s="1"/>
      <c r="BL730"/>
      <c r="BM730"/>
      <c r="BN730"/>
      <c r="DY730" s="43"/>
      <c r="DZ730"/>
      <c r="EA730" s="19"/>
      <c r="EB730" s="19"/>
      <c r="EC730" s="9"/>
      <c r="ED730" s="9"/>
      <c r="EE730" s="9"/>
      <c r="EF730" s="9"/>
      <c r="EG730" s="9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/>
      <c r="FH730" s="13"/>
      <c r="FI730" s="13"/>
      <c r="FJ730" s="13"/>
      <c r="FK730" s="13"/>
      <c r="FL730" s="13"/>
      <c r="FM730" s="13"/>
      <c r="FN730" s="13"/>
      <c r="FO730" s="13"/>
      <c r="FP730" s="13"/>
      <c r="FQ730" s="13"/>
      <c r="FR730" s="13"/>
      <c r="FS730" s="13"/>
      <c r="FT730" s="13"/>
      <c r="FU730" s="13"/>
      <c r="FV730" s="13"/>
      <c r="FW730" s="13"/>
      <c r="FX730" s="13"/>
      <c r="FY730" s="13"/>
      <c r="FZ730" s="13"/>
      <c r="GA730" s="13"/>
    </row>
    <row r="731" spans="1:183" s="52" customFormat="1" ht="13.2" x14ac:dyDescent="0.25">
      <c r="A731" s="2"/>
      <c r="B731" s="2"/>
      <c r="C731" s="9">
        <v>5</v>
      </c>
      <c r="D731" s="9">
        <v>30</v>
      </c>
      <c r="E731" s="9">
        <v>78</v>
      </c>
      <c r="F731" s="9">
        <v>81</v>
      </c>
      <c r="G731" s="9">
        <v>83</v>
      </c>
      <c r="H731" s="9">
        <v>90</v>
      </c>
      <c r="I731" s="43"/>
      <c r="J731" s="9">
        <v>90</v>
      </c>
      <c r="K731" s="43"/>
      <c r="L731" s="39">
        <v>44998</v>
      </c>
      <c r="M731" s="43"/>
      <c r="N731"/>
      <c r="O731"/>
      <c r="P731"/>
      <c r="Q731"/>
      <c r="R731"/>
      <c r="S731"/>
      <c r="T731"/>
      <c r="U731"/>
      <c r="V731"/>
      <c r="X731" s="43"/>
      <c r="Y731"/>
      <c r="Z731"/>
      <c r="AA731"/>
      <c r="AB731"/>
      <c r="AC731"/>
      <c r="AD731"/>
      <c r="AE731"/>
      <c r="AF731"/>
      <c r="AG731"/>
      <c r="AI731" s="148"/>
      <c r="AJ731" s="1"/>
      <c r="AK731" s="1"/>
      <c r="AL731" s="54"/>
      <c r="AM731" s="1"/>
      <c r="AN731" s="43"/>
      <c r="AO731" s="1"/>
      <c r="AP731" s="1"/>
      <c r="AQ731" s="19"/>
      <c r="AR731" s="54"/>
      <c r="AS731" s="43"/>
      <c r="AT731" s="1"/>
      <c r="AU731" s="1"/>
      <c r="AV731" s="1"/>
      <c r="AW731" s="54"/>
      <c r="AX731" s="57"/>
      <c r="AY731" s="54"/>
      <c r="AZ731" s="54"/>
      <c r="BA731" s="54"/>
      <c r="BB731" s="54"/>
      <c r="BC731" s="57"/>
      <c r="BD731" s="1"/>
      <c r="BE731" s="1"/>
      <c r="BF731" s="1"/>
      <c r="BG731" s="54"/>
      <c r="BH731" s="43"/>
      <c r="BI731"/>
      <c r="BJ731" s="13"/>
      <c r="BK731" s="1"/>
      <c r="BL731"/>
      <c r="BM731"/>
      <c r="BN731"/>
      <c r="DY731" s="43"/>
      <c r="DZ731"/>
      <c r="EA731" s="19"/>
      <c r="EB731" s="19"/>
      <c r="EC731" s="9"/>
      <c r="ED731" s="9"/>
      <c r="EE731" s="9"/>
      <c r="EF731" s="9"/>
      <c r="EG731" s="9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  <c r="FI731" s="13"/>
      <c r="FJ731" s="13"/>
      <c r="FK731" s="13"/>
      <c r="FL731" s="13"/>
      <c r="FM731" s="13"/>
      <c r="FN731" s="13"/>
      <c r="FO731" s="13"/>
      <c r="FP731" s="13"/>
      <c r="FQ731" s="13"/>
      <c r="FR731" s="13"/>
      <c r="FS731" s="13"/>
      <c r="FT731" s="13"/>
      <c r="FU731" s="13"/>
      <c r="FV731" s="13"/>
      <c r="FW731" s="13"/>
      <c r="FX731" s="13"/>
      <c r="FY731" s="13"/>
      <c r="FZ731" s="13"/>
      <c r="GA731" s="13"/>
    </row>
    <row r="732" spans="1:183" s="52" customFormat="1" ht="13.2" x14ac:dyDescent="0.25">
      <c r="A732" s="2"/>
      <c r="B732" s="2"/>
      <c r="C732" s="9">
        <v>23</v>
      </c>
      <c r="D732" s="9">
        <v>38</v>
      </c>
      <c r="E732" s="9">
        <v>45</v>
      </c>
      <c r="F732" s="9">
        <v>66</v>
      </c>
      <c r="G732" s="9">
        <v>77</v>
      </c>
      <c r="H732" s="9">
        <v>83</v>
      </c>
      <c r="I732" s="43"/>
      <c r="J732" s="9">
        <v>83</v>
      </c>
      <c r="K732" s="43"/>
      <c r="L732" s="39">
        <v>44996</v>
      </c>
      <c r="M732" s="43"/>
      <c r="N732"/>
      <c r="O732"/>
      <c r="P732"/>
      <c r="Q732"/>
      <c r="R732"/>
      <c r="S732"/>
      <c r="T732"/>
      <c r="U732"/>
      <c r="V732"/>
      <c r="X732" s="43"/>
      <c r="Y732"/>
      <c r="Z732"/>
      <c r="AA732"/>
      <c r="AB732"/>
      <c r="AC732"/>
      <c r="AD732"/>
      <c r="AE732"/>
      <c r="AF732"/>
      <c r="AG732"/>
      <c r="AI732" s="148"/>
      <c r="AJ732" s="1"/>
      <c r="AK732" s="1"/>
      <c r="AL732" s="54"/>
      <c r="AM732" s="1"/>
      <c r="AN732" s="43"/>
      <c r="AO732" s="1"/>
      <c r="AP732" s="1"/>
      <c r="AQ732" s="19"/>
      <c r="AR732" s="54"/>
      <c r="AS732" s="43"/>
      <c r="AT732" s="1"/>
      <c r="AU732" s="1"/>
      <c r="AV732" s="1"/>
      <c r="AW732" s="54"/>
      <c r="AX732" s="57"/>
      <c r="AY732" s="54"/>
      <c r="AZ732" s="54"/>
      <c r="BA732" s="54"/>
      <c r="BB732" s="54"/>
      <c r="BC732" s="57"/>
      <c r="BD732" s="1"/>
      <c r="BE732" s="1"/>
      <c r="BF732" s="1"/>
      <c r="BG732" s="54"/>
      <c r="BH732" s="43"/>
      <c r="BI732"/>
      <c r="BJ732" s="13"/>
      <c r="BK732" s="1"/>
      <c r="BL732"/>
      <c r="BM732"/>
      <c r="BN732"/>
      <c r="DY732" s="43"/>
      <c r="DZ732"/>
      <c r="EA732" s="19"/>
      <c r="EB732" s="19"/>
      <c r="EC732" s="9"/>
      <c r="ED732" s="9"/>
      <c r="EE732" s="9"/>
      <c r="EF732" s="9"/>
      <c r="EG732" s="9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3"/>
      <c r="FJ732" s="13"/>
      <c r="FK732" s="13"/>
      <c r="FL732" s="13"/>
      <c r="FM732" s="13"/>
      <c r="FN732" s="13"/>
      <c r="FO732" s="13"/>
      <c r="FP732" s="13"/>
      <c r="FQ732" s="13"/>
      <c r="FR732" s="13"/>
      <c r="FS732" s="13"/>
      <c r="FT732" s="13"/>
      <c r="FU732" s="13"/>
      <c r="FV732" s="13"/>
      <c r="FW732" s="13"/>
      <c r="FX732" s="13"/>
      <c r="FY732" s="13"/>
      <c r="FZ732" s="13"/>
      <c r="GA732" s="13"/>
    </row>
    <row r="733" spans="1:183" s="52" customFormat="1" ht="13.2" x14ac:dyDescent="0.25">
      <c r="A733" s="2"/>
      <c r="B733" s="2"/>
      <c r="C733" s="9">
        <v>28</v>
      </c>
      <c r="D733" s="9">
        <v>29</v>
      </c>
      <c r="E733" s="9">
        <v>30</v>
      </c>
      <c r="F733" s="9">
        <v>37</v>
      </c>
      <c r="G733" s="9">
        <v>61</v>
      </c>
      <c r="H733" s="9">
        <v>71</v>
      </c>
      <c r="I733" s="43"/>
      <c r="J733" s="9">
        <v>71</v>
      </c>
      <c r="K733" s="43"/>
      <c r="L733" s="39">
        <v>44993</v>
      </c>
      <c r="M733" s="43"/>
      <c r="N733"/>
      <c r="O733"/>
      <c r="P733"/>
      <c r="Q733"/>
      <c r="R733"/>
      <c r="S733"/>
      <c r="T733"/>
      <c r="U733"/>
      <c r="V733"/>
      <c r="X733" s="43"/>
      <c r="Y733"/>
      <c r="Z733"/>
      <c r="AA733"/>
      <c r="AB733"/>
      <c r="AC733"/>
      <c r="AD733"/>
      <c r="AE733"/>
      <c r="AF733"/>
      <c r="AG733"/>
      <c r="AI733" s="148"/>
      <c r="AJ733" s="1"/>
      <c r="AK733" s="1"/>
      <c r="AL733" s="54"/>
      <c r="AM733" s="1"/>
      <c r="AN733" s="43"/>
      <c r="AO733" s="1"/>
      <c r="AP733" s="1"/>
      <c r="AQ733" s="19"/>
      <c r="AR733" s="54"/>
      <c r="AS733" s="43"/>
      <c r="AT733" s="1"/>
      <c r="AU733" s="1"/>
      <c r="AV733" s="1"/>
      <c r="AW733" s="54"/>
      <c r="AX733" s="57"/>
      <c r="AY733" s="54"/>
      <c r="AZ733" s="54"/>
      <c r="BA733" s="54"/>
      <c r="BB733" s="54"/>
      <c r="BC733" s="57"/>
      <c r="BD733" s="1"/>
      <c r="BE733" s="1"/>
      <c r="BF733" s="1"/>
      <c r="BG733" s="54"/>
      <c r="BH733" s="43"/>
      <c r="BI733"/>
      <c r="BJ733" s="13"/>
      <c r="BK733" s="1"/>
      <c r="BL733"/>
      <c r="BM733"/>
      <c r="BN733"/>
      <c r="DY733" s="43"/>
      <c r="DZ733"/>
      <c r="EA733" s="19"/>
      <c r="EB733" s="19"/>
      <c r="EC733" s="9"/>
      <c r="ED733" s="9"/>
      <c r="EE733" s="9"/>
      <c r="EF733" s="9"/>
      <c r="EG733" s="9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3"/>
      <c r="FJ733" s="13"/>
      <c r="FK733" s="13"/>
      <c r="FL733" s="13"/>
      <c r="FM733" s="13"/>
      <c r="FN733" s="13"/>
      <c r="FO733" s="13"/>
      <c r="FP733" s="13"/>
      <c r="FQ733" s="13"/>
      <c r="FR733" s="13"/>
      <c r="FS733" s="13"/>
      <c r="FT733" s="13"/>
      <c r="FU733" s="13"/>
      <c r="FV733" s="13"/>
      <c r="FW733" s="13"/>
      <c r="FX733" s="13"/>
      <c r="FY733" s="13"/>
      <c r="FZ733" s="13"/>
      <c r="GA733" s="13"/>
    </row>
    <row r="734" spans="1:183" s="52" customFormat="1" ht="13.2" x14ac:dyDescent="0.25">
      <c r="A734" s="2"/>
      <c r="B734" s="2"/>
      <c r="C734" s="9">
        <v>5</v>
      </c>
      <c r="D734" s="9">
        <v>7</v>
      </c>
      <c r="E734" s="9">
        <v>38</v>
      </c>
      <c r="F734" s="9">
        <v>57</v>
      </c>
      <c r="G734" s="9">
        <v>64</v>
      </c>
      <c r="H734" s="9">
        <v>66</v>
      </c>
      <c r="I734" s="43"/>
      <c r="J734" s="9">
        <v>66</v>
      </c>
      <c r="K734" s="43"/>
      <c r="L734" s="39">
        <v>44991</v>
      </c>
      <c r="M734" s="43"/>
      <c r="N734"/>
      <c r="O734"/>
      <c r="P734"/>
      <c r="Q734"/>
      <c r="R734"/>
      <c r="S734"/>
      <c r="T734"/>
      <c r="U734"/>
      <c r="V734"/>
      <c r="X734" s="43"/>
      <c r="Y734"/>
      <c r="Z734"/>
      <c r="AA734"/>
      <c r="AB734"/>
      <c r="AC734"/>
      <c r="AD734"/>
      <c r="AE734"/>
      <c r="AF734"/>
      <c r="AG734"/>
      <c r="AI734" s="148"/>
      <c r="AJ734" s="1"/>
      <c r="AK734" s="1"/>
      <c r="AL734" s="54"/>
      <c r="AM734" s="1"/>
      <c r="AN734" s="43"/>
      <c r="AO734" s="1"/>
      <c r="AP734" s="1"/>
      <c r="AQ734" s="19"/>
      <c r="AR734" s="54"/>
      <c r="AS734" s="43"/>
      <c r="AT734" s="1"/>
      <c r="AU734" s="1"/>
      <c r="AV734" s="1"/>
      <c r="AW734" s="54"/>
      <c r="AX734" s="57"/>
      <c r="AY734" s="54"/>
      <c r="AZ734" s="54"/>
      <c r="BA734" s="54"/>
      <c r="BB734" s="54"/>
      <c r="BC734" s="57"/>
      <c r="BD734" s="1"/>
      <c r="BE734" s="1"/>
      <c r="BF734" s="1"/>
      <c r="BG734" s="54"/>
      <c r="BH734" s="43"/>
      <c r="BI734"/>
      <c r="BJ734" s="13"/>
      <c r="BK734" s="1"/>
      <c r="BL734"/>
      <c r="BM734"/>
      <c r="BN734"/>
      <c r="DY734" s="43"/>
      <c r="DZ734"/>
      <c r="EA734" s="19"/>
      <c r="EB734" s="19"/>
      <c r="EC734" s="9"/>
      <c r="ED734" s="9"/>
      <c r="EE734" s="9"/>
      <c r="EF734" s="9"/>
      <c r="EG734" s="9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  <c r="FI734" s="13"/>
      <c r="FJ734" s="13"/>
      <c r="FK734" s="13"/>
      <c r="FL734" s="13"/>
      <c r="FM734" s="13"/>
      <c r="FN734" s="13"/>
      <c r="FO734" s="13"/>
      <c r="FP734" s="13"/>
      <c r="FQ734" s="13"/>
      <c r="FR734" s="13"/>
      <c r="FS734" s="13"/>
      <c r="FT734" s="13"/>
      <c r="FU734" s="13"/>
      <c r="FV734" s="13"/>
      <c r="FW734" s="13"/>
      <c r="FX734" s="13"/>
      <c r="FY734" s="13"/>
      <c r="FZ734" s="13"/>
      <c r="GA734" s="13"/>
    </row>
    <row r="735" spans="1:183" s="52" customFormat="1" ht="13.2" x14ac:dyDescent="0.25">
      <c r="A735" s="2"/>
      <c r="B735" s="2"/>
      <c r="C735" s="9">
        <v>48</v>
      </c>
      <c r="D735" s="9">
        <v>57</v>
      </c>
      <c r="E735" s="9">
        <v>62</v>
      </c>
      <c r="F735" s="9">
        <v>74</v>
      </c>
      <c r="G735" s="9">
        <v>87</v>
      </c>
      <c r="H735" s="9">
        <v>88</v>
      </c>
      <c r="I735" s="43"/>
      <c r="J735" s="9">
        <v>88</v>
      </c>
      <c r="K735" s="43"/>
      <c r="L735" s="39">
        <v>44989</v>
      </c>
      <c r="M735" s="43"/>
      <c r="N735"/>
      <c r="O735"/>
      <c r="P735"/>
      <c r="Q735"/>
      <c r="R735"/>
      <c r="S735"/>
      <c r="T735"/>
      <c r="U735"/>
      <c r="V735"/>
      <c r="X735" s="43"/>
      <c r="Y735"/>
      <c r="Z735"/>
      <c r="AA735"/>
      <c r="AB735"/>
      <c r="AC735"/>
      <c r="AD735"/>
      <c r="AE735"/>
      <c r="AF735"/>
      <c r="AG735"/>
      <c r="AI735" s="148"/>
      <c r="AJ735" s="1"/>
      <c r="AK735" s="1"/>
      <c r="AL735" s="54"/>
      <c r="AM735" s="1"/>
      <c r="AN735" s="43"/>
      <c r="AO735" s="1"/>
      <c r="AP735" s="1"/>
      <c r="AQ735" s="19"/>
      <c r="AR735" s="54"/>
      <c r="AS735" s="43"/>
      <c r="AT735" s="1"/>
      <c r="AU735" s="1"/>
      <c r="AV735" s="1"/>
      <c r="AW735" s="54"/>
      <c r="AX735" s="57"/>
      <c r="AY735" s="54"/>
      <c r="AZ735" s="54"/>
      <c r="BA735" s="54"/>
      <c r="BB735" s="54"/>
      <c r="BC735" s="57"/>
      <c r="BD735" s="1"/>
      <c r="BE735" s="1"/>
      <c r="BF735" s="1"/>
      <c r="BG735" s="54"/>
      <c r="BH735" s="43"/>
      <c r="BI735"/>
      <c r="BJ735" s="13"/>
      <c r="BK735" s="1"/>
      <c r="BL735"/>
      <c r="BM735"/>
      <c r="BN735"/>
      <c r="DY735" s="43"/>
      <c r="DZ735"/>
      <c r="EA735" s="19"/>
      <c r="EB735" s="19"/>
      <c r="EC735" s="9"/>
      <c r="ED735" s="9"/>
      <c r="EE735" s="9"/>
      <c r="EF735" s="9"/>
      <c r="EG735" s="9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  <c r="FI735" s="13"/>
      <c r="FJ735" s="13"/>
      <c r="FK735" s="13"/>
      <c r="FL735" s="13"/>
      <c r="FM735" s="13"/>
      <c r="FN735" s="13"/>
      <c r="FO735" s="13"/>
      <c r="FP735" s="13"/>
      <c r="FQ735" s="13"/>
      <c r="FR735" s="13"/>
      <c r="FS735" s="13"/>
      <c r="FT735" s="13"/>
      <c r="FU735" s="13"/>
      <c r="FV735" s="13"/>
      <c r="FW735" s="13"/>
      <c r="FX735" s="13"/>
      <c r="FY735" s="13"/>
      <c r="FZ735" s="13"/>
      <c r="GA735" s="13"/>
    </row>
    <row r="736" spans="1:183" s="52" customFormat="1" ht="13.2" x14ac:dyDescent="0.25">
      <c r="A736" s="2"/>
      <c r="B736" s="2"/>
      <c r="C736" s="9">
        <v>5</v>
      </c>
      <c r="D736" s="9">
        <v>6</v>
      </c>
      <c r="E736" s="9">
        <v>8</v>
      </c>
      <c r="F736" s="9">
        <v>24</v>
      </c>
      <c r="G736" s="9">
        <v>57</v>
      </c>
      <c r="H736" s="9">
        <v>58</v>
      </c>
      <c r="I736" s="43"/>
      <c r="J736" s="9">
        <v>58</v>
      </c>
      <c r="K736" s="43"/>
      <c r="L736" s="39">
        <v>44986</v>
      </c>
      <c r="M736" s="43"/>
      <c r="N736"/>
      <c r="O736"/>
      <c r="P736"/>
      <c r="Q736"/>
      <c r="R736"/>
      <c r="S736"/>
      <c r="T736"/>
      <c r="U736"/>
      <c r="V736"/>
      <c r="X736" s="43"/>
      <c r="Y736"/>
      <c r="Z736"/>
      <c r="AA736"/>
      <c r="AB736"/>
      <c r="AC736"/>
      <c r="AD736"/>
      <c r="AE736"/>
      <c r="AF736"/>
      <c r="AG736"/>
      <c r="AI736" s="148"/>
      <c r="AJ736" s="1"/>
      <c r="AK736" s="1"/>
      <c r="AL736" s="54"/>
      <c r="AM736" s="1"/>
      <c r="AN736" s="43"/>
      <c r="AO736" s="1"/>
      <c r="AP736" s="1"/>
      <c r="AQ736" s="19"/>
      <c r="AR736" s="54"/>
      <c r="AS736" s="43"/>
      <c r="AT736" s="1"/>
      <c r="AU736" s="1"/>
      <c r="AV736" s="1"/>
      <c r="AW736" s="54"/>
      <c r="AX736" s="57"/>
      <c r="AY736" s="54"/>
      <c r="AZ736" s="54"/>
      <c r="BA736" s="54"/>
      <c r="BB736" s="54"/>
      <c r="BC736" s="57"/>
      <c r="BD736" s="1"/>
      <c r="BE736" s="1"/>
      <c r="BF736" s="1"/>
      <c r="BG736" s="54"/>
      <c r="BH736" s="43"/>
      <c r="BI736"/>
      <c r="BJ736" s="13"/>
      <c r="BK736" s="1"/>
      <c r="BL736"/>
      <c r="BM736"/>
      <c r="BN736"/>
      <c r="DY736" s="43"/>
      <c r="DZ736"/>
      <c r="EA736" s="19"/>
      <c r="EB736" s="19"/>
      <c r="EC736" s="9"/>
      <c r="ED736" s="9"/>
      <c r="EE736" s="9"/>
      <c r="EF736" s="9"/>
      <c r="EG736" s="9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  <c r="FI736" s="13"/>
      <c r="FJ736" s="13"/>
      <c r="FK736" s="13"/>
      <c r="FL736" s="13"/>
      <c r="FM736" s="13"/>
      <c r="FN736" s="13"/>
      <c r="FO736" s="13"/>
      <c r="FP736" s="13"/>
      <c r="FQ736" s="13"/>
      <c r="FR736" s="13"/>
      <c r="FS736" s="13"/>
      <c r="FT736" s="13"/>
      <c r="FU736" s="13"/>
      <c r="FV736" s="13"/>
      <c r="FW736" s="13"/>
      <c r="FX736" s="13"/>
      <c r="FY736" s="13"/>
      <c r="FZ736" s="13"/>
      <c r="GA736" s="13"/>
    </row>
    <row r="737" spans="1:183" s="52" customFormat="1" ht="13.2" x14ac:dyDescent="0.25">
      <c r="A737" s="2"/>
      <c r="B737" s="2"/>
      <c r="C737" s="9">
        <v>6</v>
      </c>
      <c r="D737" s="9">
        <v>7</v>
      </c>
      <c r="E737" s="9">
        <v>71</v>
      </c>
      <c r="F737" s="9">
        <v>74</v>
      </c>
      <c r="G737" s="9">
        <v>82</v>
      </c>
      <c r="H737" s="9">
        <v>86</v>
      </c>
      <c r="I737" s="43"/>
      <c r="J737" s="9">
        <v>86</v>
      </c>
      <c r="K737" s="43"/>
      <c r="L737" s="39">
        <v>44984</v>
      </c>
      <c r="M737" s="43"/>
      <c r="N737"/>
      <c r="O737"/>
      <c r="P737"/>
      <c r="Q737"/>
      <c r="R737"/>
      <c r="S737"/>
      <c r="T737"/>
      <c r="U737"/>
      <c r="V737"/>
      <c r="X737" s="43"/>
      <c r="Y737"/>
      <c r="Z737"/>
      <c r="AA737"/>
      <c r="AB737"/>
      <c r="AC737"/>
      <c r="AD737"/>
      <c r="AE737"/>
      <c r="AF737"/>
      <c r="AG737"/>
      <c r="AI737" s="148"/>
      <c r="AJ737" s="1"/>
      <c r="AK737" s="1"/>
      <c r="AL737" s="54"/>
      <c r="AM737" s="1"/>
      <c r="AN737" s="43"/>
      <c r="AO737" s="1"/>
      <c r="AP737" s="1"/>
      <c r="AQ737" s="19"/>
      <c r="AR737" s="54"/>
      <c r="AS737" s="43"/>
      <c r="AT737" s="1"/>
      <c r="AU737" s="1"/>
      <c r="AV737" s="1"/>
      <c r="AW737" s="54"/>
      <c r="AX737" s="57"/>
      <c r="AY737" s="54"/>
      <c r="AZ737" s="54"/>
      <c r="BA737" s="54"/>
      <c r="BB737" s="54"/>
      <c r="BC737" s="57"/>
      <c r="BD737" s="1"/>
      <c r="BE737" s="1"/>
      <c r="BF737" s="1"/>
      <c r="BG737" s="54"/>
      <c r="BH737" s="43"/>
      <c r="BI737"/>
      <c r="BJ737" s="13"/>
      <c r="BK737" s="1"/>
      <c r="BL737"/>
      <c r="BM737"/>
      <c r="BN737"/>
      <c r="DY737" s="43"/>
      <c r="DZ737"/>
      <c r="EA737" s="19"/>
      <c r="EB737" s="19"/>
      <c r="EC737" s="9"/>
      <c r="ED737" s="9"/>
      <c r="EE737" s="9"/>
      <c r="EF737" s="9"/>
      <c r="EG737" s="9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  <c r="FI737" s="13"/>
      <c r="FJ737" s="13"/>
      <c r="FK737" s="13"/>
      <c r="FL737" s="13"/>
      <c r="FM737" s="13"/>
      <c r="FN737" s="13"/>
      <c r="FO737" s="13"/>
      <c r="FP737" s="13"/>
      <c r="FQ737" s="13"/>
      <c r="FR737" s="13"/>
      <c r="FS737" s="13"/>
      <c r="FT737" s="13"/>
      <c r="FU737" s="13"/>
      <c r="FV737" s="13"/>
      <c r="FW737" s="13"/>
      <c r="FX737" s="13"/>
      <c r="FY737" s="13"/>
      <c r="FZ737" s="13"/>
      <c r="GA737" s="13"/>
    </row>
    <row r="738" spans="1:183" s="52" customFormat="1" ht="13.2" x14ac:dyDescent="0.25">
      <c r="A738" s="2"/>
      <c r="B738" s="2"/>
      <c r="C738" s="9">
        <v>1</v>
      </c>
      <c r="D738" s="9">
        <v>17</v>
      </c>
      <c r="E738" s="9">
        <v>25</v>
      </c>
      <c r="F738" s="9">
        <v>55</v>
      </c>
      <c r="G738" s="9">
        <v>62</v>
      </c>
      <c r="H738" s="9">
        <v>77</v>
      </c>
      <c r="I738" s="43"/>
      <c r="J738" s="9">
        <v>77</v>
      </c>
      <c r="K738" s="43"/>
      <c r="L738" s="39">
        <v>44982</v>
      </c>
      <c r="M738" s="43"/>
      <c r="N738"/>
      <c r="O738"/>
      <c r="P738"/>
      <c r="Q738"/>
      <c r="R738"/>
      <c r="S738"/>
      <c r="T738"/>
      <c r="U738"/>
      <c r="V738"/>
      <c r="X738" s="43"/>
      <c r="Y738"/>
      <c r="Z738"/>
      <c r="AA738"/>
      <c r="AB738"/>
      <c r="AC738"/>
      <c r="AD738"/>
      <c r="AE738"/>
      <c r="AF738"/>
      <c r="AG738"/>
      <c r="AI738" s="148"/>
      <c r="AJ738" s="1"/>
      <c r="AK738" s="1"/>
      <c r="AL738" s="54"/>
      <c r="AM738" s="1"/>
      <c r="AN738" s="43"/>
      <c r="AO738" s="1"/>
      <c r="AP738" s="1"/>
      <c r="AQ738" s="19"/>
      <c r="AR738" s="54"/>
      <c r="AS738" s="43"/>
      <c r="AT738" s="1"/>
      <c r="AU738" s="1"/>
      <c r="AV738" s="1"/>
      <c r="AW738" s="54"/>
      <c r="AX738" s="57"/>
      <c r="AY738" s="54"/>
      <c r="AZ738" s="54"/>
      <c r="BA738" s="54"/>
      <c r="BB738" s="54"/>
      <c r="BC738" s="57"/>
      <c r="BD738" s="1"/>
      <c r="BE738" s="1"/>
      <c r="BF738" s="1"/>
      <c r="BG738" s="54"/>
      <c r="BH738" s="43"/>
      <c r="BI738"/>
      <c r="BJ738" s="13"/>
      <c r="BK738" s="1"/>
      <c r="BL738"/>
      <c r="BM738"/>
      <c r="BN738"/>
      <c r="DY738" s="43"/>
      <c r="DZ738"/>
      <c r="EA738" s="19"/>
      <c r="EB738" s="19"/>
      <c r="EC738" s="9"/>
      <c r="ED738" s="9"/>
      <c r="EE738" s="9"/>
      <c r="EF738" s="9"/>
      <c r="EG738" s="9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/>
      <c r="FQ738" s="13"/>
      <c r="FR738" s="13"/>
      <c r="FS738" s="13"/>
      <c r="FT738" s="13"/>
      <c r="FU738" s="13"/>
      <c r="FV738" s="13"/>
      <c r="FW738" s="13"/>
      <c r="FX738" s="13"/>
      <c r="FY738" s="13"/>
      <c r="FZ738" s="13"/>
      <c r="GA738" s="13"/>
    </row>
    <row r="739" spans="1:183" s="52" customFormat="1" ht="13.2" x14ac:dyDescent="0.25">
      <c r="A739" s="2"/>
      <c r="B739" s="2"/>
      <c r="C739" s="9">
        <v>21</v>
      </c>
      <c r="D739" s="9">
        <v>24</v>
      </c>
      <c r="E739" s="9">
        <v>63</v>
      </c>
      <c r="F739" s="9">
        <v>72</v>
      </c>
      <c r="G739" s="9">
        <v>80</v>
      </c>
      <c r="H739" s="9">
        <v>86</v>
      </c>
      <c r="I739" s="43"/>
      <c r="J739" s="9">
        <v>86</v>
      </c>
      <c r="K739" s="43"/>
      <c r="L739" s="39">
        <v>44979</v>
      </c>
      <c r="M739" s="43"/>
      <c r="N739"/>
      <c r="O739"/>
      <c r="P739"/>
      <c r="Q739"/>
      <c r="R739"/>
      <c r="S739"/>
      <c r="T739"/>
      <c r="U739"/>
      <c r="V739"/>
      <c r="X739" s="43"/>
      <c r="Y739"/>
      <c r="Z739"/>
      <c r="AA739"/>
      <c r="AB739"/>
      <c r="AC739"/>
      <c r="AD739"/>
      <c r="AE739"/>
      <c r="AF739"/>
      <c r="AG739"/>
      <c r="AI739" s="148"/>
      <c r="AJ739" s="1"/>
      <c r="AK739" s="1"/>
      <c r="AL739" s="54"/>
      <c r="AM739" s="1"/>
      <c r="AN739" s="43"/>
      <c r="AO739" s="1"/>
      <c r="AP739" s="1"/>
      <c r="AQ739" s="19"/>
      <c r="AR739" s="54"/>
      <c r="AS739" s="43"/>
      <c r="AT739" s="1"/>
      <c r="AU739" s="1"/>
      <c r="AV739" s="1"/>
      <c r="AW739" s="54"/>
      <c r="AX739" s="57"/>
      <c r="AY739" s="54"/>
      <c r="AZ739" s="54"/>
      <c r="BA739" s="54"/>
      <c r="BB739" s="54"/>
      <c r="BC739" s="57"/>
      <c r="BD739" s="1"/>
      <c r="BE739" s="1"/>
      <c r="BF739" s="1"/>
      <c r="BG739" s="54"/>
      <c r="BH739" s="43"/>
      <c r="BI739"/>
      <c r="BJ739" s="13"/>
      <c r="BK739" s="1"/>
      <c r="BL739"/>
      <c r="BM739"/>
      <c r="BN739"/>
      <c r="DY739" s="43"/>
      <c r="DZ739"/>
      <c r="EA739" s="19"/>
      <c r="EB739" s="19"/>
      <c r="EC739" s="9"/>
      <c r="ED739" s="9"/>
      <c r="EE739" s="9"/>
      <c r="EF739" s="9"/>
      <c r="EG739" s="9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3"/>
      <c r="FD739" s="13"/>
      <c r="FE739" s="13"/>
      <c r="FF739" s="13"/>
      <c r="FG739" s="13"/>
      <c r="FH739" s="13"/>
      <c r="FI739" s="13"/>
      <c r="FJ739" s="13"/>
      <c r="FK739" s="13"/>
      <c r="FL739" s="13"/>
      <c r="FM739" s="13"/>
      <c r="FN739" s="13"/>
      <c r="FO739" s="13"/>
      <c r="FP739" s="13"/>
      <c r="FQ739" s="13"/>
      <c r="FR739" s="13"/>
      <c r="FS739" s="13"/>
      <c r="FT739" s="13"/>
      <c r="FU739" s="13"/>
      <c r="FV739" s="13"/>
      <c r="FW739" s="13"/>
      <c r="FX739" s="13"/>
      <c r="FY739" s="13"/>
      <c r="FZ739" s="13"/>
      <c r="GA739" s="13"/>
    </row>
    <row r="740" spans="1:183" s="52" customFormat="1" ht="13.2" x14ac:dyDescent="0.25">
      <c r="A740" s="2"/>
      <c r="B740" s="2"/>
      <c r="C740" s="9">
        <v>5</v>
      </c>
      <c r="D740" s="9">
        <v>13</v>
      </c>
      <c r="E740" s="9">
        <v>42</v>
      </c>
      <c r="F740" s="9">
        <v>45</v>
      </c>
      <c r="G740" s="9">
        <v>68</v>
      </c>
      <c r="H740" s="9">
        <v>81</v>
      </c>
      <c r="I740" s="43"/>
      <c r="J740" s="9">
        <v>81</v>
      </c>
      <c r="K740" s="43"/>
      <c r="L740" s="39">
        <v>44977</v>
      </c>
      <c r="M740" s="43"/>
      <c r="N740"/>
      <c r="O740"/>
      <c r="P740"/>
      <c r="Q740"/>
      <c r="R740"/>
      <c r="S740"/>
      <c r="T740"/>
      <c r="U740"/>
      <c r="V740"/>
      <c r="X740" s="43"/>
      <c r="Y740"/>
      <c r="Z740"/>
      <c r="AA740"/>
      <c r="AB740"/>
      <c r="AC740"/>
      <c r="AD740"/>
      <c r="AE740"/>
      <c r="AF740"/>
      <c r="AG740"/>
      <c r="AI740" s="148"/>
      <c r="AJ740" s="1"/>
      <c r="AK740" s="1"/>
      <c r="AL740" s="54"/>
      <c r="AM740" s="1"/>
      <c r="AN740" s="43"/>
      <c r="AO740" s="1"/>
      <c r="AP740" s="1"/>
      <c r="AQ740" s="19"/>
      <c r="AR740" s="54"/>
      <c r="AS740" s="43"/>
      <c r="AT740" s="1"/>
      <c r="AU740" s="1"/>
      <c r="AV740" s="1"/>
      <c r="AW740" s="54"/>
      <c r="AX740" s="57"/>
      <c r="AY740" s="54"/>
      <c r="AZ740" s="54"/>
      <c r="BA740" s="54"/>
      <c r="BB740" s="54"/>
      <c r="BC740" s="57"/>
      <c r="BD740" s="1"/>
      <c r="BE740" s="1"/>
      <c r="BF740" s="1"/>
      <c r="BG740" s="54"/>
      <c r="BH740" s="43"/>
      <c r="BI740"/>
      <c r="BJ740" s="13"/>
      <c r="BK740" s="1"/>
      <c r="BL740"/>
      <c r="BM740"/>
      <c r="BN740"/>
      <c r="DY740" s="43"/>
      <c r="DZ740"/>
      <c r="EA740" s="19"/>
      <c r="EB740" s="19"/>
      <c r="EC740" s="9"/>
      <c r="ED740" s="9"/>
      <c r="EE740" s="9"/>
      <c r="EF740" s="9"/>
      <c r="EG740" s="9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  <c r="FI740" s="13"/>
      <c r="FJ740" s="13"/>
      <c r="FK740" s="13"/>
      <c r="FL740" s="13"/>
      <c r="FM740" s="13"/>
      <c r="FN740" s="13"/>
      <c r="FO740" s="13"/>
      <c r="FP740" s="13"/>
      <c r="FQ740" s="13"/>
      <c r="FR740" s="13"/>
      <c r="FS740" s="13"/>
      <c r="FT740" s="13"/>
      <c r="FU740" s="13"/>
      <c r="FV740" s="13"/>
      <c r="FW740" s="13"/>
      <c r="FX740" s="13"/>
      <c r="FY740" s="13"/>
      <c r="FZ740" s="13"/>
      <c r="GA740" s="13"/>
    </row>
    <row r="741" spans="1:183" s="52" customFormat="1" ht="13.2" x14ac:dyDescent="0.25">
      <c r="A741" s="2"/>
      <c r="B741" s="2"/>
      <c r="C741" s="9">
        <v>20</v>
      </c>
      <c r="D741" s="9">
        <v>23</v>
      </c>
      <c r="E741" s="9">
        <v>40</v>
      </c>
      <c r="F741" s="9">
        <v>60</v>
      </c>
      <c r="G741" s="9">
        <v>83</v>
      </c>
      <c r="H741" s="9">
        <v>85</v>
      </c>
      <c r="I741" s="43"/>
      <c r="J741" s="9">
        <v>85</v>
      </c>
      <c r="K741" s="43"/>
      <c r="L741" s="39">
        <v>44975</v>
      </c>
      <c r="M741" s="43"/>
      <c r="N741"/>
      <c r="O741"/>
      <c r="P741"/>
      <c r="Q741"/>
      <c r="R741"/>
      <c r="S741"/>
      <c r="T741"/>
      <c r="U741"/>
      <c r="V741"/>
      <c r="X741" s="43"/>
      <c r="Y741"/>
      <c r="Z741"/>
      <c r="AA741"/>
      <c r="AB741"/>
      <c r="AC741"/>
      <c r="AD741"/>
      <c r="AE741"/>
      <c r="AF741"/>
      <c r="AG741"/>
      <c r="AI741" s="148"/>
      <c r="AJ741" s="1"/>
      <c r="AK741" s="1"/>
      <c r="AL741" s="54"/>
      <c r="AM741" s="1"/>
      <c r="AN741" s="43"/>
      <c r="AO741" s="1"/>
      <c r="AP741" s="1"/>
      <c r="AQ741" s="19"/>
      <c r="AR741" s="54"/>
      <c r="AS741" s="43"/>
      <c r="AT741" s="1"/>
      <c r="AU741" s="1"/>
      <c r="AV741" s="1"/>
      <c r="AW741" s="54"/>
      <c r="AX741" s="57"/>
      <c r="AY741" s="54"/>
      <c r="AZ741" s="54"/>
      <c r="BA741" s="54"/>
      <c r="BB741" s="54"/>
      <c r="BC741" s="57"/>
      <c r="BD741" s="1"/>
      <c r="BE741" s="1"/>
      <c r="BF741" s="1"/>
      <c r="BG741" s="54"/>
      <c r="BH741" s="43"/>
      <c r="BI741"/>
      <c r="BJ741" s="13"/>
      <c r="BK741" s="1"/>
      <c r="BL741"/>
      <c r="BM741"/>
      <c r="BN741"/>
      <c r="DY741" s="43"/>
      <c r="DZ741"/>
      <c r="EA741" s="19"/>
      <c r="EB741" s="19"/>
      <c r="EC741" s="9"/>
      <c r="ED741" s="9"/>
      <c r="EE741" s="9"/>
      <c r="EF741" s="9"/>
      <c r="EG741" s="9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  <c r="FQ741" s="13"/>
      <c r="FR741" s="13"/>
      <c r="FS741" s="13"/>
      <c r="FT741" s="13"/>
      <c r="FU741" s="13"/>
      <c r="FV741" s="13"/>
      <c r="FW741" s="13"/>
      <c r="FX741" s="13"/>
      <c r="FY741" s="13"/>
      <c r="FZ741" s="13"/>
      <c r="GA741" s="13"/>
    </row>
    <row r="742" spans="1:183" s="52" customFormat="1" ht="13.2" x14ac:dyDescent="0.25">
      <c r="A742" s="2"/>
      <c r="B742" s="2"/>
      <c r="C742" s="9">
        <v>11</v>
      </c>
      <c r="D742" s="9">
        <v>32</v>
      </c>
      <c r="E742" s="9">
        <v>59</v>
      </c>
      <c r="F742" s="9">
        <v>60</v>
      </c>
      <c r="G742" s="9">
        <v>67</v>
      </c>
      <c r="H742" s="9">
        <v>85</v>
      </c>
      <c r="I742" s="43"/>
      <c r="J742" s="9">
        <v>85</v>
      </c>
      <c r="K742" s="43"/>
      <c r="L742" s="39">
        <v>44972</v>
      </c>
      <c r="M742" s="43"/>
      <c r="N742"/>
      <c r="O742"/>
      <c r="P742"/>
      <c r="Q742"/>
      <c r="R742"/>
      <c r="S742"/>
      <c r="T742"/>
      <c r="U742"/>
      <c r="V742"/>
      <c r="X742" s="43"/>
      <c r="Y742"/>
      <c r="Z742"/>
      <c r="AA742"/>
      <c r="AB742"/>
      <c r="AC742"/>
      <c r="AD742"/>
      <c r="AE742"/>
      <c r="AF742"/>
      <c r="AG742"/>
      <c r="AI742" s="148"/>
      <c r="AJ742" s="1"/>
      <c r="AK742" s="1"/>
      <c r="AL742" s="54"/>
      <c r="AM742" s="1"/>
      <c r="AN742" s="43"/>
      <c r="AO742" s="1"/>
      <c r="AP742" s="1"/>
      <c r="AQ742" s="19"/>
      <c r="AR742" s="54"/>
      <c r="AS742" s="43"/>
      <c r="AT742" s="1"/>
      <c r="AU742" s="1"/>
      <c r="AV742" s="1"/>
      <c r="AW742" s="54"/>
      <c r="AX742" s="57"/>
      <c r="AY742" s="54"/>
      <c r="AZ742" s="54"/>
      <c r="BA742" s="54"/>
      <c r="BB742" s="54"/>
      <c r="BC742" s="57"/>
      <c r="BD742" s="1"/>
      <c r="BE742" s="1"/>
      <c r="BF742" s="1"/>
      <c r="BG742" s="54"/>
      <c r="BH742" s="43"/>
      <c r="BI742"/>
      <c r="BJ742" s="13"/>
      <c r="BK742" s="1"/>
      <c r="BL742"/>
      <c r="BM742"/>
      <c r="BN742"/>
      <c r="DY742" s="43"/>
      <c r="DZ742"/>
      <c r="EA742" s="19"/>
      <c r="EB742" s="19"/>
      <c r="EC742" s="9"/>
      <c r="ED742" s="9"/>
      <c r="EE742" s="9"/>
      <c r="EF742" s="9"/>
      <c r="EG742" s="9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  <c r="FI742" s="13"/>
      <c r="FJ742" s="13"/>
      <c r="FK742" s="13"/>
      <c r="FL742" s="13"/>
      <c r="FM742" s="13"/>
      <c r="FN742" s="13"/>
      <c r="FO742" s="13"/>
      <c r="FP742" s="13"/>
      <c r="FQ742" s="13"/>
      <c r="FR742" s="13"/>
      <c r="FS742" s="13"/>
      <c r="FT742" s="13"/>
      <c r="FU742" s="13"/>
      <c r="FV742" s="13"/>
      <c r="FW742" s="13"/>
      <c r="FX742" s="13"/>
      <c r="FY742" s="13"/>
      <c r="FZ742" s="13"/>
      <c r="GA742" s="13"/>
    </row>
    <row r="743" spans="1:183" s="52" customFormat="1" ht="13.2" x14ac:dyDescent="0.25">
      <c r="A743" s="2"/>
      <c r="B743" s="2"/>
      <c r="C743" s="9">
        <v>4</v>
      </c>
      <c r="D743" s="9">
        <v>7</v>
      </c>
      <c r="E743" s="9">
        <v>23</v>
      </c>
      <c r="F743" s="9">
        <v>37</v>
      </c>
      <c r="G743" s="9">
        <v>40</v>
      </c>
      <c r="H743" s="9">
        <v>50</v>
      </c>
      <c r="I743" s="43"/>
      <c r="J743" s="9">
        <v>50</v>
      </c>
      <c r="K743" s="43"/>
      <c r="L743" s="39">
        <v>44970</v>
      </c>
      <c r="M743" s="43"/>
      <c r="N743"/>
      <c r="O743"/>
      <c r="P743"/>
      <c r="Q743"/>
      <c r="R743"/>
      <c r="S743"/>
      <c r="T743"/>
      <c r="U743"/>
      <c r="V743"/>
      <c r="X743" s="43"/>
      <c r="Y743"/>
      <c r="Z743"/>
      <c r="AA743"/>
      <c r="AB743"/>
      <c r="AC743"/>
      <c r="AD743"/>
      <c r="AE743"/>
      <c r="AF743"/>
      <c r="AG743"/>
      <c r="AI743" s="148"/>
      <c r="AJ743" s="1"/>
      <c r="AK743" s="1"/>
      <c r="AL743" s="54"/>
      <c r="AM743" s="1"/>
      <c r="AN743" s="43"/>
      <c r="AO743" s="1"/>
      <c r="AP743" s="1"/>
      <c r="AQ743" s="19"/>
      <c r="AR743" s="54"/>
      <c r="AS743" s="43"/>
      <c r="AT743" s="1"/>
      <c r="AU743" s="1"/>
      <c r="AV743" s="1"/>
      <c r="AW743" s="54"/>
      <c r="AX743" s="57"/>
      <c r="AY743" s="54"/>
      <c r="AZ743" s="54"/>
      <c r="BA743" s="54"/>
      <c r="BB743" s="54"/>
      <c r="BC743" s="57"/>
      <c r="BD743" s="1"/>
      <c r="BE743" s="1"/>
      <c r="BF743" s="1"/>
      <c r="BG743" s="54"/>
      <c r="BH743" s="43"/>
      <c r="BI743"/>
      <c r="BJ743" s="13"/>
      <c r="BK743" s="1"/>
      <c r="BL743"/>
      <c r="BM743"/>
      <c r="BN743"/>
      <c r="DY743" s="43"/>
      <c r="DZ743"/>
      <c r="EA743" s="19"/>
      <c r="EB743" s="19"/>
      <c r="EC743" s="9"/>
      <c r="ED743" s="9"/>
      <c r="EE743" s="9"/>
      <c r="EF743" s="9"/>
      <c r="EG743" s="9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3"/>
      <c r="FD743" s="13"/>
      <c r="FE743" s="13"/>
      <c r="FF743" s="13"/>
      <c r="FG743" s="13"/>
      <c r="FH743" s="13"/>
      <c r="FI743" s="13"/>
      <c r="FJ743" s="13"/>
      <c r="FK743" s="13"/>
      <c r="FL743" s="13"/>
      <c r="FM743" s="13"/>
      <c r="FN743" s="13"/>
      <c r="FO743" s="13"/>
      <c r="FP743" s="13"/>
      <c r="FQ743" s="13"/>
      <c r="FR743" s="13"/>
      <c r="FS743" s="13"/>
      <c r="FT743" s="13"/>
      <c r="FU743" s="13"/>
      <c r="FV743" s="13"/>
      <c r="FW743" s="13"/>
      <c r="FX743" s="13"/>
      <c r="FY743" s="13"/>
      <c r="FZ743" s="13"/>
      <c r="GA743" s="13"/>
    </row>
    <row r="744" spans="1:183" s="52" customFormat="1" ht="13.2" x14ac:dyDescent="0.25">
      <c r="A744" s="2"/>
      <c r="B744" s="2"/>
      <c r="C744" s="9">
        <v>6</v>
      </c>
      <c r="D744" s="9">
        <v>11</v>
      </c>
      <c r="E744" s="9">
        <v>16</v>
      </c>
      <c r="F744" s="9">
        <v>46</v>
      </c>
      <c r="G744" s="9">
        <v>59</v>
      </c>
      <c r="H744" s="9">
        <v>69</v>
      </c>
      <c r="I744" s="43"/>
      <c r="J744" s="9">
        <v>69</v>
      </c>
      <c r="K744" s="43"/>
      <c r="L744" s="39">
        <v>44968</v>
      </c>
      <c r="M744" s="43"/>
      <c r="N744"/>
      <c r="O744"/>
      <c r="P744"/>
      <c r="Q744"/>
      <c r="R744"/>
      <c r="S744"/>
      <c r="T744"/>
      <c r="U744"/>
      <c r="V744"/>
      <c r="X744" s="43"/>
      <c r="Y744"/>
      <c r="Z744"/>
      <c r="AA744"/>
      <c r="AB744"/>
      <c r="AC744"/>
      <c r="AD744"/>
      <c r="AE744"/>
      <c r="AF744"/>
      <c r="AG744"/>
      <c r="AI744" s="148"/>
      <c r="AJ744" s="1"/>
      <c r="AK744" s="1"/>
      <c r="AL744" s="54"/>
      <c r="AM744" s="1"/>
      <c r="AN744" s="43"/>
      <c r="AO744" s="1"/>
      <c r="AP744" s="1"/>
      <c r="AQ744" s="19"/>
      <c r="AR744" s="54"/>
      <c r="AS744" s="43"/>
      <c r="AT744" s="1"/>
      <c r="AU744" s="1"/>
      <c r="AV744" s="1"/>
      <c r="AW744" s="54"/>
      <c r="AX744" s="57"/>
      <c r="AY744" s="54"/>
      <c r="AZ744" s="54"/>
      <c r="BA744" s="54"/>
      <c r="BB744" s="54"/>
      <c r="BC744" s="57"/>
      <c r="BD744" s="1"/>
      <c r="BE744" s="1"/>
      <c r="BF744" s="1"/>
      <c r="BG744" s="54"/>
      <c r="BH744" s="43"/>
      <c r="BI744"/>
      <c r="BJ744" s="13"/>
      <c r="BK744" s="1"/>
      <c r="BL744"/>
      <c r="BM744"/>
      <c r="BN744"/>
      <c r="DY744" s="43"/>
      <c r="DZ744"/>
      <c r="EA744" s="19"/>
      <c r="EB744" s="19"/>
      <c r="EC744" s="9"/>
      <c r="ED744" s="9"/>
      <c r="EE744" s="9"/>
      <c r="EF744" s="9"/>
      <c r="EG744" s="9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  <c r="FI744" s="13"/>
      <c r="FJ744" s="13"/>
      <c r="FK744" s="13"/>
      <c r="FL744" s="13"/>
      <c r="FM744" s="13"/>
      <c r="FN744" s="13"/>
      <c r="FO744" s="13"/>
      <c r="FP744" s="13"/>
      <c r="FQ744" s="13"/>
      <c r="FR744" s="13"/>
      <c r="FS744" s="13"/>
      <c r="FT744" s="13"/>
      <c r="FU744" s="13"/>
      <c r="FV744" s="13"/>
      <c r="FW744" s="13"/>
      <c r="FX744" s="13"/>
      <c r="FY744" s="13"/>
      <c r="FZ744" s="13"/>
      <c r="GA744" s="13"/>
    </row>
    <row r="745" spans="1:183" s="52" customFormat="1" ht="13.2" x14ac:dyDescent="0.25">
      <c r="A745" s="2"/>
      <c r="B745" s="2"/>
      <c r="C745" s="9">
        <v>5</v>
      </c>
      <c r="D745" s="9">
        <v>6</v>
      </c>
      <c r="E745" s="9">
        <v>21</v>
      </c>
      <c r="F745" s="9">
        <v>44</v>
      </c>
      <c r="G745" s="9">
        <v>71</v>
      </c>
      <c r="H745" s="9">
        <v>79</v>
      </c>
      <c r="I745" s="43"/>
      <c r="J745" s="9">
        <v>79</v>
      </c>
      <c r="K745" s="43"/>
      <c r="L745" s="39">
        <v>44965</v>
      </c>
      <c r="M745" s="43"/>
      <c r="N745"/>
      <c r="O745"/>
      <c r="P745"/>
      <c r="Q745"/>
      <c r="R745"/>
      <c r="S745"/>
      <c r="T745"/>
      <c r="U745"/>
      <c r="V745"/>
      <c r="X745" s="43"/>
      <c r="Y745"/>
      <c r="Z745"/>
      <c r="AA745"/>
      <c r="AB745"/>
      <c r="AC745"/>
      <c r="AD745"/>
      <c r="AE745"/>
      <c r="AF745"/>
      <c r="AG745"/>
      <c r="AI745" s="148"/>
      <c r="AJ745" s="1"/>
      <c r="AK745" s="1"/>
      <c r="AL745" s="54"/>
      <c r="AM745" s="1"/>
      <c r="AN745" s="43"/>
      <c r="AO745" s="1"/>
      <c r="AP745" s="1"/>
      <c r="AQ745" s="19"/>
      <c r="AR745" s="54"/>
      <c r="AS745" s="43"/>
      <c r="AT745" s="1"/>
      <c r="AU745" s="1"/>
      <c r="AV745" s="1"/>
      <c r="AW745" s="54"/>
      <c r="AX745" s="57"/>
      <c r="AY745" s="54"/>
      <c r="AZ745" s="54"/>
      <c r="BA745" s="54"/>
      <c r="BB745" s="54"/>
      <c r="BC745" s="57"/>
      <c r="BD745" s="1"/>
      <c r="BE745" s="1"/>
      <c r="BF745" s="1"/>
      <c r="BG745" s="54"/>
      <c r="BH745" s="43"/>
      <c r="BI745"/>
      <c r="BJ745" s="13"/>
      <c r="BK745" s="1"/>
      <c r="BL745"/>
      <c r="BM745"/>
      <c r="BN745"/>
      <c r="DY745" s="43"/>
      <c r="DZ745"/>
      <c r="EA745" s="19"/>
      <c r="EB745" s="19"/>
      <c r="EC745" s="9"/>
      <c r="ED745" s="9"/>
      <c r="EE745" s="9"/>
      <c r="EF745" s="9"/>
      <c r="EG745" s="9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/>
      <c r="FX745" s="13"/>
      <c r="FY745" s="13"/>
      <c r="FZ745" s="13"/>
      <c r="GA745" s="13"/>
    </row>
    <row r="746" spans="1:183" s="52" customFormat="1" ht="13.2" x14ac:dyDescent="0.25">
      <c r="A746" s="2"/>
      <c r="B746" s="2"/>
      <c r="C746" s="9">
        <v>12</v>
      </c>
      <c r="D746" s="9">
        <v>30</v>
      </c>
      <c r="E746" s="9">
        <v>48</v>
      </c>
      <c r="F746" s="9">
        <v>52</v>
      </c>
      <c r="G746" s="9">
        <v>61</v>
      </c>
      <c r="H746" s="9">
        <v>82</v>
      </c>
      <c r="I746" s="43"/>
      <c r="J746" s="9">
        <v>82</v>
      </c>
      <c r="K746" s="43"/>
      <c r="L746" s="39">
        <v>44963</v>
      </c>
      <c r="M746" s="43"/>
      <c r="N746"/>
      <c r="O746"/>
      <c r="P746"/>
      <c r="Q746"/>
      <c r="R746"/>
      <c r="S746"/>
      <c r="T746"/>
      <c r="U746"/>
      <c r="V746"/>
      <c r="X746" s="43"/>
      <c r="Y746"/>
      <c r="Z746"/>
      <c r="AA746"/>
      <c r="AB746"/>
      <c r="AC746"/>
      <c r="AD746"/>
      <c r="AE746"/>
      <c r="AF746"/>
      <c r="AG746"/>
      <c r="AI746" s="148"/>
      <c r="AJ746" s="1"/>
      <c r="AK746" s="1"/>
      <c r="AL746" s="54"/>
      <c r="AM746" s="1"/>
      <c r="AN746" s="43"/>
      <c r="AO746" s="1"/>
      <c r="AP746" s="1"/>
      <c r="AQ746" s="19"/>
      <c r="AR746" s="54"/>
      <c r="AS746" s="43"/>
      <c r="AT746" s="1"/>
      <c r="AU746" s="1"/>
      <c r="AV746" s="1"/>
      <c r="AW746" s="54"/>
      <c r="AX746" s="57"/>
      <c r="AY746" s="54"/>
      <c r="AZ746" s="54"/>
      <c r="BA746" s="54"/>
      <c r="BB746" s="54"/>
      <c r="BC746" s="57"/>
      <c r="BD746" s="1"/>
      <c r="BE746" s="1"/>
      <c r="BF746" s="1"/>
      <c r="BG746" s="54"/>
      <c r="BH746" s="43"/>
      <c r="BI746"/>
      <c r="BJ746" s="13"/>
      <c r="BK746" s="1"/>
      <c r="BL746"/>
      <c r="BM746"/>
      <c r="BN746"/>
      <c r="DY746" s="43"/>
      <c r="DZ746"/>
      <c r="EA746" s="19"/>
      <c r="EB746" s="19"/>
      <c r="EC746" s="9"/>
      <c r="ED746" s="9"/>
      <c r="EE746" s="9"/>
      <c r="EF746" s="9"/>
      <c r="EG746" s="9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3"/>
      <c r="FJ746" s="13"/>
      <c r="FK746" s="13"/>
      <c r="FL746" s="13"/>
      <c r="FM746" s="13"/>
      <c r="FN746" s="13"/>
      <c r="FO746" s="13"/>
      <c r="FP746" s="13"/>
      <c r="FQ746" s="13"/>
      <c r="FR746" s="13"/>
      <c r="FS746" s="13"/>
      <c r="FT746" s="13"/>
      <c r="FU746" s="13"/>
      <c r="FV746" s="13"/>
      <c r="FW746" s="13"/>
      <c r="FX746" s="13"/>
      <c r="FY746" s="13"/>
      <c r="FZ746" s="13"/>
      <c r="GA746" s="13"/>
    </row>
    <row r="747" spans="1:183" s="52" customFormat="1" ht="13.2" x14ac:dyDescent="0.25">
      <c r="A747" s="2"/>
      <c r="B747" s="2"/>
      <c r="C747" s="9">
        <v>25</v>
      </c>
      <c r="D747" s="9">
        <v>31</v>
      </c>
      <c r="E747" s="9">
        <v>37</v>
      </c>
      <c r="F747" s="9">
        <v>38</v>
      </c>
      <c r="G747" s="9">
        <v>56</v>
      </c>
      <c r="H747" s="9">
        <v>85</v>
      </c>
      <c r="I747" s="43"/>
      <c r="J747" s="9">
        <v>85</v>
      </c>
      <c r="K747" s="43"/>
      <c r="L747" s="39">
        <v>44961</v>
      </c>
      <c r="M747" s="43"/>
      <c r="N747"/>
      <c r="O747"/>
      <c r="P747"/>
      <c r="Q747"/>
      <c r="R747"/>
      <c r="S747"/>
      <c r="T747"/>
      <c r="U747"/>
      <c r="V747"/>
      <c r="X747" s="43"/>
      <c r="Y747"/>
      <c r="Z747"/>
      <c r="AA747"/>
      <c r="AB747"/>
      <c r="AC747"/>
      <c r="AD747"/>
      <c r="AE747"/>
      <c r="AF747"/>
      <c r="AG747"/>
      <c r="AI747" s="148"/>
      <c r="AJ747" s="1"/>
      <c r="AK747" s="1"/>
      <c r="AL747" s="54"/>
      <c r="AM747" s="1"/>
      <c r="AN747" s="43"/>
      <c r="AO747" s="1"/>
      <c r="AP747" s="1"/>
      <c r="AQ747" s="19"/>
      <c r="AR747" s="54"/>
      <c r="AS747" s="43"/>
      <c r="AT747" s="1"/>
      <c r="AU747" s="1"/>
      <c r="AV747" s="1"/>
      <c r="AW747" s="54"/>
      <c r="AX747" s="57"/>
      <c r="AY747" s="54"/>
      <c r="AZ747" s="54"/>
      <c r="BA747" s="54"/>
      <c r="BB747" s="54"/>
      <c r="BC747" s="57"/>
      <c r="BD747" s="1"/>
      <c r="BE747" s="1"/>
      <c r="BF747" s="1"/>
      <c r="BG747" s="54"/>
      <c r="BH747" s="43"/>
      <c r="BI747"/>
      <c r="BJ747" s="13"/>
      <c r="BK747" s="1"/>
      <c r="BL747"/>
      <c r="BM747"/>
      <c r="BN747"/>
      <c r="DY747" s="43"/>
      <c r="DZ747"/>
      <c r="EA747" s="19"/>
      <c r="EB747" s="19"/>
      <c r="EC747" s="9"/>
      <c r="ED747" s="9"/>
      <c r="EE747" s="9"/>
      <c r="EF747" s="9"/>
      <c r="EG747" s="9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3"/>
      <c r="FJ747" s="13"/>
      <c r="FK747" s="13"/>
      <c r="FL747" s="13"/>
      <c r="FM747" s="13"/>
      <c r="FN747" s="13"/>
      <c r="FO747" s="13"/>
      <c r="FP747" s="13"/>
      <c r="FQ747" s="13"/>
      <c r="FR747" s="13"/>
      <c r="FS747" s="13"/>
      <c r="FT747" s="13"/>
      <c r="FU747" s="13"/>
      <c r="FV747" s="13"/>
      <c r="FW747" s="13"/>
      <c r="FX747" s="13"/>
      <c r="FY747" s="13"/>
      <c r="FZ747" s="13"/>
      <c r="GA747" s="13"/>
    </row>
    <row r="748" spans="1:183" s="52" customFormat="1" ht="13.2" x14ac:dyDescent="0.25">
      <c r="A748" s="2"/>
      <c r="B748" s="2"/>
      <c r="C748" s="9">
        <v>12</v>
      </c>
      <c r="D748" s="9">
        <v>13</v>
      </c>
      <c r="E748" s="9">
        <v>79</v>
      </c>
      <c r="F748" s="9">
        <v>87</v>
      </c>
      <c r="G748" s="9">
        <v>88</v>
      </c>
      <c r="H748" s="9">
        <v>89</v>
      </c>
      <c r="I748" s="43"/>
      <c r="J748" s="9">
        <v>89</v>
      </c>
      <c r="K748" s="43"/>
      <c r="L748" s="39">
        <v>44958</v>
      </c>
      <c r="M748" s="43"/>
      <c r="N748"/>
      <c r="O748"/>
      <c r="P748"/>
      <c r="Q748"/>
      <c r="R748"/>
      <c r="S748"/>
      <c r="T748"/>
      <c r="U748"/>
      <c r="V748"/>
      <c r="X748" s="43"/>
      <c r="Y748"/>
      <c r="Z748"/>
      <c r="AA748"/>
      <c r="AB748"/>
      <c r="AC748"/>
      <c r="AD748"/>
      <c r="AE748"/>
      <c r="AF748"/>
      <c r="AG748"/>
      <c r="AI748" s="148"/>
      <c r="AJ748" s="1"/>
      <c r="AK748" s="1"/>
      <c r="AL748" s="54"/>
      <c r="AM748" s="1"/>
      <c r="AN748" s="43"/>
      <c r="AO748" s="1"/>
      <c r="AP748" s="1"/>
      <c r="AQ748" s="19"/>
      <c r="AR748" s="54"/>
      <c r="AS748" s="43"/>
      <c r="AT748" s="1"/>
      <c r="AU748" s="1"/>
      <c r="AV748" s="1"/>
      <c r="AW748" s="54"/>
      <c r="AX748" s="57"/>
      <c r="AY748" s="54"/>
      <c r="AZ748" s="54"/>
      <c r="BA748" s="54"/>
      <c r="BB748" s="54"/>
      <c r="BC748" s="57"/>
      <c r="BD748" s="1"/>
      <c r="BE748" s="1"/>
      <c r="BF748" s="1"/>
      <c r="BG748" s="54"/>
      <c r="BH748" s="43"/>
      <c r="BI748"/>
      <c r="BJ748" s="13"/>
      <c r="BK748" s="1"/>
      <c r="BL748"/>
      <c r="BM748"/>
      <c r="BN748"/>
      <c r="DY748" s="43"/>
      <c r="DZ748"/>
      <c r="EA748" s="19"/>
      <c r="EB748" s="19"/>
      <c r="EC748" s="9"/>
      <c r="ED748" s="9"/>
      <c r="EE748" s="9"/>
      <c r="EF748" s="9"/>
      <c r="EG748" s="9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  <c r="FI748" s="13"/>
      <c r="FJ748" s="13"/>
      <c r="FK748" s="13"/>
      <c r="FL748" s="13"/>
      <c r="FM748" s="13"/>
      <c r="FN748" s="13"/>
      <c r="FO748" s="13"/>
      <c r="FP748" s="13"/>
      <c r="FQ748" s="13"/>
      <c r="FR748" s="13"/>
      <c r="FS748" s="13"/>
      <c r="FT748" s="13"/>
      <c r="FU748" s="13"/>
      <c r="FV748" s="13"/>
      <c r="FW748" s="13"/>
      <c r="FX748" s="13"/>
      <c r="FY748" s="13"/>
      <c r="FZ748" s="13"/>
      <c r="GA748" s="13"/>
    </row>
    <row r="749" spans="1:183" s="52" customFormat="1" ht="13.2" x14ac:dyDescent="0.25">
      <c r="A749" s="2"/>
      <c r="B749" s="2"/>
      <c r="C749" s="9">
        <v>7</v>
      </c>
      <c r="D749" s="9">
        <v>61</v>
      </c>
      <c r="E749" s="9">
        <v>63</v>
      </c>
      <c r="F749" s="9">
        <v>75</v>
      </c>
      <c r="G749" s="9">
        <v>83</v>
      </c>
      <c r="H749" s="9">
        <v>89</v>
      </c>
      <c r="I749" s="43"/>
      <c r="J749" s="9">
        <v>89</v>
      </c>
      <c r="K749" s="43"/>
      <c r="L749" s="39">
        <v>44956</v>
      </c>
      <c r="M749" s="43"/>
      <c r="N749"/>
      <c r="O749"/>
      <c r="P749"/>
      <c r="Q749"/>
      <c r="R749"/>
      <c r="S749"/>
      <c r="T749"/>
      <c r="U749"/>
      <c r="V749"/>
      <c r="X749" s="43"/>
      <c r="Y749"/>
      <c r="Z749"/>
      <c r="AA749"/>
      <c r="AB749"/>
      <c r="AC749"/>
      <c r="AD749"/>
      <c r="AE749"/>
      <c r="AF749"/>
      <c r="AG749"/>
      <c r="AI749" s="148"/>
      <c r="AJ749" s="1"/>
      <c r="AK749" s="1"/>
      <c r="AL749" s="54"/>
      <c r="AM749" s="1"/>
      <c r="AN749" s="43"/>
      <c r="AO749" s="1"/>
      <c r="AP749" s="1"/>
      <c r="AQ749" s="19"/>
      <c r="AR749" s="54"/>
      <c r="AS749" s="43"/>
      <c r="AT749" s="1"/>
      <c r="AU749" s="1"/>
      <c r="AV749" s="1"/>
      <c r="AW749" s="54"/>
      <c r="AX749" s="57"/>
      <c r="AY749" s="54"/>
      <c r="AZ749" s="54"/>
      <c r="BA749" s="54"/>
      <c r="BB749" s="54"/>
      <c r="BC749" s="57"/>
      <c r="BD749" s="1"/>
      <c r="BE749" s="1"/>
      <c r="BF749" s="1"/>
      <c r="BG749" s="54"/>
      <c r="BH749" s="43"/>
      <c r="BI749"/>
      <c r="BJ749" s="13"/>
      <c r="BK749" s="1"/>
      <c r="BL749"/>
      <c r="BM749"/>
      <c r="BN749"/>
      <c r="DY749" s="43"/>
      <c r="DZ749"/>
      <c r="EA749" s="19"/>
      <c r="EB749" s="19"/>
      <c r="EC749" s="9"/>
      <c r="ED749" s="9"/>
      <c r="EE749" s="9"/>
      <c r="EF749" s="9"/>
      <c r="EG749" s="9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  <c r="FI749" s="13"/>
      <c r="FJ749" s="13"/>
      <c r="FK749" s="13"/>
      <c r="FL749" s="13"/>
      <c r="FM749" s="13"/>
      <c r="FN749" s="13"/>
      <c r="FO749" s="13"/>
      <c r="FP749" s="13"/>
      <c r="FQ749" s="13"/>
      <c r="FR749" s="13"/>
      <c r="FS749" s="13"/>
      <c r="FT749" s="13"/>
      <c r="FU749" s="13"/>
      <c r="FV749" s="13"/>
      <c r="FW749" s="13"/>
      <c r="FX749" s="13"/>
      <c r="FY749" s="13"/>
      <c r="FZ749" s="13"/>
      <c r="GA749" s="13"/>
    </row>
    <row r="750" spans="1:183" s="52" customFormat="1" ht="13.2" x14ac:dyDescent="0.25">
      <c r="A750" s="2"/>
      <c r="B750" s="2"/>
      <c r="C750" s="9">
        <v>7</v>
      </c>
      <c r="D750" s="9">
        <v>11</v>
      </c>
      <c r="E750" s="9">
        <v>29</v>
      </c>
      <c r="F750" s="9">
        <v>44</v>
      </c>
      <c r="G750" s="9">
        <v>45</v>
      </c>
      <c r="H750" s="9">
        <v>84</v>
      </c>
      <c r="I750" s="43"/>
      <c r="J750" s="9">
        <v>84</v>
      </c>
      <c r="K750" s="43"/>
      <c r="L750" s="39">
        <v>44954</v>
      </c>
      <c r="M750" s="43"/>
      <c r="N750"/>
      <c r="O750"/>
      <c r="P750"/>
      <c r="Q750"/>
      <c r="R750"/>
      <c r="S750"/>
      <c r="T750"/>
      <c r="U750"/>
      <c r="V750"/>
      <c r="X750" s="43"/>
      <c r="Y750"/>
      <c r="Z750"/>
      <c r="AA750"/>
      <c r="AB750"/>
      <c r="AC750"/>
      <c r="AD750"/>
      <c r="AE750"/>
      <c r="AF750"/>
      <c r="AG750"/>
      <c r="AI750" s="148"/>
      <c r="AJ750" s="1"/>
      <c r="AK750" s="1"/>
      <c r="AL750" s="54"/>
      <c r="AM750" s="1"/>
      <c r="AN750" s="43"/>
      <c r="AO750" s="1"/>
      <c r="AP750" s="1"/>
      <c r="AQ750" s="19"/>
      <c r="AR750" s="54"/>
      <c r="AS750" s="43"/>
      <c r="AT750" s="1"/>
      <c r="AU750" s="1"/>
      <c r="AV750" s="1"/>
      <c r="AW750" s="54"/>
      <c r="AX750" s="57"/>
      <c r="AY750" s="54"/>
      <c r="AZ750" s="54"/>
      <c r="BA750" s="54"/>
      <c r="BB750" s="54"/>
      <c r="BC750" s="57"/>
      <c r="BD750" s="1"/>
      <c r="BE750" s="1"/>
      <c r="BF750" s="1"/>
      <c r="BG750" s="54"/>
      <c r="BH750" s="43"/>
      <c r="BI750"/>
      <c r="BJ750" s="13"/>
      <c r="BK750" s="1"/>
      <c r="BL750"/>
      <c r="BM750"/>
      <c r="BN750"/>
      <c r="DY750" s="43"/>
      <c r="DZ750"/>
      <c r="EA750" s="19"/>
      <c r="EB750" s="19"/>
      <c r="EC750" s="9"/>
      <c r="ED750" s="9"/>
      <c r="EE750" s="9"/>
      <c r="EF750" s="9"/>
      <c r="EG750" s="9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3"/>
      <c r="FD750" s="13"/>
      <c r="FE750" s="13"/>
      <c r="FF750" s="13"/>
      <c r="FG750" s="13"/>
      <c r="FH750" s="13"/>
      <c r="FI750" s="13"/>
      <c r="FJ750" s="13"/>
      <c r="FK750" s="13"/>
      <c r="FL750" s="13"/>
      <c r="FM750" s="13"/>
      <c r="FN750" s="13"/>
      <c r="FO750" s="13"/>
      <c r="FP750" s="13"/>
      <c r="FQ750" s="13"/>
      <c r="FR750" s="13"/>
      <c r="FS750" s="13"/>
      <c r="FT750" s="13"/>
      <c r="FU750" s="13"/>
      <c r="FV750" s="13"/>
      <c r="FW750" s="13"/>
      <c r="FX750" s="13"/>
      <c r="FY750" s="13"/>
      <c r="FZ750" s="13"/>
      <c r="GA750" s="13"/>
    </row>
    <row r="751" spans="1:183" s="52" customFormat="1" ht="13.2" x14ac:dyDescent="0.25">
      <c r="A751" s="2"/>
      <c r="B751" s="2"/>
      <c r="C751" s="9">
        <v>26</v>
      </c>
      <c r="D751" s="9">
        <v>29</v>
      </c>
      <c r="E751" s="9">
        <v>40</v>
      </c>
      <c r="F751" s="9">
        <v>63</v>
      </c>
      <c r="G751" s="9">
        <v>70</v>
      </c>
      <c r="H751" s="9">
        <v>88</v>
      </c>
      <c r="I751" s="43"/>
      <c r="J751" s="9">
        <v>88</v>
      </c>
      <c r="K751" s="43"/>
      <c r="L751" s="39">
        <v>44951</v>
      </c>
      <c r="M751" s="43"/>
      <c r="N751"/>
      <c r="O751"/>
      <c r="P751"/>
      <c r="Q751"/>
      <c r="R751"/>
      <c r="S751"/>
      <c r="T751"/>
      <c r="U751"/>
      <c r="V751"/>
      <c r="X751" s="43"/>
      <c r="Y751"/>
      <c r="Z751"/>
      <c r="AA751"/>
      <c r="AB751"/>
      <c r="AC751"/>
      <c r="AD751"/>
      <c r="AE751"/>
      <c r="AF751"/>
      <c r="AG751"/>
      <c r="AI751" s="148"/>
      <c r="AJ751" s="1"/>
      <c r="AK751" s="1"/>
      <c r="AL751" s="54"/>
      <c r="AM751" s="1"/>
      <c r="AN751" s="43"/>
      <c r="AO751" s="1"/>
      <c r="AP751" s="1"/>
      <c r="AQ751" s="19"/>
      <c r="AR751" s="54"/>
      <c r="AS751" s="43"/>
      <c r="AT751" s="1"/>
      <c r="AU751" s="1"/>
      <c r="AV751" s="1"/>
      <c r="AW751" s="54"/>
      <c r="AX751" s="57"/>
      <c r="AY751" s="54"/>
      <c r="AZ751" s="54"/>
      <c r="BA751" s="54"/>
      <c r="BB751" s="54"/>
      <c r="BC751" s="57"/>
      <c r="BD751" s="1"/>
      <c r="BE751" s="1"/>
      <c r="BF751" s="1"/>
      <c r="BG751" s="54"/>
      <c r="BH751" s="43"/>
      <c r="BI751"/>
      <c r="BJ751" s="13"/>
      <c r="BK751" s="1"/>
      <c r="BL751"/>
      <c r="BM751"/>
      <c r="BN751"/>
      <c r="DY751" s="43"/>
      <c r="DZ751"/>
      <c r="EA751" s="19"/>
      <c r="EB751" s="19"/>
      <c r="EC751" s="9"/>
      <c r="ED751" s="9"/>
      <c r="EE751" s="9"/>
      <c r="EF751" s="9"/>
      <c r="EG751" s="9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3"/>
      <c r="FJ751" s="13"/>
      <c r="FK751" s="13"/>
      <c r="FL751" s="13"/>
      <c r="FM751" s="13"/>
      <c r="FN751" s="13"/>
      <c r="FO751" s="13"/>
      <c r="FP751" s="13"/>
      <c r="FQ751" s="13"/>
      <c r="FR751" s="13"/>
      <c r="FS751" s="13"/>
      <c r="FT751" s="13"/>
      <c r="FU751" s="13"/>
      <c r="FV751" s="13"/>
      <c r="FW751" s="13"/>
      <c r="FX751" s="13"/>
      <c r="FY751" s="13"/>
      <c r="FZ751" s="13"/>
      <c r="GA751" s="13"/>
    </row>
    <row r="752" spans="1:183" s="52" customFormat="1" ht="13.2" x14ac:dyDescent="0.25">
      <c r="A752" s="2"/>
      <c r="B752" s="2"/>
      <c r="C752" s="9">
        <v>4</v>
      </c>
      <c r="D752" s="9">
        <v>17</v>
      </c>
      <c r="E752" s="9">
        <v>30</v>
      </c>
      <c r="F752" s="9">
        <v>65</v>
      </c>
      <c r="G752" s="9">
        <v>69</v>
      </c>
      <c r="H752" s="9">
        <v>78</v>
      </c>
      <c r="I752" s="43"/>
      <c r="J752" s="9">
        <v>78</v>
      </c>
      <c r="K752" s="43"/>
      <c r="L752" s="39">
        <v>44949</v>
      </c>
      <c r="M752" s="43"/>
      <c r="N752"/>
      <c r="O752"/>
      <c r="P752"/>
      <c r="Q752"/>
      <c r="R752"/>
      <c r="S752"/>
      <c r="T752"/>
      <c r="U752"/>
      <c r="V752"/>
      <c r="X752" s="43"/>
      <c r="Y752"/>
      <c r="Z752"/>
      <c r="AA752"/>
      <c r="AB752"/>
      <c r="AC752"/>
      <c r="AD752"/>
      <c r="AE752"/>
      <c r="AF752"/>
      <c r="AG752"/>
      <c r="AI752" s="148"/>
      <c r="AJ752" s="1"/>
      <c r="AK752" s="1"/>
      <c r="AL752" s="54"/>
      <c r="AM752" s="1"/>
      <c r="AN752" s="43"/>
      <c r="AO752" s="1"/>
      <c r="AP752" s="1"/>
      <c r="AQ752" s="19"/>
      <c r="AR752" s="54"/>
      <c r="AS752" s="43"/>
      <c r="AT752" s="1"/>
      <c r="AU752" s="1"/>
      <c r="AV752" s="1"/>
      <c r="AW752" s="54"/>
      <c r="AX752" s="57"/>
      <c r="AY752" s="54"/>
      <c r="AZ752" s="54"/>
      <c r="BA752" s="54"/>
      <c r="BB752" s="54"/>
      <c r="BC752" s="57"/>
      <c r="BD752" s="1"/>
      <c r="BE752" s="1"/>
      <c r="BF752" s="1"/>
      <c r="BG752" s="54"/>
      <c r="BH752" s="43"/>
      <c r="BI752"/>
      <c r="BJ752" s="13"/>
      <c r="BK752" s="1"/>
      <c r="BL752"/>
      <c r="BM752"/>
      <c r="BN752"/>
      <c r="DY752" s="43"/>
      <c r="DZ752"/>
      <c r="EA752" s="19"/>
      <c r="EB752" s="19"/>
      <c r="EC752" s="9"/>
      <c r="ED752" s="9"/>
      <c r="EE752" s="9"/>
      <c r="EF752" s="9"/>
      <c r="EG752" s="9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  <c r="FI752" s="13"/>
      <c r="FJ752" s="13"/>
      <c r="FK752" s="13"/>
      <c r="FL752" s="13"/>
      <c r="FM752" s="13"/>
      <c r="FN752" s="13"/>
      <c r="FO752" s="13"/>
      <c r="FP752" s="13"/>
      <c r="FQ752" s="13"/>
      <c r="FR752" s="13"/>
      <c r="FS752" s="13"/>
      <c r="FT752" s="13"/>
      <c r="FU752" s="13"/>
      <c r="FV752" s="13"/>
      <c r="FW752" s="13"/>
      <c r="FX752" s="13"/>
      <c r="FY752" s="13"/>
      <c r="FZ752" s="13"/>
      <c r="GA752" s="13"/>
    </row>
    <row r="753" spans="1:183" s="52" customFormat="1" ht="13.2" x14ac:dyDescent="0.25">
      <c r="A753" s="2"/>
      <c r="B753" s="2"/>
      <c r="C753" s="9">
        <v>39</v>
      </c>
      <c r="D753" s="9">
        <v>49</v>
      </c>
      <c r="E753" s="9">
        <v>62</v>
      </c>
      <c r="F753" s="9">
        <v>81</v>
      </c>
      <c r="G753" s="9">
        <v>87</v>
      </c>
      <c r="H753" s="9">
        <v>88</v>
      </c>
      <c r="I753" s="43"/>
      <c r="J753" s="9">
        <v>88</v>
      </c>
      <c r="K753" s="43"/>
      <c r="L753" s="39">
        <v>44947</v>
      </c>
      <c r="M753" s="43"/>
      <c r="N753"/>
      <c r="O753"/>
      <c r="P753"/>
      <c r="Q753"/>
      <c r="R753"/>
      <c r="S753"/>
      <c r="T753"/>
      <c r="U753"/>
      <c r="V753"/>
      <c r="X753" s="43"/>
      <c r="Y753"/>
      <c r="Z753"/>
      <c r="AA753"/>
      <c r="AB753"/>
      <c r="AC753"/>
      <c r="AD753"/>
      <c r="AE753"/>
      <c r="AF753"/>
      <c r="AG753"/>
      <c r="AI753" s="148"/>
      <c r="AJ753" s="1"/>
      <c r="AK753" s="1"/>
      <c r="AL753" s="54"/>
      <c r="AM753" s="1"/>
      <c r="AN753" s="43"/>
      <c r="AO753" s="1"/>
      <c r="AP753" s="1"/>
      <c r="AQ753" s="19"/>
      <c r="AR753" s="54"/>
      <c r="AS753" s="43"/>
      <c r="AT753" s="1"/>
      <c r="AU753" s="1"/>
      <c r="AV753" s="1"/>
      <c r="AW753" s="54"/>
      <c r="AX753" s="57"/>
      <c r="AY753" s="54"/>
      <c r="AZ753" s="54"/>
      <c r="BA753" s="54"/>
      <c r="BB753" s="54"/>
      <c r="BC753" s="57"/>
      <c r="BD753" s="1"/>
      <c r="BE753" s="1"/>
      <c r="BF753" s="1"/>
      <c r="BG753" s="54"/>
      <c r="BH753" s="43"/>
      <c r="BI753"/>
      <c r="BJ753" s="13"/>
      <c r="BK753" s="1"/>
      <c r="BL753"/>
      <c r="BM753"/>
      <c r="BN753"/>
      <c r="DY753" s="43"/>
      <c r="DZ753"/>
      <c r="EA753" s="19"/>
      <c r="EB753" s="19"/>
      <c r="EC753" s="9"/>
      <c r="ED753" s="9"/>
      <c r="EE753" s="9"/>
      <c r="EF753" s="9"/>
      <c r="EG753" s="9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  <c r="FI753" s="13"/>
      <c r="FJ753" s="13"/>
      <c r="FK753" s="13"/>
      <c r="FL753" s="13"/>
      <c r="FM753" s="13"/>
      <c r="FN753" s="13"/>
      <c r="FO753" s="13"/>
      <c r="FP753" s="13"/>
      <c r="FQ753" s="13"/>
      <c r="FR753" s="13"/>
      <c r="FS753" s="13"/>
      <c r="FT753" s="13"/>
      <c r="FU753" s="13"/>
      <c r="FV753" s="13"/>
      <c r="FW753" s="13"/>
      <c r="FX753" s="13"/>
      <c r="FY753" s="13"/>
      <c r="FZ753" s="13"/>
      <c r="GA753" s="13"/>
    </row>
    <row r="754" spans="1:183" s="52" customFormat="1" ht="13.2" x14ac:dyDescent="0.25">
      <c r="A754" s="2"/>
      <c r="B754" s="2"/>
      <c r="C754" s="9">
        <v>10</v>
      </c>
      <c r="D754" s="9">
        <v>22</v>
      </c>
      <c r="E754" s="9">
        <v>35</v>
      </c>
      <c r="F754" s="9">
        <v>44</v>
      </c>
      <c r="G754" s="9">
        <v>52</v>
      </c>
      <c r="H754" s="9">
        <v>85</v>
      </c>
      <c r="I754" s="43"/>
      <c r="J754" s="9">
        <v>85</v>
      </c>
      <c r="K754" s="43"/>
      <c r="L754" s="39">
        <v>44944</v>
      </c>
      <c r="M754" s="43"/>
      <c r="N754"/>
      <c r="O754"/>
      <c r="P754"/>
      <c r="Q754"/>
      <c r="R754"/>
      <c r="S754"/>
      <c r="T754"/>
      <c r="U754"/>
      <c r="V754"/>
      <c r="X754" s="43"/>
      <c r="Y754"/>
      <c r="Z754"/>
      <c r="AA754"/>
      <c r="AB754"/>
      <c r="AC754"/>
      <c r="AD754"/>
      <c r="AE754"/>
      <c r="AF754"/>
      <c r="AG754"/>
      <c r="AI754" s="148"/>
      <c r="AJ754" s="1"/>
      <c r="AK754" s="1"/>
      <c r="AL754" s="54"/>
      <c r="AM754" s="1"/>
      <c r="AN754" s="43"/>
      <c r="AO754" s="1"/>
      <c r="AP754" s="1"/>
      <c r="AQ754" s="19"/>
      <c r="AR754" s="54"/>
      <c r="AS754" s="43"/>
      <c r="AT754" s="1"/>
      <c r="AU754" s="1"/>
      <c r="AV754" s="1"/>
      <c r="AW754" s="54"/>
      <c r="AX754" s="57"/>
      <c r="AY754" s="54"/>
      <c r="AZ754" s="54"/>
      <c r="BA754" s="54"/>
      <c r="BB754" s="54"/>
      <c r="BC754" s="57"/>
      <c r="BD754" s="1"/>
      <c r="BE754" s="1"/>
      <c r="BF754" s="1"/>
      <c r="BG754" s="54"/>
      <c r="BH754" s="43"/>
      <c r="BI754"/>
      <c r="BJ754" s="13"/>
      <c r="BK754" s="1"/>
      <c r="BL754"/>
      <c r="BM754"/>
      <c r="BN754"/>
      <c r="DY754" s="43"/>
      <c r="DZ754"/>
      <c r="EA754" s="19"/>
      <c r="EB754" s="19"/>
      <c r="EC754" s="9"/>
      <c r="ED754" s="9"/>
      <c r="EE754" s="9"/>
      <c r="EF754" s="9"/>
      <c r="EG754" s="9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  <c r="FT754" s="13"/>
      <c r="FU754" s="13"/>
      <c r="FV754" s="13"/>
      <c r="FW754" s="13"/>
      <c r="FX754" s="13"/>
      <c r="FY754" s="13"/>
      <c r="FZ754" s="13"/>
      <c r="GA754" s="13"/>
    </row>
    <row r="755" spans="1:183" s="52" customFormat="1" ht="13.2" x14ac:dyDescent="0.25">
      <c r="A755" s="2"/>
      <c r="B755" s="2"/>
      <c r="C755" s="9">
        <v>2</v>
      </c>
      <c r="D755" s="9">
        <v>23</v>
      </c>
      <c r="E755" s="9">
        <v>34</v>
      </c>
      <c r="F755" s="9">
        <v>41</v>
      </c>
      <c r="G755" s="9">
        <v>57</v>
      </c>
      <c r="H755" s="9">
        <v>70</v>
      </c>
      <c r="I755" s="43"/>
      <c r="J755" s="9">
        <v>70</v>
      </c>
      <c r="K755" s="43"/>
      <c r="L755" s="39">
        <v>44942</v>
      </c>
      <c r="M755" s="43"/>
      <c r="N755"/>
      <c r="O755"/>
      <c r="P755"/>
      <c r="Q755"/>
      <c r="R755"/>
      <c r="S755"/>
      <c r="T755"/>
      <c r="U755"/>
      <c r="V755"/>
      <c r="X755" s="43"/>
      <c r="Y755"/>
      <c r="Z755"/>
      <c r="AA755"/>
      <c r="AB755"/>
      <c r="AC755"/>
      <c r="AD755"/>
      <c r="AE755"/>
      <c r="AF755"/>
      <c r="AG755"/>
      <c r="AI755" s="148"/>
      <c r="AJ755" s="1"/>
      <c r="AK755" s="1"/>
      <c r="AL755" s="54"/>
      <c r="AM755" s="1"/>
      <c r="AN755" s="43"/>
      <c r="AO755" s="1"/>
      <c r="AP755" s="1"/>
      <c r="AQ755" s="19"/>
      <c r="AR755" s="54"/>
      <c r="AS755" s="43"/>
      <c r="AT755" s="1"/>
      <c r="AU755" s="1"/>
      <c r="AV755" s="1"/>
      <c r="AW755" s="54"/>
      <c r="AX755" s="57"/>
      <c r="AY755" s="54"/>
      <c r="AZ755" s="54"/>
      <c r="BA755" s="54"/>
      <c r="BB755" s="54"/>
      <c r="BC755" s="57"/>
      <c r="BD755" s="1"/>
      <c r="BE755" s="1"/>
      <c r="BF755" s="1"/>
      <c r="BG755" s="54"/>
      <c r="BH755" s="43"/>
      <c r="BI755"/>
      <c r="BJ755" s="13"/>
      <c r="BK755" s="1"/>
      <c r="BL755"/>
      <c r="BM755"/>
      <c r="BN755"/>
      <c r="DY755" s="43"/>
      <c r="DZ755"/>
      <c r="EA755" s="19"/>
      <c r="EB755" s="19"/>
      <c r="EC755" s="9"/>
      <c r="ED755" s="9"/>
      <c r="EE755" s="9"/>
      <c r="EF755" s="9"/>
      <c r="EG755" s="9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  <c r="FI755" s="13"/>
      <c r="FJ755" s="13"/>
      <c r="FK755" s="13"/>
      <c r="FL755" s="13"/>
      <c r="FM755" s="13"/>
      <c r="FN755" s="13"/>
      <c r="FO755" s="13"/>
      <c r="FP755" s="13"/>
      <c r="FQ755" s="13"/>
      <c r="FR755" s="13"/>
      <c r="FS755" s="13"/>
      <c r="FT755" s="13"/>
      <c r="FU755" s="13"/>
      <c r="FV755" s="13"/>
      <c r="FW755" s="13"/>
      <c r="FX755" s="13"/>
      <c r="FY755" s="13"/>
      <c r="FZ755" s="13"/>
      <c r="GA755" s="13"/>
    </row>
    <row r="756" spans="1:183" s="52" customFormat="1" ht="13.2" x14ac:dyDescent="0.25">
      <c r="A756" s="2"/>
      <c r="B756" s="2"/>
      <c r="C756" s="9">
        <v>8</v>
      </c>
      <c r="D756" s="9">
        <v>34</v>
      </c>
      <c r="E756" s="9">
        <v>56</v>
      </c>
      <c r="F756" s="9">
        <v>77</v>
      </c>
      <c r="G756" s="9">
        <v>85</v>
      </c>
      <c r="H756" s="9">
        <v>89</v>
      </c>
      <c r="I756" s="43"/>
      <c r="J756" s="9">
        <v>89</v>
      </c>
      <c r="K756" s="43"/>
      <c r="L756" s="39">
        <v>44940</v>
      </c>
      <c r="M756" s="43"/>
      <c r="N756"/>
      <c r="O756"/>
      <c r="P756"/>
      <c r="Q756"/>
      <c r="R756"/>
      <c r="S756"/>
      <c r="T756"/>
      <c r="U756"/>
      <c r="V756"/>
      <c r="X756" s="43"/>
      <c r="Y756"/>
      <c r="Z756"/>
      <c r="AA756"/>
      <c r="AB756"/>
      <c r="AC756"/>
      <c r="AD756"/>
      <c r="AE756"/>
      <c r="AF756"/>
      <c r="AG756"/>
      <c r="AI756" s="148"/>
      <c r="AJ756" s="1"/>
      <c r="AK756" s="1"/>
      <c r="AL756" s="54"/>
      <c r="AM756" s="1"/>
      <c r="AN756" s="43"/>
      <c r="AO756" s="1"/>
      <c r="AP756" s="1"/>
      <c r="AQ756" s="19"/>
      <c r="AR756" s="54"/>
      <c r="AS756" s="43"/>
      <c r="AT756" s="1"/>
      <c r="AU756" s="1"/>
      <c r="AV756" s="1"/>
      <c r="AW756" s="54"/>
      <c r="AX756" s="57"/>
      <c r="AY756" s="54"/>
      <c r="AZ756" s="54"/>
      <c r="BA756" s="54"/>
      <c r="BB756" s="54"/>
      <c r="BC756" s="57"/>
      <c r="BD756" s="1"/>
      <c r="BE756" s="1"/>
      <c r="BF756" s="1"/>
      <c r="BG756" s="54"/>
      <c r="BH756" s="43"/>
      <c r="BI756"/>
      <c r="BJ756" s="13"/>
      <c r="BK756" s="1"/>
      <c r="BL756"/>
      <c r="BM756"/>
      <c r="BN756"/>
      <c r="DY756" s="43"/>
      <c r="DZ756"/>
      <c r="EA756" s="19"/>
      <c r="EB756" s="19"/>
      <c r="EC756" s="9"/>
      <c r="ED756" s="9"/>
      <c r="EE756" s="9"/>
      <c r="EF756" s="9"/>
      <c r="EG756" s="9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  <c r="FU756" s="13"/>
      <c r="FV756" s="13"/>
      <c r="FW756" s="13"/>
      <c r="FX756" s="13"/>
      <c r="FY756" s="13"/>
      <c r="FZ756" s="13"/>
      <c r="GA756" s="13"/>
    </row>
    <row r="757" spans="1:183" s="52" customFormat="1" ht="13.2" x14ac:dyDescent="0.25">
      <c r="A757" s="2"/>
      <c r="B757" s="2"/>
      <c r="C757" s="9">
        <v>1</v>
      </c>
      <c r="D757" s="9">
        <v>22</v>
      </c>
      <c r="E757" s="9">
        <v>32</v>
      </c>
      <c r="F757" s="9">
        <v>50</v>
      </c>
      <c r="G757" s="9">
        <v>74</v>
      </c>
      <c r="H757" s="9">
        <v>81</v>
      </c>
      <c r="I757" s="43"/>
      <c r="J757" s="9">
        <v>81</v>
      </c>
      <c r="K757" s="43"/>
      <c r="L757" s="39">
        <v>44937</v>
      </c>
      <c r="M757" s="43"/>
      <c r="N757"/>
      <c r="O757"/>
      <c r="P757"/>
      <c r="Q757"/>
      <c r="R757"/>
      <c r="S757"/>
      <c r="T757"/>
      <c r="U757"/>
      <c r="V757"/>
      <c r="X757" s="43"/>
      <c r="Y757"/>
      <c r="Z757"/>
      <c r="AA757"/>
      <c r="AB757"/>
      <c r="AC757"/>
      <c r="AD757"/>
      <c r="AE757"/>
      <c r="AF757"/>
      <c r="AG757"/>
      <c r="AI757" s="148"/>
      <c r="AJ757" s="1"/>
      <c r="AK757" s="1"/>
      <c r="AL757" s="54"/>
      <c r="AM757" s="1"/>
      <c r="AN757" s="43"/>
      <c r="AO757" s="1"/>
      <c r="AP757" s="1"/>
      <c r="AQ757" s="19"/>
      <c r="AR757" s="54"/>
      <c r="AS757" s="43"/>
      <c r="AT757" s="1"/>
      <c r="AU757" s="1"/>
      <c r="AV757" s="1"/>
      <c r="AW757" s="54"/>
      <c r="AX757" s="57"/>
      <c r="AY757" s="54"/>
      <c r="AZ757" s="54"/>
      <c r="BA757" s="54"/>
      <c r="BB757" s="54"/>
      <c r="BC757" s="57"/>
      <c r="BD757" s="1"/>
      <c r="BE757" s="1"/>
      <c r="BF757" s="1"/>
      <c r="BG757" s="54"/>
      <c r="BH757" s="43"/>
      <c r="BI757"/>
      <c r="BJ757" s="13"/>
      <c r="BK757" s="1"/>
      <c r="BL757"/>
      <c r="BM757"/>
      <c r="BN757"/>
      <c r="DY757" s="43"/>
      <c r="DZ757"/>
      <c r="EA757" s="19"/>
      <c r="EB757" s="19"/>
      <c r="EC757" s="9"/>
      <c r="ED757" s="9"/>
      <c r="EE757" s="9"/>
      <c r="EF757" s="9"/>
      <c r="EG757" s="9"/>
      <c r="EH757" s="13"/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3"/>
      <c r="FD757" s="13"/>
      <c r="FE757" s="13"/>
      <c r="FF757" s="13"/>
      <c r="FG757" s="13"/>
      <c r="FH757" s="13"/>
      <c r="FI757" s="13"/>
      <c r="FJ757" s="13"/>
      <c r="FK757" s="13"/>
      <c r="FL757" s="13"/>
      <c r="FM757" s="13"/>
      <c r="FN757" s="13"/>
      <c r="FO757" s="13"/>
      <c r="FP757" s="13"/>
      <c r="FQ757" s="13"/>
      <c r="FR757" s="13"/>
      <c r="FS757" s="13"/>
      <c r="FT757" s="13"/>
      <c r="FU757" s="13"/>
      <c r="FV757" s="13"/>
      <c r="FW757" s="13"/>
      <c r="FX757" s="13"/>
      <c r="FY757" s="13"/>
      <c r="FZ757" s="13"/>
      <c r="GA757" s="13"/>
    </row>
    <row r="758" spans="1:183" s="52" customFormat="1" ht="13.2" x14ac:dyDescent="0.25">
      <c r="A758" s="2"/>
      <c r="B758" s="2"/>
      <c r="C758" s="9">
        <v>4</v>
      </c>
      <c r="D758" s="9">
        <v>21</v>
      </c>
      <c r="E758" s="9">
        <v>23</v>
      </c>
      <c r="F758" s="9">
        <v>33</v>
      </c>
      <c r="G758" s="9">
        <v>35</v>
      </c>
      <c r="H758" s="9">
        <v>48</v>
      </c>
      <c r="I758" s="43"/>
      <c r="J758" s="9">
        <v>48</v>
      </c>
      <c r="K758" s="43"/>
      <c r="L758" s="39">
        <v>44935</v>
      </c>
      <c r="M758" s="43"/>
      <c r="N758"/>
      <c r="O758"/>
      <c r="P758"/>
      <c r="Q758"/>
      <c r="R758"/>
      <c r="S758"/>
      <c r="T758"/>
      <c r="U758"/>
      <c r="V758"/>
      <c r="X758" s="43"/>
      <c r="Y758"/>
      <c r="Z758"/>
      <c r="AA758"/>
      <c r="AB758"/>
      <c r="AC758"/>
      <c r="AD758"/>
      <c r="AE758"/>
      <c r="AF758"/>
      <c r="AG758"/>
      <c r="AI758" s="148"/>
      <c r="AJ758" s="1"/>
      <c r="AK758" s="1"/>
      <c r="AL758" s="54"/>
      <c r="AM758" s="1"/>
      <c r="AN758" s="43"/>
      <c r="AO758" s="1"/>
      <c r="AP758" s="1"/>
      <c r="AQ758" s="19"/>
      <c r="AR758" s="54"/>
      <c r="AS758" s="43"/>
      <c r="AT758" s="1"/>
      <c r="AU758" s="1"/>
      <c r="AV758" s="1"/>
      <c r="AW758" s="54"/>
      <c r="AX758" s="57"/>
      <c r="AY758" s="54"/>
      <c r="AZ758" s="54"/>
      <c r="BA758" s="54"/>
      <c r="BB758" s="54"/>
      <c r="BC758" s="57"/>
      <c r="BD758" s="1"/>
      <c r="BE758" s="1"/>
      <c r="BF758" s="1"/>
      <c r="BG758" s="54"/>
      <c r="BH758" s="43"/>
      <c r="BI758"/>
      <c r="BJ758" s="13"/>
      <c r="BK758" s="1"/>
      <c r="BL758"/>
      <c r="BM758"/>
      <c r="BN758"/>
      <c r="DY758" s="43"/>
      <c r="DZ758"/>
      <c r="EA758" s="19"/>
      <c r="EB758" s="19"/>
      <c r="EC758" s="9"/>
      <c r="ED758" s="9"/>
      <c r="EE758" s="9"/>
      <c r="EF758" s="9"/>
      <c r="EG758" s="9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  <c r="FI758" s="13"/>
      <c r="FJ758" s="13"/>
      <c r="FK758" s="13"/>
      <c r="FL758" s="13"/>
      <c r="FM758" s="13"/>
      <c r="FN758" s="13"/>
      <c r="FO758" s="13"/>
      <c r="FP758" s="13"/>
      <c r="FQ758" s="13"/>
      <c r="FR758" s="13"/>
      <c r="FS758" s="13"/>
      <c r="FT758" s="13"/>
      <c r="FU758" s="13"/>
      <c r="FV758" s="13"/>
      <c r="FW758" s="13"/>
      <c r="FX758" s="13"/>
      <c r="FY758" s="13"/>
      <c r="FZ758" s="13"/>
      <c r="GA758" s="13"/>
    </row>
    <row r="759" spans="1:183" s="52" customFormat="1" ht="13.2" x14ac:dyDescent="0.25">
      <c r="A759" s="2"/>
      <c r="B759" s="2"/>
      <c r="C759" s="9">
        <v>21</v>
      </c>
      <c r="D759" s="9">
        <v>45</v>
      </c>
      <c r="E759" s="9">
        <v>51</v>
      </c>
      <c r="F759" s="9">
        <v>58</v>
      </c>
      <c r="G759" s="9">
        <v>63</v>
      </c>
      <c r="H759" s="9">
        <v>87</v>
      </c>
      <c r="I759" s="43"/>
      <c r="J759" s="9">
        <v>87</v>
      </c>
      <c r="K759" s="43"/>
      <c r="L759" s="39">
        <v>44933</v>
      </c>
      <c r="M759" s="43"/>
      <c r="N759"/>
      <c r="O759"/>
      <c r="P759"/>
      <c r="Q759"/>
      <c r="R759"/>
      <c r="S759"/>
      <c r="T759"/>
      <c r="U759"/>
      <c r="V759"/>
      <c r="X759" s="43"/>
      <c r="Y759"/>
      <c r="Z759"/>
      <c r="AA759"/>
      <c r="AB759"/>
      <c r="AC759"/>
      <c r="AD759"/>
      <c r="AE759"/>
      <c r="AF759"/>
      <c r="AG759"/>
      <c r="AI759" s="148"/>
      <c r="AJ759" s="1"/>
      <c r="AK759" s="1"/>
      <c r="AL759" s="54"/>
      <c r="AM759" s="1"/>
      <c r="AN759" s="43"/>
      <c r="AO759" s="1"/>
      <c r="AP759" s="1"/>
      <c r="AQ759" s="19"/>
      <c r="AR759" s="54"/>
      <c r="AS759" s="43"/>
      <c r="AT759" s="1"/>
      <c r="AU759" s="1"/>
      <c r="AV759" s="1"/>
      <c r="AW759" s="54"/>
      <c r="AX759" s="57"/>
      <c r="AY759" s="54"/>
      <c r="AZ759" s="54"/>
      <c r="BA759" s="54"/>
      <c r="BB759" s="54"/>
      <c r="BC759" s="57"/>
      <c r="BD759" s="1"/>
      <c r="BE759" s="1"/>
      <c r="BF759" s="1"/>
      <c r="BG759" s="54"/>
      <c r="BH759" s="43"/>
      <c r="BI759"/>
      <c r="BJ759" s="13"/>
      <c r="BK759" s="1"/>
      <c r="BL759"/>
      <c r="BM759"/>
      <c r="BN759"/>
      <c r="DY759" s="43"/>
      <c r="DZ759"/>
      <c r="EA759" s="19"/>
      <c r="EB759" s="19"/>
      <c r="EC759" s="9"/>
      <c r="ED759" s="9"/>
      <c r="EE759" s="9"/>
      <c r="EF759" s="9"/>
      <c r="EG759" s="9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3"/>
      <c r="FJ759" s="13"/>
      <c r="FK759" s="13"/>
      <c r="FL759" s="13"/>
      <c r="FM759" s="13"/>
      <c r="FN759" s="13"/>
      <c r="FO759" s="13"/>
      <c r="FP759" s="13"/>
      <c r="FQ759" s="13"/>
      <c r="FR759" s="13"/>
      <c r="FS759" s="13"/>
      <c r="FT759" s="13"/>
      <c r="FU759" s="13"/>
      <c r="FV759" s="13"/>
      <c r="FW759" s="13"/>
      <c r="FX759" s="13"/>
      <c r="FY759" s="13"/>
      <c r="FZ759" s="13"/>
      <c r="GA759" s="13"/>
    </row>
    <row r="760" spans="1:183" s="52" customFormat="1" ht="13.2" x14ac:dyDescent="0.25">
      <c r="A760" s="2"/>
      <c r="B760" s="2"/>
      <c r="C760" s="9">
        <v>5</v>
      </c>
      <c r="D760" s="9">
        <v>28</v>
      </c>
      <c r="E760" s="9">
        <v>48</v>
      </c>
      <c r="F760" s="9">
        <v>60</v>
      </c>
      <c r="G760" s="9">
        <v>63</v>
      </c>
      <c r="H760" s="9">
        <v>80</v>
      </c>
      <c r="I760" s="43"/>
      <c r="J760" s="9">
        <v>80</v>
      </c>
      <c r="K760" s="43"/>
      <c r="L760" s="39">
        <v>44930</v>
      </c>
      <c r="M760" s="43"/>
      <c r="N760"/>
      <c r="O760"/>
      <c r="P760"/>
      <c r="Q760"/>
      <c r="R760"/>
      <c r="S760"/>
      <c r="T760"/>
      <c r="U760"/>
      <c r="V760"/>
      <c r="X760" s="43"/>
      <c r="Y760"/>
      <c r="Z760"/>
      <c r="AA760"/>
      <c r="AB760"/>
      <c r="AC760"/>
      <c r="AD760"/>
      <c r="AE760"/>
      <c r="AF760"/>
      <c r="AG760"/>
      <c r="AI760" s="148"/>
      <c r="AJ760" s="1"/>
      <c r="AK760" s="1"/>
      <c r="AL760" s="54"/>
      <c r="AM760" s="1"/>
      <c r="AN760" s="43"/>
      <c r="AO760" s="1"/>
      <c r="AP760" s="1"/>
      <c r="AQ760" s="19"/>
      <c r="AR760" s="54"/>
      <c r="AS760" s="43"/>
      <c r="AT760" s="1"/>
      <c r="AU760" s="1"/>
      <c r="AV760" s="1"/>
      <c r="AW760" s="54"/>
      <c r="AX760" s="57"/>
      <c r="AY760" s="54"/>
      <c r="AZ760" s="54"/>
      <c r="BA760" s="54"/>
      <c r="BB760" s="54"/>
      <c r="BC760" s="57"/>
      <c r="BD760" s="1"/>
      <c r="BE760" s="1"/>
      <c r="BF760" s="1"/>
      <c r="BG760" s="54"/>
      <c r="BH760" s="43"/>
      <c r="BI760"/>
      <c r="BJ760" s="13"/>
      <c r="BK760" s="1"/>
      <c r="BL760"/>
      <c r="BM760"/>
      <c r="BN760"/>
      <c r="DY760" s="43"/>
      <c r="DZ760"/>
      <c r="EA760" s="19"/>
      <c r="EB760" s="19"/>
      <c r="EC760" s="9"/>
      <c r="ED760" s="9"/>
      <c r="EE760" s="9"/>
      <c r="EF760" s="9"/>
      <c r="EG760" s="9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  <c r="FI760" s="13"/>
      <c r="FJ760" s="13"/>
      <c r="FK760" s="13"/>
      <c r="FL760" s="13"/>
      <c r="FM760" s="13"/>
      <c r="FN760" s="13"/>
      <c r="FO760" s="13"/>
      <c r="FP760" s="13"/>
      <c r="FQ760" s="13"/>
      <c r="FR760" s="13"/>
      <c r="FS760" s="13"/>
      <c r="FT760" s="13"/>
      <c r="FU760" s="13"/>
      <c r="FV760" s="13"/>
      <c r="FW760" s="13"/>
      <c r="FX760" s="13"/>
      <c r="FY760" s="13"/>
      <c r="FZ760" s="13"/>
      <c r="GA760" s="13"/>
    </row>
    <row r="761" spans="1:183" s="52" customFormat="1" ht="13.2" x14ac:dyDescent="0.25">
      <c r="A761" s="2"/>
      <c r="B761" s="2"/>
      <c r="C761" s="9">
        <v>2</v>
      </c>
      <c r="D761" s="9">
        <v>6</v>
      </c>
      <c r="E761" s="9">
        <v>9</v>
      </c>
      <c r="F761" s="9">
        <v>25</v>
      </c>
      <c r="G761" s="9">
        <v>50</v>
      </c>
      <c r="H761" s="9">
        <v>65</v>
      </c>
      <c r="I761" s="43"/>
      <c r="J761" s="9">
        <v>65</v>
      </c>
      <c r="K761" s="43"/>
      <c r="L761" s="39">
        <v>44928</v>
      </c>
      <c r="M761" s="43"/>
      <c r="N761"/>
      <c r="O761"/>
      <c r="P761"/>
      <c r="Q761"/>
      <c r="R761"/>
      <c r="S761"/>
      <c r="T761"/>
      <c r="U761"/>
      <c r="V761"/>
      <c r="X761" s="43"/>
      <c r="Y761"/>
      <c r="Z761"/>
      <c r="AA761"/>
      <c r="AB761"/>
      <c r="AC761"/>
      <c r="AD761"/>
      <c r="AE761"/>
      <c r="AF761"/>
      <c r="AG761"/>
      <c r="AI761" s="148"/>
      <c r="AJ761" s="1"/>
      <c r="AK761" s="1"/>
      <c r="AL761" s="54"/>
      <c r="AM761" s="1"/>
      <c r="AN761" s="43"/>
      <c r="AO761" s="1"/>
      <c r="AP761" s="1"/>
      <c r="AQ761" s="19"/>
      <c r="AR761" s="54"/>
      <c r="AS761" s="43"/>
      <c r="AT761" s="1"/>
      <c r="AU761" s="1"/>
      <c r="AV761" s="1"/>
      <c r="AW761" s="54"/>
      <c r="AX761" s="57"/>
      <c r="AY761" s="54"/>
      <c r="AZ761" s="54"/>
      <c r="BA761" s="54"/>
      <c r="BB761" s="54"/>
      <c r="BC761" s="57"/>
      <c r="BD761" s="1"/>
      <c r="BE761" s="1"/>
      <c r="BF761" s="1"/>
      <c r="BG761" s="54"/>
      <c r="BH761" s="43"/>
      <c r="BI761"/>
      <c r="BJ761" s="13"/>
      <c r="BK761" s="1"/>
      <c r="BL761"/>
      <c r="BM761"/>
      <c r="BN761"/>
      <c r="DY761" s="43"/>
      <c r="DZ761"/>
      <c r="EA761" s="19"/>
      <c r="EB761" s="19"/>
      <c r="EC761" s="9"/>
      <c r="ED761" s="9"/>
      <c r="EE761" s="9"/>
      <c r="EF761" s="9"/>
      <c r="EG761" s="9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  <c r="FI761" s="13"/>
      <c r="FJ761" s="13"/>
      <c r="FK761" s="13"/>
      <c r="FL761" s="13"/>
      <c r="FM761" s="13"/>
      <c r="FN761" s="13"/>
      <c r="FO761" s="13"/>
      <c r="FP761" s="13"/>
      <c r="FQ761" s="13"/>
      <c r="FR761" s="13"/>
      <c r="FS761" s="13"/>
      <c r="FT761" s="13"/>
      <c r="FU761" s="13"/>
      <c r="FV761" s="13"/>
      <c r="FW761" s="13"/>
      <c r="FX761" s="13"/>
      <c r="FY761" s="13"/>
      <c r="FZ761" s="13"/>
      <c r="GA761" s="13"/>
    </row>
    <row r="762" spans="1:183" s="52" customFormat="1" ht="13.2" x14ac:dyDescent="0.25">
      <c r="A762" s="2"/>
      <c r="B762" s="2"/>
      <c r="C762" s="9">
        <v>16</v>
      </c>
      <c r="D762" s="9">
        <v>22</v>
      </c>
      <c r="E762" s="9">
        <v>42</v>
      </c>
      <c r="F762" s="9">
        <v>64</v>
      </c>
      <c r="G762" s="9">
        <v>68</v>
      </c>
      <c r="H762" s="9">
        <v>84</v>
      </c>
      <c r="I762" s="43"/>
      <c r="J762" s="9">
        <v>84</v>
      </c>
      <c r="K762" s="43"/>
      <c r="L762" s="39">
        <v>44925</v>
      </c>
      <c r="M762" s="43"/>
      <c r="N762"/>
      <c r="O762"/>
      <c r="P762"/>
      <c r="Q762"/>
      <c r="R762"/>
      <c r="S762"/>
      <c r="T762"/>
      <c r="U762"/>
      <c r="V762"/>
      <c r="X762" s="43"/>
      <c r="Y762"/>
      <c r="Z762"/>
      <c r="AA762"/>
      <c r="AB762"/>
      <c r="AC762"/>
      <c r="AD762"/>
      <c r="AE762"/>
      <c r="AF762"/>
      <c r="AG762"/>
      <c r="AI762" s="148"/>
      <c r="AJ762" s="1"/>
      <c r="AK762" s="1"/>
      <c r="AL762" s="54"/>
      <c r="AM762" s="1"/>
      <c r="AN762" s="43"/>
      <c r="AO762" s="1"/>
      <c r="AP762" s="1"/>
      <c r="AQ762" s="19"/>
      <c r="AR762" s="54"/>
      <c r="AS762" s="43"/>
      <c r="AT762" s="1"/>
      <c r="AU762" s="1"/>
      <c r="AV762" s="1"/>
      <c r="AW762" s="54"/>
      <c r="AX762" s="57"/>
      <c r="AY762" s="54"/>
      <c r="AZ762" s="54"/>
      <c r="BA762" s="54"/>
      <c r="BB762" s="54"/>
      <c r="BC762" s="57"/>
      <c r="BD762" s="1"/>
      <c r="BE762" s="1"/>
      <c r="BF762" s="1"/>
      <c r="BG762" s="54"/>
      <c r="BH762" s="43"/>
      <c r="BI762"/>
      <c r="BJ762" s="13"/>
      <c r="BK762" s="1"/>
      <c r="BL762"/>
      <c r="BM762"/>
      <c r="BN762"/>
      <c r="DY762" s="43"/>
      <c r="DZ762"/>
      <c r="EA762" s="19"/>
      <c r="EB762" s="19"/>
      <c r="EC762" s="9"/>
      <c r="ED762" s="9"/>
      <c r="EE762" s="9"/>
      <c r="EF762" s="9"/>
      <c r="EG762" s="9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  <c r="FI762" s="13"/>
      <c r="FJ762" s="13"/>
      <c r="FK762" s="13"/>
      <c r="FL762" s="13"/>
      <c r="FM762" s="13"/>
      <c r="FN762" s="13"/>
      <c r="FO762" s="13"/>
      <c r="FP762" s="13"/>
      <c r="FQ762" s="13"/>
      <c r="FR762" s="13"/>
      <c r="FS762" s="13"/>
      <c r="FT762" s="13"/>
      <c r="FU762" s="13"/>
      <c r="FV762" s="13"/>
      <c r="FW762" s="13"/>
      <c r="FX762" s="13"/>
      <c r="FY762" s="13"/>
      <c r="FZ762" s="13"/>
      <c r="GA762" s="13"/>
    </row>
    <row r="763" spans="1:183" s="52" customFormat="1" ht="13.2" x14ac:dyDescent="0.25">
      <c r="A763" s="2"/>
      <c r="B763" s="2"/>
      <c r="C763" s="9">
        <v>11</v>
      </c>
      <c r="D763" s="9">
        <v>28</v>
      </c>
      <c r="E763" s="9">
        <v>52</v>
      </c>
      <c r="F763" s="9">
        <v>71</v>
      </c>
      <c r="G763" s="9">
        <v>77</v>
      </c>
      <c r="H763" s="9">
        <v>87</v>
      </c>
      <c r="I763" s="43"/>
      <c r="J763" s="9">
        <v>87</v>
      </c>
      <c r="K763" s="43"/>
      <c r="L763" s="39">
        <v>44923</v>
      </c>
      <c r="M763" s="43"/>
      <c r="N763"/>
      <c r="O763"/>
      <c r="P763"/>
      <c r="Q763"/>
      <c r="R763"/>
      <c r="S763"/>
      <c r="T763"/>
      <c r="U763"/>
      <c r="V763"/>
      <c r="X763" s="43"/>
      <c r="Y763"/>
      <c r="Z763"/>
      <c r="AA763"/>
      <c r="AB763"/>
      <c r="AC763"/>
      <c r="AD763"/>
      <c r="AE763"/>
      <c r="AF763"/>
      <c r="AG763"/>
      <c r="AI763" s="148"/>
      <c r="AJ763" s="1"/>
      <c r="AK763" s="1"/>
      <c r="AL763" s="54"/>
      <c r="AM763" s="1"/>
      <c r="AN763" s="43"/>
      <c r="AO763" s="1"/>
      <c r="AP763" s="1"/>
      <c r="AQ763" s="19"/>
      <c r="AR763" s="54"/>
      <c r="AS763" s="43"/>
      <c r="AT763" s="1"/>
      <c r="AU763" s="1"/>
      <c r="AV763" s="1"/>
      <c r="AW763" s="54"/>
      <c r="AX763" s="57"/>
      <c r="AY763" s="54"/>
      <c r="AZ763" s="54"/>
      <c r="BA763" s="54"/>
      <c r="BB763" s="54"/>
      <c r="BC763" s="57"/>
      <c r="BD763" s="1"/>
      <c r="BE763" s="1"/>
      <c r="BF763" s="1"/>
      <c r="BG763" s="54"/>
      <c r="BH763" s="43"/>
      <c r="BI763"/>
      <c r="BJ763" s="13"/>
      <c r="BK763" s="1"/>
      <c r="BL763"/>
      <c r="BM763"/>
      <c r="BN763"/>
      <c r="DY763" s="43"/>
      <c r="DZ763"/>
      <c r="EA763" s="19"/>
      <c r="EB763" s="19"/>
      <c r="EC763" s="9"/>
      <c r="ED763" s="9"/>
      <c r="EE763" s="9"/>
      <c r="EF763" s="9"/>
      <c r="EG763" s="9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/>
      <c r="FS763" s="13"/>
      <c r="FT763" s="13"/>
      <c r="FU763" s="13"/>
      <c r="FV763" s="13"/>
      <c r="FW763" s="13"/>
      <c r="FX763" s="13"/>
      <c r="FY763" s="13"/>
      <c r="FZ763" s="13"/>
      <c r="GA763" s="13"/>
    </row>
    <row r="764" spans="1:183" s="52" customFormat="1" ht="13.2" x14ac:dyDescent="0.25">
      <c r="A764" s="2"/>
      <c r="B764" s="2"/>
      <c r="C764" s="9">
        <v>4</v>
      </c>
      <c r="D764" s="9">
        <v>18</v>
      </c>
      <c r="E764" s="9">
        <v>23</v>
      </c>
      <c r="F764" s="9">
        <v>33</v>
      </c>
      <c r="G764" s="9">
        <v>71</v>
      </c>
      <c r="H764" s="9">
        <v>89</v>
      </c>
      <c r="I764" s="43"/>
      <c r="J764" s="9">
        <v>89</v>
      </c>
      <c r="K764" s="43"/>
      <c r="L764" s="39">
        <v>44921</v>
      </c>
      <c r="M764" s="43"/>
      <c r="N764"/>
      <c r="O764"/>
      <c r="P764"/>
      <c r="Q764"/>
      <c r="R764"/>
      <c r="S764"/>
      <c r="T764"/>
      <c r="U764"/>
      <c r="V764"/>
      <c r="X764" s="43"/>
      <c r="Y764"/>
      <c r="Z764"/>
      <c r="AA764"/>
      <c r="AB764"/>
      <c r="AC764"/>
      <c r="AD764"/>
      <c r="AE764"/>
      <c r="AF764"/>
      <c r="AG764"/>
      <c r="AI764" s="148"/>
      <c r="AJ764" s="1"/>
      <c r="AK764" s="1"/>
      <c r="AL764" s="54"/>
      <c r="AM764" s="1"/>
      <c r="AN764" s="43"/>
      <c r="AO764" s="1"/>
      <c r="AP764" s="1"/>
      <c r="AQ764" s="19"/>
      <c r="AR764" s="54"/>
      <c r="AS764" s="43"/>
      <c r="AT764" s="1"/>
      <c r="AU764" s="1"/>
      <c r="AV764" s="1"/>
      <c r="AW764" s="54"/>
      <c r="AX764" s="57"/>
      <c r="AY764" s="54"/>
      <c r="AZ764" s="54"/>
      <c r="BA764" s="54"/>
      <c r="BB764" s="54"/>
      <c r="BC764" s="57"/>
      <c r="BD764" s="1"/>
      <c r="BE764" s="1"/>
      <c r="BF764" s="1"/>
      <c r="BG764" s="54"/>
      <c r="BH764" s="43"/>
      <c r="BI764"/>
      <c r="BJ764" s="13"/>
      <c r="BK764" s="1"/>
      <c r="BL764"/>
      <c r="BM764"/>
      <c r="BN764"/>
      <c r="DY764" s="43"/>
      <c r="DZ764"/>
      <c r="EA764" s="19"/>
      <c r="EB764" s="19"/>
      <c r="EC764" s="9"/>
      <c r="ED764" s="9"/>
      <c r="EE764" s="9"/>
      <c r="EF764" s="9"/>
      <c r="EG764" s="9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/>
      <c r="FS764" s="13"/>
      <c r="FT764" s="13"/>
      <c r="FU764" s="13"/>
      <c r="FV764" s="13"/>
      <c r="FW764" s="13"/>
      <c r="FX764" s="13"/>
      <c r="FY764" s="13"/>
      <c r="FZ764" s="13"/>
      <c r="GA764" s="13"/>
    </row>
    <row r="765" spans="1:183" s="52" customFormat="1" ht="13.2" x14ac:dyDescent="0.25">
      <c r="A765" s="2"/>
      <c r="B765" s="2"/>
      <c r="C765" s="9">
        <v>9</v>
      </c>
      <c r="D765" s="9">
        <v>31</v>
      </c>
      <c r="E765" s="9">
        <v>34</v>
      </c>
      <c r="F765" s="9">
        <v>75</v>
      </c>
      <c r="G765" s="9">
        <v>80</v>
      </c>
      <c r="H765" s="9">
        <v>86</v>
      </c>
      <c r="I765" s="43"/>
      <c r="J765" s="9">
        <v>86</v>
      </c>
      <c r="K765" s="43"/>
      <c r="L765" s="39">
        <v>44919</v>
      </c>
      <c r="M765" s="43"/>
      <c r="N765"/>
      <c r="O765"/>
      <c r="P765"/>
      <c r="Q765"/>
      <c r="R765"/>
      <c r="S765"/>
      <c r="T765"/>
      <c r="U765"/>
      <c r="V765"/>
      <c r="X765" s="43"/>
      <c r="Y765"/>
      <c r="Z765"/>
      <c r="AA765"/>
      <c r="AB765"/>
      <c r="AC765"/>
      <c r="AD765"/>
      <c r="AE765"/>
      <c r="AF765"/>
      <c r="AG765"/>
      <c r="AI765" s="148"/>
      <c r="AJ765" s="1"/>
      <c r="AK765" s="1"/>
      <c r="AL765" s="54"/>
      <c r="AM765" s="1"/>
      <c r="AN765" s="43"/>
      <c r="AO765" s="1"/>
      <c r="AP765" s="1"/>
      <c r="AQ765" s="19"/>
      <c r="AR765" s="54"/>
      <c r="AS765" s="43"/>
      <c r="AT765" s="1"/>
      <c r="AU765" s="1"/>
      <c r="AV765" s="1"/>
      <c r="AW765" s="54"/>
      <c r="AX765" s="57"/>
      <c r="AY765" s="54"/>
      <c r="AZ765" s="54"/>
      <c r="BA765" s="54"/>
      <c r="BB765" s="54"/>
      <c r="BC765" s="57"/>
      <c r="BD765" s="1"/>
      <c r="BE765" s="1"/>
      <c r="BF765" s="1"/>
      <c r="BG765" s="54"/>
      <c r="BH765" s="43"/>
      <c r="BI765"/>
      <c r="BJ765" s="13"/>
      <c r="BK765" s="1"/>
      <c r="BL765"/>
      <c r="BM765"/>
      <c r="BN765"/>
      <c r="DY765" s="43"/>
      <c r="DZ765"/>
      <c r="EA765" s="19"/>
      <c r="EB765" s="19"/>
      <c r="EC765" s="9"/>
      <c r="ED765" s="9"/>
      <c r="EE765" s="9"/>
      <c r="EF765" s="9"/>
      <c r="EG765" s="9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  <c r="FI765" s="13"/>
      <c r="FJ765" s="13"/>
      <c r="FK765" s="13"/>
      <c r="FL765" s="13"/>
      <c r="FM765" s="13"/>
      <c r="FN765" s="13"/>
      <c r="FO765" s="13"/>
      <c r="FP765" s="13"/>
      <c r="FQ765" s="13"/>
      <c r="FR765" s="13"/>
      <c r="FS765" s="13"/>
      <c r="FT765" s="13"/>
      <c r="FU765" s="13"/>
      <c r="FV765" s="13"/>
      <c r="FW765" s="13"/>
      <c r="FX765" s="13"/>
      <c r="FY765" s="13"/>
      <c r="FZ765" s="13"/>
      <c r="GA765" s="13"/>
    </row>
    <row r="766" spans="1:183" s="52" customFormat="1" ht="13.2" x14ac:dyDescent="0.25">
      <c r="A766" s="2"/>
      <c r="B766" s="2"/>
      <c r="C766" s="9">
        <v>51</v>
      </c>
      <c r="D766" s="9">
        <v>54</v>
      </c>
      <c r="E766" s="9">
        <v>63</v>
      </c>
      <c r="F766" s="9">
        <v>67</v>
      </c>
      <c r="G766" s="9">
        <v>77</v>
      </c>
      <c r="H766" s="9">
        <v>88</v>
      </c>
      <c r="I766" s="43"/>
      <c r="J766" s="9">
        <v>88</v>
      </c>
      <c r="K766" s="43"/>
      <c r="L766" s="39">
        <v>44916</v>
      </c>
      <c r="M766" s="43"/>
      <c r="N766"/>
      <c r="O766"/>
      <c r="P766"/>
      <c r="Q766"/>
      <c r="R766"/>
      <c r="S766"/>
      <c r="T766"/>
      <c r="U766"/>
      <c r="V766"/>
      <c r="X766" s="43"/>
      <c r="Y766"/>
      <c r="Z766"/>
      <c r="AA766"/>
      <c r="AB766"/>
      <c r="AC766"/>
      <c r="AD766"/>
      <c r="AE766"/>
      <c r="AF766"/>
      <c r="AG766"/>
      <c r="AI766" s="148"/>
      <c r="AJ766" s="1"/>
      <c r="AK766" s="1"/>
      <c r="AL766" s="54"/>
      <c r="AM766" s="1"/>
      <c r="AN766" s="43"/>
      <c r="AO766" s="1"/>
      <c r="AP766" s="1"/>
      <c r="AQ766" s="19"/>
      <c r="AR766" s="54"/>
      <c r="AS766" s="43"/>
      <c r="AT766" s="1"/>
      <c r="AU766" s="1"/>
      <c r="AV766" s="1"/>
      <c r="AW766" s="54"/>
      <c r="AX766" s="57"/>
      <c r="AY766" s="54"/>
      <c r="AZ766" s="54"/>
      <c r="BA766" s="54"/>
      <c r="BB766" s="54"/>
      <c r="BC766" s="57"/>
      <c r="BD766" s="1"/>
      <c r="BE766" s="1"/>
      <c r="BF766" s="1"/>
      <c r="BG766" s="54"/>
      <c r="BH766" s="43"/>
      <c r="BI766"/>
      <c r="BJ766" s="13"/>
      <c r="BK766" s="1"/>
      <c r="BL766"/>
      <c r="BM766"/>
      <c r="BN766"/>
      <c r="DY766" s="43"/>
      <c r="DZ766"/>
      <c r="EA766" s="19"/>
      <c r="EB766" s="19"/>
      <c r="EC766" s="9"/>
      <c r="ED766" s="9"/>
      <c r="EE766" s="9"/>
      <c r="EF766" s="9"/>
      <c r="EG766" s="9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3"/>
      <c r="FJ766" s="13"/>
      <c r="FK766" s="13"/>
      <c r="FL766" s="13"/>
      <c r="FM766" s="13"/>
      <c r="FN766" s="13"/>
      <c r="FO766" s="13"/>
      <c r="FP766" s="13"/>
      <c r="FQ766" s="13"/>
      <c r="FR766" s="13"/>
      <c r="FS766" s="13"/>
      <c r="FT766" s="13"/>
      <c r="FU766" s="13"/>
      <c r="FV766" s="13"/>
      <c r="FW766" s="13"/>
      <c r="FX766" s="13"/>
      <c r="FY766" s="13"/>
      <c r="FZ766" s="13"/>
      <c r="GA766" s="13"/>
    </row>
    <row r="767" spans="1:183" s="52" customFormat="1" ht="13.2" x14ac:dyDescent="0.25">
      <c r="A767" s="2"/>
      <c r="B767" s="2"/>
      <c r="C767" s="9">
        <v>32</v>
      </c>
      <c r="D767" s="9">
        <v>35</v>
      </c>
      <c r="E767" s="9">
        <v>42</v>
      </c>
      <c r="F767" s="9">
        <v>74</v>
      </c>
      <c r="G767" s="9">
        <v>80</v>
      </c>
      <c r="H767" s="9">
        <v>84</v>
      </c>
      <c r="I767" s="43"/>
      <c r="J767" s="9">
        <v>84</v>
      </c>
      <c r="K767" s="43"/>
      <c r="L767" s="39">
        <v>44914</v>
      </c>
      <c r="M767" s="43"/>
      <c r="N767"/>
      <c r="O767"/>
      <c r="P767"/>
      <c r="Q767"/>
      <c r="R767"/>
      <c r="S767"/>
      <c r="T767"/>
      <c r="U767"/>
      <c r="V767"/>
      <c r="X767" s="43"/>
      <c r="Y767"/>
      <c r="Z767"/>
      <c r="AA767"/>
      <c r="AB767"/>
      <c r="AC767"/>
      <c r="AD767"/>
      <c r="AE767"/>
      <c r="AF767"/>
      <c r="AG767"/>
      <c r="AI767" s="148"/>
      <c r="AJ767" s="1"/>
      <c r="AK767" s="1"/>
      <c r="AL767" s="54"/>
      <c r="AM767" s="1"/>
      <c r="AN767" s="43"/>
      <c r="AO767" s="1"/>
      <c r="AP767" s="1"/>
      <c r="AQ767" s="19"/>
      <c r="AR767" s="54"/>
      <c r="AS767" s="43"/>
      <c r="AT767" s="1"/>
      <c r="AU767" s="1"/>
      <c r="AV767" s="1"/>
      <c r="AW767" s="54"/>
      <c r="AX767" s="57"/>
      <c r="AY767" s="54"/>
      <c r="AZ767" s="54"/>
      <c r="BA767" s="54"/>
      <c r="BB767" s="54"/>
      <c r="BC767" s="57"/>
      <c r="BD767" s="1"/>
      <c r="BE767" s="1"/>
      <c r="BF767" s="1"/>
      <c r="BG767" s="54"/>
      <c r="BH767" s="43"/>
      <c r="BI767"/>
      <c r="BJ767" s="13"/>
      <c r="BK767" s="1"/>
      <c r="BL767"/>
      <c r="BM767"/>
      <c r="BN767"/>
      <c r="DY767" s="43"/>
      <c r="DZ767"/>
      <c r="EA767" s="19"/>
      <c r="EB767" s="19"/>
      <c r="EC767" s="9"/>
      <c r="ED767" s="9"/>
      <c r="EE767" s="9"/>
      <c r="EF767" s="9"/>
      <c r="EG767" s="9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3"/>
      <c r="FD767" s="13"/>
      <c r="FE767" s="13"/>
      <c r="FF767" s="13"/>
      <c r="FG767" s="13"/>
      <c r="FH767" s="13"/>
      <c r="FI767" s="13"/>
      <c r="FJ767" s="13"/>
      <c r="FK767" s="13"/>
      <c r="FL767" s="13"/>
      <c r="FM767" s="13"/>
      <c r="FN767" s="13"/>
      <c r="FO767" s="13"/>
      <c r="FP767" s="13"/>
      <c r="FQ767" s="13"/>
      <c r="FR767" s="13"/>
      <c r="FS767" s="13"/>
      <c r="FT767" s="13"/>
      <c r="FU767" s="13"/>
      <c r="FV767" s="13"/>
      <c r="FW767" s="13"/>
      <c r="FX767" s="13"/>
      <c r="FY767" s="13"/>
      <c r="FZ767" s="13"/>
      <c r="GA767" s="13"/>
    </row>
    <row r="768" spans="1:183" s="52" customFormat="1" ht="13.2" x14ac:dyDescent="0.25">
      <c r="A768" s="2"/>
      <c r="B768" s="2"/>
      <c r="C768" s="9">
        <v>7</v>
      </c>
      <c r="D768" s="9">
        <v>13</v>
      </c>
      <c r="E768" s="9">
        <v>39</v>
      </c>
      <c r="F768" s="9">
        <v>41</v>
      </c>
      <c r="G768" s="9">
        <v>65</v>
      </c>
      <c r="H768" s="9">
        <v>69</v>
      </c>
      <c r="I768" s="43"/>
      <c r="J768" s="9">
        <v>69</v>
      </c>
      <c r="K768" s="43"/>
      <c r="L768" s="39">
        <v>44912</v>
      </c>
      <c r="M768" s="43"/>
      <c r="N768"/>
      <c r="O768"/>
      <c r="P768"/>
      <c r="Q768"/>
      <c r="R768"/>
      <c r="S768"/>
      <c r="T768"/>
      <c r="U768"/>
      <c r="V768"/>
      <c r="X768" s="43"/>
      <c r="Y768"/>
      <c r="Z768"/>
      <c r="AA768"/>
      <c r="AB768"/>
      <c r="AC768"/>
      <c r="AD768"/>
      <c r="AE768"/>
      <c r="AF768"/>
      <c r="AG768"/>
      <c r="AI768" s="148"/>
      <c r="AJ768" s="1"/>
      <c r="AK768" s="1"/>
      <c r="AL768" s="54"/>
      <c r="AM768" s="1"/>
      <c r="AN768" s="43"/>
      <c r="AO768" s="1"/>
      <c r="AP768" s="1"/>
      <c r="AQ768" s="19"/>
      <c r="AR768" s="54"/>
      <c r="AS768" s="43"/>
      <c r="AT768" s="1"/>
      <c r="AU768" s="1"/>
      <c r="AV768" s="1"/>
      <c r="AW768" s="54"/>
      <c r="AX768" s="57"/>
      <c r="AY768" s="54"/>
      <c r="AZ768" s="54"/>
      <c r="BA768" s="54"/>
      <c r="BB768" s="54"/>
      <c r="BC768" s="57"/>
      <c r="BD768" s="1"/>
      <c r="BE768" s="1"/>
      <c r="BF768" s="1"/>
      <c r="BG768" s="54"/>
      <c r="BH768" s="43"/>
      <c r="BI768"/>
      <c r="BJ768" s="13"/>
      <c r="BK768" s="1"/>
      <c r="BL768"/>
      <c r="BM768"/>
      <c r="BN768"/>
      <c r="DY768" s="43"/>
      <c r="DZ768"/>
      <c r="EA768" s="19"/>
      <c r="EB768" s="19"/>
      <c r="EC768" s="9"/>
      <c r="ED768" s="9"/>
      <c r="EE768" s="9"/>
      <c r="EF768" s="9"/>
      <c r="EG768" s="9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  <c r="FI768" s="13"/>
      <c r="FJ768" s="13"/>
      <c r="FK768" s="13"/>
      <c r="FL768" s="13"/>
      <c r="FM768" s="13"/>
      <c r="FN768" s="13"/>
      <c r="FO768" s="13"/>
      <c r="FP768" s="13"/>
      <c r="FQ768" s="13"/>
      <c r="FR768" s="13"/>
      <c r="FS768" s="13"/>
      <c r="FT768" s="13"/>
      <c r="FU768" s="13"/>
      <c r="FV768" s="13"/>
      <c r="FW768" s="13"/>
      <c r="FX768" s="13"/>
      <c r="FY768" s="13"/>
      <c r="FZ768" s="13"/>
      <c r="GA768" s="13"/>
    </row>
    <row r="769" spans="1:183" s="52" customFormat="1" ht="13.2" x14ac:dyDescent="0.25">
      <c r="A769" s="2"/>
      <c r="B769" s="2"/>
      <c r="C769" s="9">
        <v>13</v>
      </c>
      <c r="D769" s="9">
        <v>27</v>
      </c>
      <c r="E769" s="9">
        <v>29</v>
      </c>
      <c r="F769" s="9">
        <v>34</v>
      </c>
      <c r="G769" s="9">
        <v>58</v>
      </c>
      <c r="H769" s="9">
        <v>82</v>
      </c>
      <c r="I769" s="43"/>
      <c r="J769" s="9">
        <v>82</v>
      </c>
      <c r="K769" s="43"/>
      <c r="L769" s="39">
        <v>44909</v>
      </c>
      <c r="M769" s="43"/>
      <c r="N769"/>
      <c r="O769"/>
      <c r="P769"/>
      <c r="Q769"/>
      <c r="R769"/>
      <c r="S769"/>
      <c r="T769"/>
      <c r="U769"/>
      <c r="V769"/>
      <c r="X769" s="43"/>
      <c r="Y769"/>
      <c r="Z769"/>
      <c r="AA769"/>
      <c r="AB769"/>
      <c r="AC769"/>
      <c r="AD769"/>
      <c r="AE769"/>
      <c r="AF769"/>
      <c r="AG769"/>
      <c r="AI769" s="148"/>
      <c r="AJ769" s="1"/>
      <c r="AK769" s="1"/>
      <c r="AL769" s="54"/>
      <c r="AM769" s="1"/>
      <c r="AN769" s="43"/>
      <c r="AO769" s="1"/>
      <c r="AP769" s="1"/>
      <c r="AQ769" s="19"/>
      <c r="AR769" s="54"/>
      <c r="AS769" s="43"/>
      <c r="AT769" s="1"/>
      <c r="AU769" s="1"/>
      <c r="AV769" s="1"/>
      <c r="AW769" s="54"/>
      <c r="AX769" s="57"/>
      <c r="AY769" s="54"/>
      <c r="AZ769" s="54"/>
      <c r="BA769" s="54"/>
      <c r="BB769" s="54"/>
      <c r="BC769" s="57"/>
      <c r="BD769" s="1"/>
      <c r="BE769" s="1"/>
      <c r="BF769" s="1"/>
      <c r="BG769" s="54"/>
      <c r="BH769" s="43"/>
      <c r="BI769"/>
      <c r="BJ769" s="13"/>
      <c r="BK769" s="1"/>
      <c r="BL769"/>
      <c r="BM769"/>
      <c r="BN769"/>
      <c r="DY769" s="43"/>
      <c r="DZ769"/>
      <c r="EA769" s="19"/>
      <c r="EB769" s="19"/>
      <c r="EC769" s="9"/>
      <c r="ED769" s="9"/>
      <c r="EE769" s="9"/>
      <c r="EF769" s="9"/>
      <c r="EG769" s="9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  <c r="FI769" s="13"/>
      <c r="FJ769" s="13"/>
      <c r="FK769" s="13"/>
      <c r="FL769" s="13"/>
      <c r="FM769" s="13"/>
      <c r="FN769" s="13"/>
      <c r="FO769" s="13"/>
      <c r="FP769" s="13"/>
      <c r="FQ769" s="13"/>
      <c r="FR769" s="13"/>
      <c r="FS769" s="13"/>
      <c r="FT769" s="13"/>
      <c r="FU769" s="13"/>
      <c r="FV769" s="13"/>
      <c r="FW769" s="13"/>
      <c r="FX769" s="13"/>
      <c r="FY769" s="13"/>
      <c r="FZ769" s="13"/>
      <c r="GA769" s="13"/>
    </row>
    <row r="770" spans="1:183" s="52" customFormat="1" ht="13.2" x14ac:dyDescent="0.25">
      <c r="A770" s="2"/>
      <c r="B770" s="2"/>
      <c r="C770" s="9">
        <v>6</v>
      </c>
      <c r="D770" s="9">
        <v>16</v>
      </c>
      <c r="E770" s="9">
        <v>27</v>
      </c>
      <c r="F770" s="9">
        <v>32</v>
      </c>
      <c r="G770" s="9">
        <v>62</v>
      </c>
      <c r="H770" s="9">
        <v>68</v>
      </c>
      <c r="I770" s="43"/>
      <c r="J770" s="9">
        <v>68</v>
      </c>
      <c r="K770" s="43"/>
      <c r="L770" s="39">
        <v>44907</v>
      </c>
      <c r="M770" s="43"/>
      <c r="N770"/>
      <c r="O770"/>
      <c r="P770"/>
      <c r="Q770"/>
      <c r="R770"/>
      <c r="S770"/>
      <c r="T770"/>
      <c r="U770"/>
      <c r="V770"/>
      <c r="X770" s="43"/>
      <c r="Y770"/>
      <c r="Z770"/>
      <c r="AA770"/>
      <c r="AB770"/>
      <c r="AC770"/>
      <c r="AD770"/>
      <c r="AE770"/>
      <c r="AF770"/>
      <c r="AG770"/>
      <c r="AI770" s="148"/>
      <c r="AJ770" s="1"/>
      <c r="AK770" s="1"/>
      <c r="AL770" s="54"/>
      <c r="AM770" s="1"/>
      <c r="AN770" s="43"/>
      <c r="AO770" s="1"/>
      <c r="AP770" s="1"/>
      <c r="AQ770" s="19"/>
      <c r="AR770" s="54"/>
      <c r="AS770" s="43"/>
      <c r="AT770" s="1"/>
      <c r="AU770" s="1"/>
      <c r="AV770" s="1"/>
      <c r="AW770" s="54"/>
      <c r="AX770" s="57"/>
      <c r="AY770" s="54"/>
      <c r="AZ770" s="54"/>
      <c r="BA770" s="54"/>
      <c r="BB770" s="54"/>
      <c r="BC770" s="57"/>
      <c r="BD770" s="1"/>
      <c r="BE770" s="1"/>
      <c r="BF770" s="1"/>
      <c r="BG770" s="54"/>
      <c r="BH770" s="43"/>
      <c r="BI770"/>
      <c r="BJ770" s="13"/>
      <c r="BK770" s="1"/>
      <c r="BL770"/>
      <c r="BM770"/>
      <c r="BN770"/>
      <c r="DY770" s="43"/>
      <c r="DZ770"/>
      <c r="EA770" s="19"/>
      <c r="EB770" s="19"/>
      <c r="EC770" s="9"/>
      <c r="ED770" s="9"/>
      <c r="EE770" s="9"/>
      <c r="EF770" s="9"/>
      <c r="EG770" s="9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  <c r="FI770" s="13"/>
      <c r="FJ770" s="13"/>
      <c r="FK770" s="13"/>
      <c r="FL770" s="13"/>
      <c r="FM770" s="13"/>
      <c r="FN770" s="13"/>
      <c r="FO770" s="13"/>
      <c r="FP770" s="13"/>
      <c r="FQ770" s="13"/>
      <c r="FR770" s="13"/>
      <c r="FS770" s="13"/>
      <c r="FT770" s="13"/>
      <c r="FU770" s="13"/>
      <c r="FV770" s="13"/>
      <c r="FW770" s="13"/>
      <c r="FX770" s="13"/>
      <c r="FY770" s="13"/>
      <c r="FZ770" s="13"/>
      <c r="GA770" s="13"/>
    </row>
    <row r="771" spans="1:183" s="52" customFormat="1" ht="13.2" x14ac:dyDescent="0.25">
      <c r="A771" s="2"/>
      <c r="B771" s="2"/>
      <c r="C771" s="9">
        <v>1</v>
      </c>
      <c r="D771" s="9">
        <v>41</v>
      </c>
      <c r="E771" s="9">
        <v>59</v>
      </c>
      <c r="F771" s="9">
        <v>63</v>
      </c>
      <c r="G771" s="9">
        <v>65</v>
      </c>
      <c r="H771" s="9">
        <v>86</v>
      </c>
      <c r="I771" s="43"/>
      <c r="J771" s="9">
        <v>86</v>
      </c>
      <c r="K771" s="43"/>
      <c r="L771" s="39">
        <v>44905</v>
      </c>
      <c r="M771" s="43"/>
      <c r="N771"/>
      <c r="O771"/>
      <c r="P771"/>
      <c r="Q771"/>
      <c r="R771"/>
      <c r="S771"/>
      <c r="T771"/>
      <c r="U771"/>
      <c r="V771"/>
      <c r="X771" s="43"/>
      <c r="Y771"/>
      <c r="Z771"/>
      <c r="AA771"/>
      <c r="AB771"/>
      <c r="AC771"/>
      <c r="AD771"/>
      <c r="AE771"/>
      <c r="AF771"/>
      <c r="AG771"/>
      <c r="AI771" s="148"/>
      <c r="AJ771" s="1"/>
      <c r="AK771" s="1"/>
      <c r="AL771" s="54"/>
      <c r="AM771" s="1"/>
      <c r="AN771" s="43"/>
      <c r="AO771" s="1"/>
      <c r="AP771" s="1"/>
      <c r="AQ771" s="19"/>
      <c r="AR771" s="54"/>
      <c r="AS771" s="43"/>
      <c r="AT771" s="1"/>
      <c r="AU771" s="1"/>
      <c r="AV771" s="1"/>
      <c r="AW771" s="54"/>
      <c r="AX771" s="57"/>
      <c r="AY771" s="54"/>
      <c r="AZ771" s="54"/>
      <c r="BA771" s="54"/>
      <c r="BB771" s="54"/>
      <c r="BC771" s="57"/>
      <c r="BD771" s="1"/>
      <c r="BE771" s="1"/>
      <c r="BF771" s="1"/>
      <c r="BG771" s="54"/>
      <c r="BH771" s="43"/>
      <c r="BI771"/>
      <c r="BJ771" s="13"/>
      <c r="BK771" s="1"/>
      <c r="BL771"/>
      <c r="BM771"/>
      <c r="BN771"/>
      <c r="DY771" s="43"/>
      <c r="DZ771"/>
      <c r="EA771" s="19"/>
      <c r="EB771" s="19"/>
      <c r="EC771" s="9"/>
      <c r="ED771" s="9"/>
      <c r="EE771" s="9"/>
      <c r="EF771" s="9"/>
      <c r="EG771" s="9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  <c r="FT771" s="13"/>
      <c r="FU771" s="13"/>
      <c r="FV771" s="13"/>
      <c r="FW771" s="13"/>
      <c r="FX771" s="13"/>
      <c r="FY771" s="13"/>
      <c r="FZ771" s="13"/>
      <c r="GA771" s="13"/>
    </row>
    <row r="772" spans="1:183" s="52" customFormat="1" ht="13.2" x14ac:dyDescent="0.25">
      <c r="A772" s="2"/>
      <c r="B772" s="2"/>
      <c r="C772" s="9">
        <v>4</v>
      </c>
      <c r="D772" s="9">
        <v>14</v>
      </c>
      <c r="E772" s="9">
        <v>26</v>
      </c>
      <c r="F772" s="9">
        <v>39</v>
      </c>
      <c r="G772" s="9">
        <v>47</v>
      </c>
      <c r="H772" s="9">
        <v>64</v>
      </c>
      <c r="I772" s="43"/>
      <c r="J772" s="9">
        <v>64</v>
      </c>
      <c r="K772" s="43"/>
      <c r="L772" s="39">
        <v>44902</v>
      </c>
      <c r="M772" s="43"/>
      <c r="N772"/>
      <c r="O772"/>
      <c r="P772"/>
      <c r="Q772"/>
      <c r="R772"/>
      <c r="S772"/>
      <c r="T772"/>
      <c r="U772"/>
      <c r="V772"/>
      <c r="X772" s="43"/>
      <c r="Y772"/>
      <c r="Z772"/>
      <c r="AA772"/>
      <c r="AB772"/>
      <c r="AC772"/>
      <c r="AD772"/>
      <c r="AE772"/>
      <c r="AF772"/>
      <c r="AG772"/>
      <c r="AI772" s="148"/>
      <c r="AJ772" s="1"/>
      <c r="AK772" s="1"/>
      <c r="AL772" s="54"/>
      <c r="AM772" s="1"/>
      <c r="AN772" s="43"/>
      <c r="AO772" s="1"/>
      <c r="AP772" s="1"/>
      <c r="AQ772" s="19"/>
      <c r="AR772" s="54"/>
      <c r="AS772" s="43"/>
      <c r="AT772" s="1"/>
      <c r="AU772" s="1"/>
      <c r="AV772" s="1"/>
      <c r="AW772" s="54"/>
      <c r="AX772" s="57"/>
      <c r="AY772" s="54"/>
      <c r="AZ772" s="54"/>
      <c r="BA772" s="54"/>
      <c r="BB772" s="54"/>
      <c r="BC772" s="57"/>
      <c r="BD772" s="1"/>
      <c r="BE772" s="1"/>
      <c r="BF772" s="1"/>
      <c r="BG772" s="54"/>
      <c r="BH772" s="43"/>
      <c r="BI772"/>
      <c r="BJ772" s="13"/>
      <c r="BK772" s="1"/>
      <c r="BL772"/>
      <c r="BM772"/>
      <c r="BN772"/>
      <c r="DY772" s="43"/>
      <c r="DZ772"/>
      <c r="EA772" s="19"/>
      <c r="EB772" s="19"/>
      <c r="EC772" s="9"/>
      <c r="ED772" s="9"/>
      <c r="EE772" s="9"/>
      <c r="EF772" s="9"/>
      <c r="EG772" s="9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  <c r="FI772" s="13"/>
      <c r="FJ772" s="13"/>
      <c r="FK772" s="13"/>
      <c r="FL772" s="13"/>
      <c r="FM772" s="13"/>
      <c r="FN772" s="13"/>
      <c r="FO772" s="13"/>
      <c r="FP772" s="13"/>
      <c r="FQ772" s="13"/>
      <c r="FR772" s="13"/>
      <c r="FS772" s="13"/>
      <c r="FT772" s="13"/>
      <c r="FU772" s="13"/>
      <c r="FV772" s="13"/>
      <c r="FW772" s="13"/>
      <c r="FX772" s="13"/>
      <c r="FY772" s="13"/>
      <c r="FZ772" s="13"/>
      <c r="GA772" s="13"/>
    </row>
    <row r="773" spans="1:183" s="52" customFormat="1" ht="13.2" x14ac:dyDescent="0.25">
      <c r="A773" s="2"/>
      <c r="B773" s="2"/>
      <c r="C773" s="9">
        <v>38</v>
      </c>
      <c r="D773" s="9">
        <v>44</v>
      </c>
      <c r="E773" s="9">
        <v>51</v>
      </c>
      <c r="F773" s="9">
        <v>60</v>
      </c>
      <c r="G773" s="9">
        <v>66</v>
      </c>
      <c r="H773" s="9">
        <v>80</v>
      </c>
      <c r="I773" s="43"/>
      <c r="J773" s="9">
        <v>80</v>
      </c>
      <c r="K773" s="43"/>
      <c r="L773" s="39">
        <v>44900</v>
      </c>
      <c r="M773" s="43"/>
      <c r="N773"/>
      <c r="O773"/>
      <c r="P773"/>
      <c r="Q773"/>
      <c r="R773"/>
      <c r="S773"/>
      <c r="T773"/>
      <c r="U773"/>
      <c r="V773"/>
      <c r="X773" s="43"/>
      <c r="Y773"/>
      <c r="Z773"/>
      <c r="AA773"/>
      <c r="AB773"/>
      <c r="AC773"/>
      <c r="AD773"/>
      <c r="AE773"/>
      <c r="AF773"/>
      <c r="AG773"/>
      <c r="AI773" s="148"/>
      <c r="AJ773" s="1"/>
      <c r="AK773" s="1"/>
      <c r="AL773" s="54"/>
      <c r="AM773" s="1"/>
      <c r="AN773" s="43"/>
      <c r="AO773" s="1"/>
      <c r="AP773" s="1"/>
      <c r="AQ773" s="19"/>
      <c r="AR773" s="54"/>
      <c r="AS773" s="43"/>
      <c r="AT773" s="1"/>
      <c r="AU773" s="1"/>
      <c r="AV773" s="1"/>
      <c r="AW773" s="54"/>
      <c r="AX773" s="57"/>
      <c r="AY773" s="54"/>
      <c r="AZ773" s="54"/>
      <c r="BA773" s="54"/>
      <c r="BB773" s="54"/>
      <c r="BC773" s="57"/>
      <c r="BD773" s="1"/>
      <c r="BE773" s="1"/>
      <c r="BF773" s="1"/>
      <c r="BG773" s="54"/>
      <c r="BH773" s="43"/>
      <c r="BI773"/>
      <c r="BJ773" s="13"/>
      <c r="BK773" s="1"/>
      <c r="BL773"/>
      <c r="BM773"/>
      <c r="BN773"/>
      <c r="DY773" s="43"/>
      <c r="DZ773"/>
      <c r="EA773" s="19"/>
      <c r="EB773" s="19"/>
      <c r="EC773" s="9"/>
      <c r="ED773" s="9"/>
      <c r="EE773" s="9"/>
      <c r="EF773" s="9"/>
      <c r="EG773" s="9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3"/>
      <c r="FD773" s="13"/>
      <c r="FE773" s="13"/>
      <c r="FF773" s="13"/>
      <c r="FG773" s="13"/>
      <c r="FH773" s="13"/>
      <c r="FI773" s="13"/>
      <c r="FJ773" s="13"/>
      <c r="FK773" s="13"/>
      <c r="FL773" s="13"/>
      <c r="FM773" s="13"/>
      <c r="FN773" s="13"/>
      <c r="FO773" s="13"/>
      <c r="FP773" s="13"/>
      <c r="FQ773" s="13"/>
      <c r="FR773" s="13"/>
      <c r="FS773" s="13"/>
      <c r="FT773" s="13"/>
      <c r="FU773" s="13"/>
      <c r="FV773" s="13"/>
      <c r="FW773" s="13"/>
      <c r="FX773" s="13"/>
      <c r="FY773" s="13"/>
      <c r="FZ773" s="13"/>
      <c r="GA773" s="13"/>
    </row>
    <row r="774" spans="1:183" s="52" customFormat="1" ht="13.2" x14ac:dyDescent="0.25">
      <c r="A774" s="2"/>
      <c r="B774" s="2"/>
      <c r="C774" s="9">
        <v>4</v>
      </c>
      <c r="D774" s="9">
        <v>12</v>
      </c>
      <c r="E774" s="9">
        <v>14</v>
      </c>
      <c r="F774" s="9">
        <v>52</v>
      </c>
      <c r="G774" s="9">
        <v>68</v>
      </c>
      <c r="H774" s="9">
        <v>76</v>
      </c>
      <c r="I774" s="43"/>
      <c r="J774" s="9">
        <v>76</v>
      </c>
      <c r="K774" s="43"/>
      <c r="L774" s="39">
        <v>44898</v>
      </c>
      <c r="M774" s="43"/>
      <c r="N774"/>
      <c r="O774"/>
      <c r="P774"/>
      <c r="Q774"/>
      <c r="R774"/>
      <c r="S774"/>
      <c r="T774"/>
      <c r="U774"/>
      <c r="V774"/>
      <c r="X774" s="43"/>
      <c r="Y774"/>
      <c r="Z774"/>
      <c r="AA774"/>
      <c r="AB774"/>
      <c r="AC774"/>
      <c r="AD774"/>
      <c r="AE774"/>
      <c r="AF774"/>
      <c r="AG774"/>
      <c r="AI774" s="148"/>
      <c r="AJ774" s="1"/>
      <c r="AK774" s="1"/>
      <c r="AL774" s="54"/>
      <c r="AM774" s="1"/>
      <c r="AN774" s="43"/>
      <c r="AO774" s="1"/>
      <c r="AP774" s="1"/>
      <c r="AQ774" s="19"/>
      <c r="AR774" s="54"/>
      <c r="AS774" s="43"/>
      <c r="AT774" s="1"/>
      <c r="AU774" s="1"/>
      <c r="AV774" s="1"/>
      <c r="AW774" s="54"/>
      <c r="AX774" s="57"/>
      <c r="AY774" s="54"/>
      <c r="AZ774" s="54"/>
      <c r="BA774" s="54"/>
      <c r="BB774" s="54"/>
      <c r="BC774" s="57"/>
      <c r="BD774" s="1"/>
      <c r="BE774" s="1"/>
      <c r="BF774" s="1"/>
      <c r="BG774" s="54"/>
      <c r="BH774" s="43"/>
      <c r="BI774"/>
      <c r="BJ774" s="13"/>
      <c r="BK774" s="1"/>
      <c r="BL774"/>
      <c r="BM774"/>
      <c r="BN774"/>
      <c r="DY774" s="43"/>
      <c r="DZ774"/>
      <c r="EA774" s="19"/>
      <c r="EB774" s="19"/>
      <c r="EC774" s="9"/>
      <c r="ED774" s="9"/>
      <c r="EE774" s="9"/>
      <c r="EF774" s="9"/>
      <c r="EG774" s="9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3"/>
      <c r="FD774" s="13"/>
      <c r="FE774" s="13"/>
      <c r="FF774" s="13"/>
      <c r="FG774" s="13"/>
      <c r="FH774" s="13"/>
      <c r="FI774" s="13"/>
      <c r="FJ774" s="13"/>
      <c r="FK774" s="13"/>
      <c r="FL774" s="13"/>
      <c r="FM774" s="13"/>
      <c r="FN774" s="13"/>
      <c r="FO774" s="13"/>
      <c r="FP774" s="13"/>
      <c r="FQ774" s="13"/>
      <c r="FR774" s="13"/>
      <c r="FS774" s="13"/>
      <c r="FT774" s="13"/>
      <c r="FU774" s="13"/>
      <c r="FV774" s="13"/>
      <c r="FW774" s="13"/>
      <c r="FX774" s="13"/>
      <c r="FY774" s="13"/>
      <c r="FZ774" s="13"/>
      <c r="GA774" s="13"/>
    </row>
    <row r="775" spans="1:183" s="52" customFormat="1" ht="13.2" x14ac:dyDescent="0.25">
      <c r="A775" s="2"/>
      <c r="B775" s="2"/>
      <c r="C775" s="9">
        <v>8</v>
      </c>
      <c r="D775" s="9">
        <v>14</v>
      </c>
      <c r="E775" s="9">
        <v>26</v>
      </c>
      <c r="F775" s="9">
        <v>30</v>
      </c>
      <c r="G775" s="9">
        <v>83</v>
      </c>
      <c r="H775" s="9">
        <v>84</v>
      </c>
      <c r="I775" s="43"/>
      <c r="J775" s="9">
        <v>84</v>
      </c>
      <c r="K775" s="43"/>
      <c r="L775" s="39">
        <v>44895</v>
      </c>
      <c r="M775" s="43"/>
      <c r="N775"/>
      <c r="O775"/>
      <c r="P775"/>
      <c r="Q775"/>
      <c r="R775"/>
      <c r="S775"/>
      <c r="T775"/>
      <c r="U775"/>
      <c r="V775"/>
      <c r="X775" s="43"/>
      <c r="Y775"/>
      <c r="Z775"/>
      <c r="AA775"/>
      <c r="AB775"/>
      <c r="AC775"/>
      <c r="AD775"/>
      <c r="AE775"/>
      <c r="AF775"/>
      <c r="AG775"/>
      <c r="AI775" s="148"/>
      <c r="AJ775" s="1"/>
      <c r="AK775" s="1"/>
      <c r="AL775" s="54"/>
      <c r="AM775" s="1"/>
      <c r="AN775" s="43"/>
      <c r="AO775" s="1"/>
      <c r="AP775" s="1"/>
      <c r="AQ775" s="19"/>
      <c r="AR775" s="54"/>
      <c r="AS775" s="43"/>
      <c r="AT775" s="1"/>
      <c r="AU775" s="1"/>
      <c r="AV775" s="1"/>
      <c r="AW775" s="54"/>
      <c r="AX775" s="57"/>
      <c r="AY775" s="54"/>
      <c r="AZ775" s="54"/>
      <c r="BA775" s="54"/>
      <c r="BB775" s="54"/>
      <c r="BC775" s="57"/>
      <c r="BD775" s="1"/>
      <c r="BE775" s="1"/>
      <c r="BF775" s="1"/>
      <c r="BG775" s="54"/>
      <c r="BH775" s="43"/>
      <c r="BI775"/>
      <c r="BJ775" s="13"/>
      <c r="BK775" s="1"/>
      <c r="BL775"/>
      <c r="BM775"/>
      <c r="BN775"/>
      <c r="DY775" s="43"/>
      <c r="DZ775"/>
      <c r="EA775" s="19"/>
      <c r="EB775" s="19"/>
      <c r="EC775" s="9"/>
      <c r="ED775" s="9"/>
      <c r="EE775" s="9"/>
      <c r="EF775" s="9"/>
      <c r="EG775" s="9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3"/>
      <c r="FD775" s="13"/>
      <c r="FE775" s="13"/>
      <c r="FF775" s="13"/>
      <c r="FG775" s="13"/>
      <c r="FH775" s="13"/>
      <c r="FI775" s="13"/>
      <c r="FJ775" s="13"/>
      <c r="FK775" s="13"/>
      <c r="FL775" s="13"/>
      <c r="FM775" s="13"/>
      <c r="FN775" s="13"/>
      <c r="FO775" s="13"/>
      <c r="FP775" s="13"/>
      <c r="FQ775" s="13"/>
      <c r="FR775" s="13"/>
      <c r="FS775" s="13"/>
      <c r="FT775" s="13"/>
      <c r="FU775" s="13"/>
      <c r="FV775" s="13"/>
      <c r="FW775" s="13"/>
      <c r="FX775" s="13"/>
      <c r="FY775" s="13"/>
      <c r="FZ775" s="13"/>
      <c r="GA775" s="13"/>
    </row>
    <row r="776" spans="1:183" s="52" customFormat="1" ht="13.2" x14ac:dyDescent="0.25">
      <c r="A776" s="2"/>
      <c r="B776" s="2"/>
      <c r="C776" s="9">
        <v>13</v>
      </c>
      <c r="D776" s="9">
        <v>28</v>
      </c>
      <c r="E776" s="9">
        <v>34</v>
      </c>
      <c r="F776" s="9">
        <v>67</v>
      </c>
      <c r="G776" s="9">
        <v>77</v>
      </c>
      <c r="H776" s="9">
        <v>81</v>
      </c>
      <c r="I776" s="43"/>
      <c r="J776" s="9">
        <v>81</v>
      </c>
      <c r="K776" s="43"/>
      <c r="L776" s="39">
        <v>44893</v>
      </c>
      <c r="M776" s="43"/>
      <c r="N776"/>
      <c r="O776"/>
      <c r="P776"/>
      <c r="Q776"/>
      <c r="R776"/>
      <c r="S776"/>
      <c r="T776"/>
      <c r="U776"/>
      <c r="V776"/>
      <c r="X776" s="43"/>
      <c r="Y776"/>
      <c r="Z776"/>
      <c r="AA776"/>
      <c r="AB776"/>
      <c r="AC776"/>
      <c r="AD776"/>
      <c r="AE776"/>
      <c r="AF776"/>
      <c r="AG776"/>
      <c r="AI776" s="148"/>
      <c r="AJ776" s="1"/>
      <c r="AK776" s="1"/>
      <c r="AL776" s="54"/>
      <c r="AM776" s="1"/>
      <c r="AN776" s="43"/>
      <c r="AO776" s="1"/>
      <c r="AP776" s="1"/>
      <c r="AQ776" s="19"/>
      <c r="AR776" s="54"/>
      <c r="AS776" s="43"/>
      <c r="AT776" s="1"/>
      <c r="AU776" s="1"/>
      <c r="AV776" s="1"/>
      <c r="AW776" s="54"/>
      <c r="AX776" s="57"/>
      <c r="AY776" s="54"/>
      <c r="AZ776" s="54"/>
      <c r="BA776" s="54"/>
      <c r="BB776" s="54"/>
      <c r="BC776" s="57"/>
      <c r="BD776" s="1"/>
      <c r="BE776" s="1"/>
      <c r="BF776" s="1"/>
      <c r="BG776" s="54"/>
      <c r="BH776" s="43"/>
      <c r="BI776"/>
      <c r="BJ776" s="13"/>
      <c r="BK776" s="1"/>
      <c r="BL776"/>
      <c r="BM776"/>
      <c r="BN776"/>
      <c r="DY776" s="43"/>
      <c r="DZ776"/>
      <c r="EA776" s="19"/>
      <c r="EB776" s="19"/>
      <c r="EC776" s="9"/>
      <c r="ED776" s="9"/>
      <c r="EE776" s="9"/>
      <c r="EF776" s="9"/>
      <c r="EG776" s="9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3"/>
      <c r="FJ776" s="13"/>
      <c r="FK776" s="13"/>
      <c r="FL776" s="13"/>
      <c r="FM776" s="13"/>
      <c r="FN776" s="13"/>
      <c r="FO776" s="13"/>
      <c r="FP776" s="13"/>
      <c r="FQ776" s="13"/>
      <c r="FR776" s="13"/>
      <c r="FS776" s="13"/>
      <c r="FT776" s="13"/>
      <c r="FU776" s="13"/>
      <c r="FV776" s="13"/>
      <c r="FW776" s="13"/>
      <c r="FX776" s="13"/>
      <c r="FY776" s="13"/>
      <c r="FZ776" s="13"/>
      <c r="GA776" s="13"/>
    </row>
    <row r="777" spans="1:183" s="52" customFormat="1" ht="13.2" x14ac:dyDescent="0.25">
      <c r="A777" s="2"/>
      <c r="B777" s="2"/>
      <c r="C777" s="9">
        <v>2</v>
      </c>
      <c r="D777" s="9">
        <v>12</v>
      </c>
      <c r="E777" s="9">
        <v>21</v>
      </c>
      <c r="F777" s="9">
        <v>58</v>
      </c>
      <c r="G777" s="9">
        <v>63</v>
      </c>
      <c r="H777" s="9">
        <v>64</v>
      </c>
      <c r="I777" s="43"/>
      <c r="J777" s="9">
        <v>64</v>
      </c>
      <c r="K777" s="43"/>
      <c r="L777" s="39">
        <v>44891</v>
      </c>
      <c r="M777" s="43"/>
      <c r="N777"/>
      <c r="O777"/>
      <c r="P777"/>
      <c r="Q777"/>
      <c r="R777"/>
      <c r="S777"/>
      <c r="T777"/>
      <c r="U777"/>
      <c r="V777"/>
      <c r="X777" s="43"/>
      <c r="Y777"/>
      <c r="Z777"/>
      <c r="AA777"/>
      <c r="AB777"/>
      <c r="AC777"/>
      <c r="AD777"/>
      <c r="AE777"/>
      <c r="AF777"/>
      <c r="AG777"/>
      <c r="AI777" s="148"/>
      <c r="AJ777" s="1"/>
      <c r="AK777" s="1"/>
      <c r="AL777" s="54"/>
      <c r="AM777" s="1"/>
      <c r="AN777" s="43"/>
      <c r="AO777" s="1"/>
      <c r="AP777" s="1"/>
      <c r="AQ777" s="19"/>
      <c r="AR777" s="54"/>
      <c r="AS777" s="43"/>
      <c r="AT777" s="1"/>
      <c r="AU777" s="1"/>
      <c r="AV777" s="1"/>
      <c r="AW777" s="54"/>
      <c r="AX777" s="57"/>
      <c r="AY777" s="54"/>
      <c r="AZ777" s="54"/>
      <c r="BA777" s="54"/>
      <c r="BB777" s="54"/>
      <c r="BC777" s="57"/>
      <c r="BD777" s="1"/>
      <c r="BE777" s="1"/>
      <c r="BF777" s="1"/>
      <c r="BG777" s="54"/>
      <c r="BH777" s="43"/>
      <c r="BI777"/>
      <c r="BJ777" s="13"/>
      <c r="BK777" s="1"/>
      <c r="BL777"/>
      <c r="BM777"/>
      <c r="BN777"/>
      <c r="DY777" s="43"/>
      <c r="DZ777"/>
      <c r="EA777" s="19"/>
      <c r="EB777" s="19"/>
      <c r="EC777" s="9"/>
      <c r="ED777" s="9"/>
      <c r="EE777" s="9"/>
      <c r="EF777" s="9"/>
      <c r="EG777" s="9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  <c r="FI777" s="13"/>
      <c r="FJ777" s="13"/>
      <c r="FK777" s="13"/>
      <c r="FL777" s="13"/>
      <c r="FM777" s="13"/>
      <c r="FN777" s="13"/>
      <c r="FO777" s="13"/>
      <c r="FP777" s="13"/>
      <c r="FQ777" s="13"/>
      <c r="FR777" s="13"/>
      <c r="FS777" s="13"/>
      <c r="FT777" s="13"/>
      <c r="FU777" s="13"/>
      <c r="FV777" s="13"/>
      <c r="FW777" s="13"/>
      <c r="FX777" s="13"/>
      <c r="FY777" s="13"/>
      <c r="FZ777" s="13"/>
      <c r="GA777" s="13"/>
    </row>
    <row r="778" spans="1:183" s="52" customFormat="1" ht="13.2" x14ac:dyDescent="0.25">
      <c r="A778" s="2"/>
      <c r="B778" s="2"/>
      <c r="C778" s="9">
        <v>2</v>
      </c>
      <c r="D778" s="9">
        <v>26</v>
      </c>
      <c r="E778" s="9">
        <v>27</v>
      </c>
      <c r="F778" s="9">
        <v>31</v>
      </c>
      <c r="G778" s="9">
        <v>60</v>
      </c>
      <c r="H778" s="9">
        <v>71</v>
      </c>
      <c r="I778" s="43"/>
      <c r="J778" s="9">
        <v>71</v>
      </c>
      <c r="K778" s="43"/>
      <c r="L778" s="39">
        <v>44888</v>
      </c>
      <c r="M778" s="43"/>
      <c r="N778"/>
      <c r="O778"/>
      <c r="P778"/>
      <c r="Q778"/>
      <c r="R778"/>
      <c r="S778"/>
      <c r="T778"/>
      <c r="U778"/>
      <c r="V778"/>
      <c r="X778" s="43"/>
      <c r="Y778"/>
      <c r="Z778"/>
      <c r="AA778"/>
      <c r="AB778"/>
      <c r="AC778"/>
      <c r="AD778"/>
      <c r="AE778"/>
      <c r="AF778"/>
      <c r="AG778"/>
      <c r="AI778" s="148"/>
      <c r="AJ778" s="1"/>
      <c r="AK778" s="1"/>
      <c r="AL778" s="54"/>
      <c r="AM778" s="1"/>
      <c r="AN778" s="43"/>
      <c r="AO778" s="1"/>
      <c r="AP778" s="1"/>
      <c r="AQ778" s="19"/>
      <c r="AR778" s="54"/>
      <c r="AS778" s="43"/>
      <c r="AT778" s="1"/>
      <c r="AU778" s="1"/>
      <c r="AV778" s="1"/>
      <c r="AW778" s="54"/>
      <c r="AX778" s="57"/>
      <c r="AY778" s="54"/>
      <c r="AZ778" s="54"/>
      <c r="BA778" s="54"/>
      <c r="BB778" s="54"/>
      <c r="BC778" s="57"/>
      <c r="BD778" s="1"/>
      <c r="BE778" s="1"/>
      <c r="BF778" s="1"/>
      <c r="BG778" s="54"/>
      <c r="BH778" s="43"/>
      <c r="BI778"/>
      <c r="BJ778" s="13"/>
      <c r="BK778" s="1"/>
      <c r="BL778"/>
      <c r="BM778"/>
      <c r="BN778"/>
      <c r="DY778" s="43"/>
      <c r="DZ778"/>
      <c r="EA778" s="19"/>
      <c r="EB778" s="19"/>
      <c r="EC778" s="9"/>
      <c r="ED778" s="9"/>
      <c r="EE778" s="9"/>
      <c r="EF778" s="9"/>
      <c r="EG778" s="9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3"/>
      <c r="FD778" s="13"/>
      <c r="FE778" s="13"/>
      <c r="FF778" s="13"/>
      <c r="FG778" s="13"/>
      <c r="FH778" s="13"/>
      <c r="FI778" s="13"/>
      <c r="FJ778" s="13"/>
      <c r="FK778" s="13"/>
      <c r="FL778" s="13"/>
      <c r="FM778" s="13"/>
      <c r="FN778" s="13"/>
      <c r="FO778" s="13"/>
      <c r="FP778" s="13"/>
      <c r="FQ778" s="13"/>
      <c r="FR778" s="13"/>
      <c r="FS778" s="13"/>
      <c r="FT778" s="13"/>
      <c r="FU778" s="13"/>
      <c r="FV778" s="13"/>
      <c r="FW778" s="13"/>
      <c r="FX778" s="13"/>
      <c r="FY778" s="13"/>
      <c r="FZ778" s="13"/>
      <c r="GA778" s="13"/>
    </row>
    <row r="779" spans="1:183" s="52" customFormat="1" ht="13.2" x14ac:dyDescent="0.25">
      <c r="A779" s="2"/>
      <c r="B779" s="2"/>
      <c r="C779" s="9">
        <v>8</v>
      </c>
      <c r="D779" s="9">
        <v>29</v>
      </c>
      <c r="E779" s="9">
        <v>54</v>
      </c>
      <c r="F779" s="9">
        <v>65</v>
      </c>
      <c r="G779" s="9">
        <v>76</v>
      </c>
      <c r="H779" s="9">
        <v>87</v>
      </c>
      <c r="I779" s="43"/>
      <c r="J779" s="9">
        <v>87</v>
      </c>
      <c r="K779" s="43"/>
      <c r="L779" s="39">
        <v>44886</v>
      </c>
      <c r="M779" s="43"/>
      <c r="N779"/>
      <c r="O779"/>
      <c r="P779"/>
      <c r="Q779"/>
      <c r="R779"/>
      <c r="S779"/>
      <c r="T779"/>
      <c r="U779"/>
      <c r="V779"/>
      <c r="X779" s="43"/>
      <c r="Y779"/>
      <c r="Z779"/>
      <c r="AA779"/>
      <c r="AB779"/>
      <c r="AC779"/>
      <c r="AD779"/>
      <c r="AE779"/>
      <c r="AF779"/>
      <c r="AG779"/>
      <c r="AI779" s="148"/>
      <c r="AJ779" s="1"/>
      <c r="AK779" s="1"/>
      <c r="AL779" s="54"/>
      <c r="AM779" s="1"/>
      <c r="AN779" s="43"/>
      <c r="AO779" s="1"/>
      <c r="AP779" s="1"/>
      <c r="AQ779" s="19"/>
      <c r="AR779" s="54"/>
      <c r="AS779" s="43"/>
      <c r="AT779" s="1"/>
      <c r="AU779" s="1"/>
      <c r="AV779" s="1"/>
      <c r="AW779" s="54"/>
      <c r="AX779" s="57"/>
      <c r="AY779" s="54"/>
      <c r="AZ779" s="54"/>
      <c r="BA779" s="54"/>
      <c r="BB779" s="54"/>
      <c r="BC779" s="57"/>
      <c r="BD779" s="1"/>
      <c r="BE779" s="1"/>
      <c r="BF779" s="1"/>
      <c r="BG779" s="54"/>
      <c r="BH779" s="43"/>
      <c r="BI779"/>
      <c r="BJ779" s="13"/>
      <c r="BK779" s="1"/>
      <c r="BL779"/>
      <c r="BM779"/>
      <c r="BN779"/>
      <c r="DY779" s="43"/>
      <c r="DZ779"/>
      <c r="EA779" s="19"/>
      <c r="EB779" s="19"/>
      <c r="EC779" s="9"/>
      <c r="ED779" s="9"/>
      <c r="EE779" s="9"/>
      <c r="EF779" s="9"/>
      <c r="EG779" s="9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  <c r="FU779" s="13"/>
      <c r="FV779" s="13"/>
      <c r="FW779" s="13"/>
      <c r="FX779" s="13"/>
      <c r="FY779" s="13"/>
      <c r="FZ779" s="13"/>
      <c r="GA779" s="13"/>
    </row>
    <row r="780" spans="1:183" s="52" customFormat="1" ht="13.2" x14ac:dyDescent="0.25">
      <c r="A780" s="2"/>
      <c r="B780" s="2"/>
      <c r="C780" s="9">
        <v>9</v>
      </c>
      <c r="D780" s="9">
        <v>19</v>
      </c>
      <c r="E780" s="9">
        <v>41</v>
      </c>
      <c r="F780" s="9">
        <v>55</v>
      </c>
      <c r="G780" s="9">
        <v>63</v>
      </c>
      <c r="H780" s="9">
        <v>68</v>
      </c>
      <c r="I780" s="43"/>
      <c r="J780" s="9">
        <v>68</v>
      </c>
      <c r="K780" s="43"/>
      <c r="L780" s="39">
        <v>44884</v>
      </c>
      <c r="M780" s="43"/>
      <c r="N780"/>
      <c r="O780"/>
      <c r="P780"/>
      <c r="Q780"/>
      <c r="R780"/>
      <c r="S780"/>
      <c r="T780"/>
      <c r="U780"/>
      <c r="V780"/>
      <c r="X780" s="43"/>
      <c r="Y780"/>
      <c r="Z780"/>
      <c r="AA780"/>
      <c r="AB780"/>
      <c r="AC780"/>
      <c r="AD780"/>
      <c r="AE780"/>
      <c r="AF780"/>
      <c r="AG780"/>
      <c r="AI780" s="148"/>
      <c r="AJ780" s="1"/>
      <c r="AK780" s="1"/>
      <c r="AL780" s="54"/>
      <c r="AM780" s="1"/>
      <c r="AN780" s="43"/>
      <c r="AO780" s="1"/>
      <c r="AP780" s="1"/>
      <c r="AQ780" s="19"/>
      <c r="AR780" s="54"/>
      <c r="AS780" s="43"/>
      <c r="AT780" s="1"/>
      <c r="AU780" s="1"/>
      <c r="AV780" s="1"/>
      <c r="AW780" s="54"/>
      <c r="AX780" s="57"/>
      <c r="AY780" s="54"/>
      <c r="AZ780" s="54"/>
      <c r="BA780" s="54"/>
      <c r="BB780" s="54"/>
      <c r="BC780" s="57"/>
      <c r="BD780" s="1"/>
      <c r="BE780" s="1"/>
      <c r="BF780" s="1"/>
      <c r="BG780" s="54"/>
      <c r="BH780" s="43"/>
      <c r="BI780"/>
      <c r="BJ780" s="13"/>
      <c r="BK780" s="1"/>
      <c r="BL780"/>
      <c r="BM780"/>
      <c r="BN780"/>
      <c r="DY780" s="43"/>
      <c r="DZ780"/>
      <c r="EA780" s="19"/>
      <c r="EB780" s="19"/>
      <c r="EC780" s="9"/>
      <c r="ED780" s="9"/>
      <c r="EE780" s="9"/>
      <c r="EF780" s="9"/>
      <c r="EG780" s="9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  <c r="FI780" s="13"/>
      <c r="FJ780" s="13"/>
      <c r="FK780" s="13"/>
      <c r="FL780" s="13"/>
      <c r="FM780" s="13"/>
      <c r="FN780" s="13"/>
      <c r="FO780" s="13"/>
      <c r="FP780" s="13"/>
      <c r="FQ780" s="13"/>
      <c r="FR780" s="13"/>
      <c r="FS780" s="13"/>
      <c r="FT780" s="13"/>
      <c r="FU780" s="13"/>
      <c r="FV780" s="13"/>
      <c r="FW780" s="13"/>
      <c r="FX780" s="13"/>
      <c r="FY780" s="13"/>
      <c r="FZ780" s="13"/>
      <c r="GA780" s="13"/>
    </row>
    <row r="781" spans="1:183" s="52" customFormat="1" ht="13.2" x14ac:dyDescent="0.25">
      <c r="A781" s="2"/>
      <c r="B781" s="2"/>
      <c r="C781" s="9">
        <v>37</v>
      </c>
      <c r="D781" s="9">
        <v>38</v>
      </c>
      <c r="E781" s="9">
        <v>63</v>
      </c>
      <c r="F781" s="9">
        <v>66</v>
      </c>
      <c r="G781" s="9">
        <v>78</v>
      </c>
      <c r="H781" s="9">
        <v>85</v>
      </c>
      <c r="I781" s="43"/>
      <c r="J781" s="9">
        <v>85</v>
      </c>
      <c r="K781" s="43"/>
      <c r="L781" s="39">
        <v>44881</v>
      </c>
      <c r="M781" s="43"/>
      <c r="N781"/>
      <c r="O781"/>
      <c r="P781"/>
      <c r="Q781"/>
      <c r="R781"/>
      <c r="S781"/>
      <c r="T781"/>
      <c r="U781"/>
      <c r="V781"/>
      <c r="X781" s="43"/>
      <c r="Y781"/>
      <c r="Z781"/>
      <c r="AA781"/>
      <c r="AB781"/>
      <c r="AC781"/>
      <c r="AD781"/>
      <c r="AE781"/>
      <c r="AF781"/>
      <c r="AG781"/>
      <c r="AI781" s="148"/>
      <c r="AJ781" s="1"/>
      <c r="AK781" s="1"/>
      <c r="AL781" s="54"/>
      <c r="AM781" s="1"/>
      <c r="AN781" s="43"/>
      <c r="AO781" s="1"/>
      <c r="AP781" s="1"/>
      <c r="AQ781" s="19"/>
      <c r="AR781" s="54"/>
      <c r="AS781" s="43"/>
      <c r="AT781" s="1"/>
      <c r="AU781" s="1"/>
      <c r="AV781" s="1"/>
      <c r="AW781" s="54"/>
      <c r="AX781" s="57"/>
      <c r="AY781" s="54"/>
      <c r="AZ781" s="54"/>
      <c r="BA781" s="54"/>
      <c r="BB781" s="54"/>
      <c r="BC781" s="57"/>
      <c r="BD781" s="1"/>
      <c r="BE781" s="1"/>
      <c r="BF781" s="1"/>
      <c r="BG781" s="54"/>
      <c r="BH781" s="43"/>
      <c r="BI781"/>
      <c r="BJ781" s="13"/>
      <c r="BK781" s="1"/>
      <c r="BL781"/>
      <c r="BM781"/>
      <c r="BN781"/>
      <c r="DY781" s="43"/>
      <c r="DZ781"/>
      <c r="EA781" s="19"/>
      <c r="EB781" s="19"/>
      <c r="EC781" s="9"/>
      <c r="ED781" s="9"/>
      <c r="EE781" s="9"/>
      <c r="EF781" s="9"/>
      <c r="EG781" s="9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3"/>
      <c r="FJ781" s="13"/>
      <c r="FK781" s="13"/>
      <c r="FL781" s="13"/>
      <c r="FM781" s="13"/>
      <c r="FN781" s="13"/>
      <c r="FO781" s="13"/>
      <c r="FP781" s="13"/>
      <c r="FQ781" s="13"/>
      <c r="FR781" s="13"/>
      <c r="FS781" s="13"/>
      <c r="FT781" s="13"/>
      <c r="FU781" s="13"/>
      <c r="FV781" s="13"/>
      <c r="FW781" s="13"/>
      <c r="FX781" s="13"/>
      <c r="FY781" s="13"/>
      <c r="FZ781" s="13"/>
      <c r="GA781" s="13"/>
    </row>
    <row r="782" spans="1:183" s="52" customFormat="1" ht="13.2" x14ac:dyDescent="0.25">
      <c r="A782" s="2"/>
      <c r="B782" s="2"/>
      <c r="C782" s="9">
        <v>2</v>
      </c>
      <c r="D782" s="9">
        <v>5</v>
      </c>
      <c r="E782" s="9">
        <v>10</v>
      </c>
      <c r="F782" s="9">
        <v>12</v>
      </c>
      <c r="G782" s="9">
        <v>55</v>
      </c>
      <c r="H782" s="9">
        <v>67</v>
      </c>
      <c r="I782" s="43"/>
      <c r="J782" s="9">
        <v>67</v>
      </c>
      <c r="K782" s="43"/>
      <c r="L782" s="39">
        <v>44879</v>
      </c>
      <c r="M782" s="43"/>
      <c r="N782"/>
      <c r="O782"/>
      <c r="P782"/>
      <c r="Q782"/>
      <c r="R782"/>
      <c r="S782"/>
      <c r="T782"/>
      <c r="U782"/>
      <c r="V782"/>
      <c r="X782" s="43"/>
      <c r="Y782"/>
      <c r="Z782"/>
      <c r="AA782"/>
      <c r="AB782"/>
      <c r="AC782"/>
      <c r="AD782"/>
      <c r="AE782"/>
      <c r="AF782"/>
      <c r="AG782"/>
      <c r="AI782" s="148"/>
      <c r="AJ782" s="1"/>
      <c r="AK782" s="1"/>
      <c r="AL782" s="54"/>
      <c r="AM782" s="1"/>
      <c r="AN782" s="43"/>
      <c r="AO782" s="1"/>
      <c r="AP782" s="1"/>
      <c r="AQ782" s="19"/>
      <c r="AR782" s="54"/>
      <c r="AS782" s="43"/>
      <c r="AT782" s="1"/>
      <c r="AU782" s="1"/>
      <c r="AV782" s="1"/>
      <c r="AW782" s="54"/>
      <c r="AX782" s="57"/>
      <c r="AY782" s="54"/>
      <c r="AZ782" s="54"/>
      <c r="BA782" s="54"/>
      <c r="BB782" s="54"/>
      <c r="BC782" s="57"/>
      <c r="BD782" s="1"/>
      <c r="BE782" s="1"/>
      <c r="BF782" s="1"/>
      <c r="BG782" s="54"/>
      <c r="BH782" s="43"/>
      <c r="BI782"/>
      <c r="BJ782" s="13"/>
      <c r="BK782" s="1"/>
      <c r="BL782"/>
      <c r="BM782"/>
      <c r="BN782"/>
      <c r="DY782" s="43"/>
      <c r="DZ782"/>
      <c r="EA782" s="19"/>
      <c r="EB782" s="19"/>
      <c r="EC782" s="9"/>
      <c r="ED782" s="9"/>
      <c r="EE782" s="9"/>
      <c r="EF782" s="9"/>
      <c r="EG782" s="9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3"/>
      <c r="FJ782" s="13"/>
      <c r="FK782" s="13"/>
      <c r="FL782" s="13"/>
      <c r="FM782" s="13"/>
      <c r="FN782" s="13"/>
      <c r="FO782" s="13"/>
      <c r="FP782" s="13"/>
      <c r="FQ782" s="13"/>
      <c r="FR782" s="13"/>
      <c r="FS782" s="13"/>
      <c r="FT782" s="13"/>
      <c r="FU782" s="13"/>
      <c r="FV782" s="13"/>
      <c r="FW782" s="13"/>
      <c r="FX782" s="13"/>
      <c r="FY782" s="13"/>
      <c r="FZ782" s="13"/>
      <c r="GA782" s="13"/>
    </row>
    <row r="783" spans="1:183" s="52" customFormat="1" ht="13.2" x14ac:dyDescent="0.25">
      <c r="A783" s="2"/>
      <c r="B783" s="2"/>
      <c r="C783" s="9">
        <v>28</v>
      </c>
      <c r="D783" s="9">
        <v>33</v>
      </c>
      <c r="E783" s="9">
        <v>52</v>
      </c>
      <c r="F783" s="9">
        <v>61</v>
      </c>
      <c r="G783" s="9">
        <v>68</v>
      </c>
      <c r="H783" s="9">
        <v>69</v>
      </c>
      <c r="I783" s="43"/>
      <c r="J783" s="9">
        <v>69</v>
      </c>
      <c r="K783" s="43"/>
      <c r="L783" s="39">
        <v>44877</v>
      </c>
      <c r="M783" s="43"/>
      <c r="N783"/>
      <c r="O783"/>
      <c r="P783"/>
      <c r="Q783"/>
      <c r="R783"/>
      <c r="S783"/>
      <c r="T783"/>
      <c r="U783"/>
      <c r="V783"/>
      <c r="X783" s="43"/>
      <c r="Y783"/>
      <c r="Z783"/>
      <c r="AA783"/>
      <c r="AB783"/>
      <c r="AC783"/>
      <c r="AD783"/>
      <c r="AE783"/>
      <c r="AF783"/>
      <c r="AG783"/>
      <c r="AI783" s="148"/>
      <c r="AJ783" s="1"/>
      <c r="AK783" s="1"/>
      <c r="AL783" s="54"/>
      <c r="AM783" s="1"/>
      <c r="AN783" s="43"/>
      <c r="AO783" s="1"/>
      <c r="AP783" s="1"/>
      <c r="AQ783" s="19"/>
      <c r="AR783" s="54"/>
      <c r="AS783" s="43"/>
      <c r="AT783" s="1"/>
      <c r="AU783" s="1"/>
      <c r="AV783" s="1"/>
      <c r="AW783" s="54"/>
      <c r="AX783" s="57"/>
      <c r="AY783" s="54"/>
      <c r="AZ783" s="54"/>
      <c r="BA783" s="54"/>
      <c r="BB783" s="54"/>
      <c r="BC783" s="57"/>
      <c r="BD783" s="1"/>
      <c r="BE783" s="1"/>
      <c r="BF783" s="1"/>
      <c r="BG783" s="54"/>
      <c r="BH783" s="43"/>
      <c r="BI783"/>
      <c r="BJ783" s="13"/>
      <c r="BK783" s="1"/>
      <c r="BL783"/>
      <c r="BM783"/>
      <c r="BN783"/>
      <c r="DY783" s="43"/>
      <c r="DZ783"/>
      <c r="EA783" s="19"/>
      <c r="EB783" s="19"/>
      <c r="EC783" s="9"/>
      <c r="ED783" s="9"/>
      <c r="EE783" s="9"/>
      <c r="EF783" s="9"/>
      <c r="EG783" s="9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3"/>
      <c r="FJ783" s="13"/>
      <c r="FK783" s="13"/>
      <c r="FL783" s="13"/>
      <c r="FM783" s="13"/>
      <c r="FN783" s="13"/>
      <c r="FO783" s="13"/>
      <c r="FP783" s="13"/>
      <c r="FQ783" s="13"/>
      <c r="FR783" s="13"/>
      <c r="FS783" s="13"/>
      <c r="FT783" s="13"/>
      <c r="FU783" s="13"/>
      <c r="FV783" s="13"/>
      <c r="FW783" s="13"/>
      <c r="FX783" s="13"/>
      <c r="FY783" s="13"/>
      <c r="FZ783" s="13"/>
      <c r="GA783" s="13"/>
    </row>
    <row r="784" spans="1:183" s="52" customFormat="1" ht="13.2" x14ac:dyDescent="0.25">
      <c r="A784" s="2"/>
      <c r="B784" s="2"/>
      <c r="C784" s="9">
        <v>14</v>
      </c>
      <c r="D784" s="9">
        <v>42</v>
      </c>
      <c r="E784" s="9">
        <v>46</v>
      </c>
      <c r="F784" s="9">
        <v>71</v>
      </c>
      <c r="G784" s="9">
        <v>77</v>
      </c>
      <c r="H784" s="9">
        <v>85</v>
      </c>
      <c r="I784" s="43"/>
      <c r="J784" s="9">
        <v>85</v>
      </c>
      <c r="K784" s="43"/>
      <c r="L784" s="39">
        <v>44874</v>
      </c>
      <c r="M784" s="43"/>
      <c r="N784"/>
      <c r="O784"/>
      <c r="P784"/>
      <c r="Q784"/>
      <c r="R784"/>
      <c r="S784"/>
      <c r="T784"/>
      <c r="U784"/>
      <c r="V784"/>
      <c r="X784" s="43"/>
      <c r="Y784"/>
      <c r="Z784"/>
      <c r="AA784"/>
      <c r="AB784"/>
      <c r="AC784"/>
      <c r="AD784"/>
      <c r="AE784"/>
      <c r="AF784"/>
      <c r="AG784"/>
      <c r="AI784" s="148"/>
      <c r="AJ784" s="1"/>
      <c r="AK784" s="1"/>
      <c r="AL784" s="54"/>
      <c r="AM784" s="1"/>
      <c r="AN784" s="43"/>
      <c r="AO784" s="1"/>
      <c r="AP784" s="1"/>
      <c r="AQ784" s="19"/>
      <c r="AR784" s="54"/>
      <c r="AS784" s="43"/>
      <c r="AT784" s="1"/>
      <c r="AU784" s="1"/>
      <c r="AV784" s="1"/>
      <c r="AW784" s="54"/>
      <c r="AX784" s="57"/>
      <c r="AY784" s="54"/>
      <c r="AZ784" s="54"/>
      <c r="BA784" s="54"/>
      <c r="BB784" s="54"/>
      <c r="BC784" s="57"/>
      <c r="BD784" s="1"/>
      <c r="BE784" s="1"/>
      <c r="BF784" s="1"/>
      <c r="BG784" s="54"/>
      <c r="BH784" s="43"/>
      <c r="BI784"/>
      <c r="BJ784" s="13"/>
      <c r="BK784" s="1"/>
      <c r="BL784"/>
      <c r="BM784"/>
      <c r="BN784"/>
      <c r="DY784" s="43"/>
      <c r="DZ784"/>
      <c r="EA784" s="19"/>
      <c r="EB784" s="19"/>
      <c r="EC784" s="9"/>
      <c r="ED784" s="9"/>
      <c r="EE784" s="9"/>
      <c r="EF784" s="9"/>
      <c r="EG784" s="9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  <c r="FI784" s="13"/>
      <c r="FJ784" s="13"/>
      <c r="FK784" s="13"/>
      <c r="FL784" s="13"/>
      <c r="FM784" s="13"/>
      <c r="FN784" s="13"/>
      <c r="FO784" s="13"/>
      <c r="FP784" s="13"/>
      <c r="FQ784" s="13"/>
      <c r="FR784" s="13"/>
      <c r="FS784" s="13"/>
      <c r="FT784" s="13"/>
      <c r="FU784" s="13"/>
      <c r="FV784" s="13"/>
      <c r="FW784" s="13"/>
      <c r="FX784" s="13"/>
      <c r="FY784" s="13"/>
      <c r="FZ784" s="13"/>
      <c r="GA784" s="13"/>
    </row>
    <row r="785" spans="1:183" s="52" customFormat="1" ht="13.2" x14ac:dyDescent="0.25">
      <c r="A785" s="2"/>
      <c r="B785" s="2"/>
      <c r="C785" s="9">
        <v>37</v>
      </c>
      <c r="D785" s="9">
        <v>55</v>
      </c>
      <c r="E785" s="9">
        <v>58</v>
      </c>
      <c r="F785" s="9">
        <v>64</v>
      </c>
      <c r="G785" s="9">
        <v>66</v>
      </c>
      <c r="H785" s="9">
        <v>72</v>
      </c>
      <c r="I785" s="43"/>
      <c r="J785" s="9">
        <v>72</v>
      </c>
      <c r="K785" s="43"/>
      <c r="L785" s="39">
        <v>44872</v>
      </c>
      <c r="M785" s="43"/>
      <c r="N785"/>
      <c r="O785"/>
      <c r="P785"/>
      <c r="Q785"/>
      <c r="R785"/>
      <c r="S785"/>
      <c r="T785"/>
      <c r="U785"/>
      <c r="V785"/>
      <c r="X785" s="43"/>
      <c r="Y785"/>
      <c r="Z785"/>
      <c r="AA785"/>
      <c r="AB785"/>
      <c r="AC785"/>
      <c r="AD785"/>
      <c r="AE785"/>
      <c r="AF785"/>
      <c r="AG785"/>
      <c r="AI785" s="148"/>
      <c r="AJ785" s="1"/>
      <c r="AK785" s="1"/>
      <c r="AL785" s="54"/>
      <c r="AM785" s="1"/>
      <c r="AN785" s="43"/>
      <c r="AO785" s="1"/>
      <c r="AP785" s="1"/>
      <c r="AQ785" s="19"/>
      <c r="AR785" s="54"/>
      <c r="AS785" s="43"/>
      <c r="AT785" s="1"/>
      <c r="AU785" s="1"/>
      <c r="AV785" s="1"/>
      <c r="AW785" s="54"/>
      <c r="AX785" s="57"/>
      <c r="AY785" s="54"/>
      <c r="AZ785" s="54"/>
      <c r="BA785" s="54"/>
      <c r="BB785" s="54"/>
      <c r="BC785" s="57"/>
      <c r="BD785" s="1"/>
      <c r="BE785" s="1"/>
      <c r="BF785" s="1"/>
      <c r="BG785" s="54"/>
      <c r="BH785" s="43"/>
      <c r="BI785"/>
      <c r="BJ785" s="13"/>
      <c r="BK785" s="1"/>
      <c r="BL785"/>
      <c r="BM785"/>
      <c r="BN785"/>
      <c r="DY785" s="43"/>
      <c r="DZ785"/>
      <c r="EA785" s="19"/>
      <c r="EB785" s="19"/>
      <c r="EC785" s="9"/>
      <c r="ED785" s="9"/>
      <c r="EE785" s="9"/>
      <c r="EF785" s="9"/>
      <c r="EG785" s="9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3"/>
      <c r="FJ785" s="13"/>
      <c r="FK785" s="13"/>
      <c r="FL785" s="13"/>
      <c r="FM785" s="13"/>
      <c r="FN785" s="13"/>
      <c r="FO785" s="13"/>
      <c r="FP785" s="13"/>
      <c r="FQ785" s="13"/>
      <c r="FR785" s="13"/>
      <c r="FS785" s="13"/>
      <c r="FT785" s="13"/>
      <c r="FU785" s="13"/>
      <c r="FV785" s="13"/>
      <c r="FW785" s="13"/>
      <c r="FX785" s="13"/>
      <c r="FY785" s="13"/>
      <c r="FZ785" s="13"/>
      <c r="GA785" s="13"/>
    </row>
    <row r="786" spans="1:183" s="52" customFormat="1" ht="13.2" x14ac:dyDescent="0.25">
      <c r="A786" s="2"/>
      <c r="B786" s="2"/>
      <c r="C786" s="9">
        <v>28</v>
      </c>
      <c r="D786" s="9">
        <v>36</v>
      </c>
      <c r="E786" s="9">
        <v>44</v>
      </c>
      <c r="F786" s="9">
        <v>71</v>
      </c>
      <c r="G786" s="9">
        <v>78</v>
      </c>
      <c r="H786" s="9">
        <v>88</v>
      </c>
      <c r="I786" s="43"/>
      <c r="J786" s="9">
        <v>88</v>
      </c>
      <c r="K786" s="43"/>
      <c r="L786" s="39">
        <v>44870</v>
      </c>
      <c r="M786" s="43"/>
      <c r="N786"/>
      <c r="O786"/>
      <c r="P786"/>
      <c r="Q786"/>
      <c r="R786"/>
      <c r="S786"/>
      <c r="T786"/>
      <c r="U786"/>
      <c r="V786"/>
      <c r="X786" s="43"/>
      <c r="Y786"/>
      <c r="Z786"/>
      <c r="AA786"/>
      <c r="AB786"/>
      <c r="AC786"/>
      <c r="AD786"/>
      <c r="AE786"/>
      <c r="AF786"/>
      <c r="AG786"/>
      <c r="AI786" s="148"/>
      <c r="AJ786" s="1"/>
      <c r="AK786" s="1"/>
      <c r="AL786" s="54"/>
      <c r="AM786" s="1"/>
      <c r="AN786" s="43"/>
      <c r="AO786" s="1"/>
      <c r="AP786" s="1"/>
      <c r="AQ786" s="19"/>
      <c r="AR786" s="54"/>
      <c r="AS786" s="43"/>
      <c r="AT786" s="1"/>
      <c r="AU786" s="1"/>
      <c r="AV786" s="1"/>
      <c r="AW786" s="54"/>
      <c r="AX786" s="57"/>
      <c r="AY786" s="54"/>
      <c r="AZ786" s="54"/>
      <c r="BA786" s="54"/>
      <c r="BB786" s="54"/>
      <c r="BC786" s="57"/>
      <c r="BD786" s="1"/>
      <c r="BE786" s="1"/>
      <c r="BF786" s="1"/>
      <c r="BG786" s="54"/>
      <c r="BH786" s="43"/>
      <c r="BI786"/>
      <c r="BJ786" s="13"/>
      <c r="BK786" s="1"/>
      <c r="BL786"/>
      <c r="BM786"/>
      <c r="BN786"/>
      <c r="DY786" s="43"/>
      <c r="DZ786"/>
      <c r="EA786" s="19"/>
      <c r="EB786" s="19"/>
      <c r="EC786" s="9"/>
      <c r="ED786" s="9"/>
      <c r="EE786" s="9"/>
      <c r="EF786" s="9"/>
      <c r="EG786" s="9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3"/>
      <c r="FD786" s="13"/>
      <c r="FE786" s="13"/>
      <c r="FF786" s="13"/>
      <c r="FG786" s="13"/>
      <c r="FH786" s="13"/>
      <c r="FI786" s="13"/>
      <c r="FJ786" s="13"/>
      <c r="FK786" s="13"/>
      <c r="FL786" s="13"/>
      <c r="FM786" s="13"/>
      <c r="FN786" s="13"/>
      <c r="FO786" s="13"/>
      <c r="FP786" s="13"/>
      <c r="FQ786" s="13"/>
      <c r="FR786" s="13"/>
      <c r="FS786" s="13"/>
      <c r="FT786" s="13"/>
      <c r="FU786" s="13"/>
      <c r="FV786" s="13"/>
      <c r="FW786" s="13"/>
      <c r="FX786" s="13"/>
      <c r="FY786" s="13"/>
      <c r="FZ786" s="13"/>
      <c r="GA786" s="13"/>
    </row>
    <row r="787" spans="1:183" s="52" customFormat="1" ht="13.2" x14ac:dyDescent="0.25">
      <c r="A787" s="2"/>
      <c r="B787" s="2"/>
      <c r="C787" s="9">
        <v>6</v>
      </c>
      <c r="D787" s="9">
        <v>22</v>
      </c>
      <c r="E787" s="9">
        <v>23</v>
      </c>
      <c r="F787" s="9">
        <v>40</v>
      </c>
      <c r="G787" s="9">
        <v>78</v>
      </c>
      <c r="H787" s="9">
        <v>79</v>
      </c>
      <c r="I787" s="43"/>
      <c r="J787" s="9">
        <v>79</v>
      </c>
      <c r="K787" s="43"/>
      <c r="L787" s="39">
        <v>44867</v>
      </c>
      <c r="M787" s="43"/>
      <c r="N787"/>
      <c r="O787"/>
      <c r="P787"/>
      <c r="Q787"/>
      <c r="R787"/>
      <c r="S787"/>
      <c r="T787"/>
      <c r="U787"/>
      <c r="V787"/>
      <c r="X787" s="43"/>
      <c r="Y787"/>
      <c r="Z787"/>
      <c r="AA787"/>
      <c r="AB787"/>
      <c r="AC787"/>
      <c r="AD787"/>
      <c r="AE787"/>
      <c r="AF787"/>
      <c r="AG787"/>
      <c r="AI787" s="148"/>
      <c r="AJ787" s="1"/>
      <c r="AK787" s="1"/>
      <c r="AL787" s="54"/>
      <c r="AM787" s="1"/>
      <c r="AN787" s="43"/>
      <c r="AO787" s="1"/>
      <c r="AP787" s="1"/>
      <c r="AQ787" s="19"/>
      <c r="AR787" s="54"/>
      <c r="AS787" s="43"/>
      <c r="AT787" s="1"/>
      <c r="AU787" s="1"/>
      <c r="AV787" s="1"/>
      <c r="AW787" s="54"/>
      <c r="AX787" s="57"/>
      <c r="AY787" s="54"/>
      <c r="AZ787" s="54"/>
      <c r="BA787" s="54"/>
      <c r="BB787" s="54"/>
      <c r="BC787" s="57"/>
      <c r="BD787" s="1"/>
      <c r="BE787" s="1"/>
      <c r="BF787" s="1"/>
      <c r="BG787" s="54"/>
      <c r="BH787" s="43"/>
      <c r="BI787"/>
      <c r="BJ787" s="13"/>
      <c r="BK787" s="1"/>
      <c r="BL787"/>
      <c r="BM787"/>
      <c r="BN787"/>
      <c r="DY787" s="43"/>
      <c r="DZ787"/>
      <c r="EA787" s="19"/>
      <c r="EB787" s="19"/>
      <c r="EC787" s="9"/>
      <c r="ED787" s="9"/>
      <c r="EE787" s="9"/>
      <c r="EF787" s="9"/>
      <c r="EG787" s="9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3"/>
      <c r="FD787" s="13"/>
      <c r="FE787" s="13"/>
      <c r="FF787" s="13"/>
      <c r="FG787" s="13"/>
      <c r="FH787" s="13"/>
      <c r="FI787" s="13"/>
      <c r="FJ787" s="13"/>
      <c r="FK787" s="13"/>
      <c r="FL787" s="13"/>
      <c r="FM787" s="13"/>
      <c r="FN787" s="13"/>
      <c r="FO787" s="13"/>
      <c r="FP787" s="13"/>
      <c r="FQ787" s="13"/>
      <c r="FR787" s="13"/>
      <c r="FS787" s="13"/>
      <c r="FT787" s="13"/>
      <c r="FU787" s="13"/>
      <c r="FV787" s="13"/>
      <c r="FW787" s="13"/>
      <c r="FX787" s="13"/>
      <c r="FY787" s="13"/>
      <c r="FZ787" s="13"/>
      <c r="GA787" s="13"/>
    </row>
    <row r="788" spans="1:183" s="52" customFormat="1" ht="13.2" x14ac:dyDescent="0.25">
      <c r="A788" s="2"/>
      <c r="B788" s="2"/>
      <c r="C788" s="9">
        <v>1</v>
      </c>
      <c r="D788" s="9">
        <v>4</v>
      </c>
      <c r="E788" s="9">
        <v>64</v>
      </c>
      <c r="F788" s="9">
        <v>67</v>
      </c>
      <c r="G788" s="9">
        <v>77</v>
      </c>
      <c r="H788" s="9">
        <v>88</v>
      </c>
      <c r="I788" s="43"/>
      <c r="J788" s="9">
        <v>88</v>
      </c>
      <c r="K788" s="43"/>
      <c r="L788" s="39">
        <v>44865</v>
      </c>
      <c r="M788" s="43"/>
      <c r="N788"/>
      <c r="O788"/>
      <c r="P788"/>
      <c r="Q788"/>
      <c r="R788"/>
      <c r="S788"/>
      <c r="T788"/>
      <c r="U788"/>
      <c r="V788"/>
      <c r="X788" s="43"/>
      <c r="Y788"/>
      <c r="Z788"/>
      <c r="AA788"/>
      <c r="AB788"/>
      <c r="AC788"/>
      <c r="AD788"/>
      <c r="AE788"/>
      <c r="AF788"/>
      <c r="AG788"/>
      <c r="AI788" s="148"/>
      <c r="AJ788" s="1"/>
      <c r="AK788" s="1"/>
      <c r="AL788" s="54"/>
      <c r="AM788" s="1"/>
      <c r="AN788" s="43"/>
      <c r="AO788" s="1"/>
      <c r="AP788" s="1"/>
      <c r="AQ788" s="19"/>
      <c r="AR788" s="54"/>
      <c r="AS788" s="43"/>
      <c r="AT788" s="1"/>
      <c r="AU788" s="1"/>
      <c r="AV788" s="1"/>
      <c r="AW788" s="54"/>
      <c r="AX788" s="57"/>
      <c r="AY788" s="54"/>
      <c r="AZ788" s="54"/>
      <c r="BA788" s="54"/>
      <c r="BB788" s="54"/>
      <c r="BC788" s="57"/>
      <c r="BD788" s="1"/>
      <c r="BE788" s="1"/>
      <c r="BF788" s="1"/>
      <c r="BG788" s="54"/>
      <c r="BH788" s="43"/>
      <c r="BI788"/>
      <c r="BJ788" s="13"/>
      <c r="BK788" s="1"/>
      <c r="BL788"/>
      <c r="BM788"/>
      <c r="BN788"/>
      <c r="DY788" s="43"/>
      <c r="DZ788"/>
      <c r="EA788" s="19"/>
      <c r="EB788" s="19"/>
      <c r="EC788" s="9"/>
      <c r="ED788" s="9"/>
      <c r="EE788" s="9"/>
      <c r="EF788" s="9"/>
      <c r="EG788" s="9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  <c r="FQ788" s="13"/>
      <c r="FR788" s="13"/>
      <c r="FS788" s="13"/>
      <c r="FT788" s="13"/>
      <c r="FU788" s="13"/>
      <c r="FV788" s="13"/>
      <c r="FW788" s="13"/>
      <c r="FX788" s="13"/>
      <c r="FY788" s="13"/>
      <c r="FZ788" s="13"/>
      <c r="GA788" s="13"/>
    </row>
    <row r="789" spans="1:183" s="52" customFormat="1" ht="13.2" x14ac:dyDescent="0.25">
      <c r="A789" s="2"/>
      <c r="B789" s="2"/>
      <c r="C789" s="9">
        <v>1</v>
      </c>
      <c r="D789" s="9">
        <v>3</v>
      </c>
      <c r="E789" s="9">
        <v>7</v>
      </c>
      <c r="F789" s="9">
        <v>17</v>
      </c>
      <c r="G789" s="9">
        <v>41</v>
      </c>
      <c r="H789" s="9">
        <v>46</v>
      </c>
      <c r="I789" s="43"/>
      <c r="J789" s="9">
        <v>46</v>
      </c>
      <c r="K789" s="43"/>
      <c r="L789" s="39">
        <v>44863</v>
      </c>
      <c r="M789" s="43"/>
      <c r="N789"/>
      <c r="O789"/>
      <c r="P789"/>
      <c r="Q789"/>
      <c r="R789"/>
      <c r="S789"/>
      <c r="T789"/>
      <c r="U789"/>
      <c r="V789"/>
      <c r="X789" s="43"/>
      <c r="Y789"/>
      <c r="Z789"/>
      <c r="AA789"/>
      <c r="AB789"/>
      <c r="AC789"/>
      <c r="AD789"/>
      <c r="AE789"/>
      <c r="AF789"/>
      <c r="AG789"/>
      <c r="AI789" s="148"/>
      <c r="AJ789" s="1"/>
      <c r="AK789" s="1"/>
      <c r="AL789" s="54"/>
      <c r="AM789" s="1"/>
      <c r="AN789" s="43"/>
      <c r="AO789" s="1"/>
      <c r="AP789" s="1"/>
      <c r="AQ789" s="19"/>
      <c r="AR789" s="54"/>
      <c r="AS789" s="43"/>
      <c r="AT789" s="1"/>
      <c r="AU789" s="1"/>
      <c r="AV789" s="1"/>
      <c r="AW789" s="54"/>
      <c r="AX789" s="57"/>
      <c r="AY789" s="54"/>
      <c r="AZ789" s="54"/>
      <c r="BA789" s="54"/>
      <c r="BB789" s="54"/>
      <c r="BC789" s="57"/>
      <c r="BD789" s="1"/>
      <c r="BE789" s="1"/>
      <c r="BF789" s="1"/>
      <c r="BG789" s="54"/>
      <c r="BH789" s="43"/>
      <c r="BI789"/>
      <c r="BJ789" s="13"/>
      <c r="BK789" s="1"/>
      <c r="BL789"/>
      <c r="BM789"/>
      <c r="BN789"/>
      <c r="DY789" s="43"/>
      <c r="DZ789"/>
      <c r="EA789" s="19"/>
      <c r="EB789" s="19"/>
      <c r="EC789" s="9"/>
      <c r="ED789" s="9"/>
      <c r="EE789" s="9"/>
      <c r="EF789" s="9"/>
      <c r="EG789" s="9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  <c r="FI789" s="13"/>
      <c r="FJ789" s="13"/>
      <c r="FK789" s="13"/>
      <c r="FL789" s="13"/>
      <c r="FM789" s="13"/>
      <c r="FN789" s="13"/>
      <c r="FO789" s="13"/>
      <c r="FP789" s="13"/>
      <c r="FQ789" s="13"/>
      <c r="FR789" s="13"/>
      <c r="FS789" s="13"/>
      <c r="FT789" s="13"/>
      <c r="FU789" s="13"/>
      <c r="FV789" s="13"/>
      <c r="FW789" s="13"/>
      <c r="FX789" s="13"/>
      <c r="FY789" s="13"/>
      <c r="FZ789" s="13"/>
      <c r="GA789" s="13"/>
    </row>
    <row r="790" spans="1:183" s="52" customFormat="1" ht="13.2" x14ac:dyDescent="0.25">
      <c r="A790" s="2"/>
      <c r="B790" s="2"/>
      <c r="C790" s="9">
        <v>29</v>
      </c>
      <c r="D790" s="9">
        <v>31</v>
      </c>
      <c r="E790" s="9">
        <v>40</v>
      </c>
      <c r="F790" s="9">
        <v>67</v>
      </c>
      <c r="G790" s="9">
        <v>81</v>
      </c>
      <c r="H790" s="9">
        <v>90</v>
      </c>
      <c r="I790" s="43"/>
      <c r="J790" s="9">
        <v>90</v>
      </c>
      <c r="K790" s="43"/>
      <c r="L790" s="39">
        <v>44860</v>
      </c>
      <c r="M790" s="43"/>
      <c r="N790"/>
      <c r="O790"/>
      <c r="P790"/>
      <c r="Q790"/>
      <c r="R790"/>
      <c r="S790"/>
      <c r="T790"/>
      <c r="U790"/>
      <c r="V790"/>
      <c r="X790" s="43"/>
      <c r="Y790"/>
      <c r="Z790"/>
      <c r="AA790"/>
      <c r="AB790"/>
      <c r="AC790"/>
      <c r="AD790"/>
      <c r="AE790"/>
      <c r="AF790"/>
      <c r="AG790"/>
      <c r="AI790" s="148"/>
      <c r="AJ790" s="1"/>
      <c r="AK790" s="1"/>
      <c r="AL790" s="54"/>
      <c r="AM790" s="1"/>
      <c r="AN790" s="43"/>
      <c r="AO790" s="1"/>
      <c r="AP790" s="1"/>
      <c r="AQ790" s="19"/>
      <c r="AR790" s="54"/>
      <c r="AS790" s="43"/>
      <c r="AT790" s="1"/>
      <c r="AU790" s="1"/>
      <c r="AV790" s="1"/>
      <c r="AW790" s="54"/>
      <c r="AX790" s="57"/>
      <c r="AY790" s="54"/>
      <c r="AZ790" s="54"/>
      <c r="BA790" s="54"/>
      <c r="BB790" s="54"/>
      <c r="BC790" s="57"/>
      <c r="BD790" s="1"/>
      <c r="BE790" s="1"/>
      <c r="BF790" s="1"/>
      <c r="BG790" s="54"/>
      <c r="BH790" s="43"/>
      <c r="BI790"/>
      <c r="BJ790" s="13"/>
      <c r="BK790" s="1"/>
      <c r="BL790"/>
      <c r="BM790"/>
      <c r="BN790"/>
      <c r="DY790" s="43"/>
      <c r="DZ790"/>
      <c r="EA790" s="19"/>
      <c r="EB790" s="19"/>
      <c r="EC790" s="9"/>
      <c r="ED790" s="9"/>
      <c r="EE790" s="9"/>
      <c r="EF790" s="9"/>
      <c r="EG790" s="9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3"/>
      <c r="FJ790" s="13"/>
      <c r="FK790" s="13"/>
      <c r="FL790" s="13"/>
      <c r="FM790" s="13"/>
      <c r="FN790" s="13"/>
      <c r="FO790" s="13"/>
      <c r="FP790" s="13"/>
      <c r="FQ790" s="13"/>
      <c r="FR790" s="13"/>
      <c r="FS790" s="13"/>
      <c r="FT790" s="13"/>
      <c r="FU790" s="13"/>
      <c r="FV790" s="13"/>
      <c r="FW790" s="13"/>
      <c r="FX790" s="13"/>
      <c r="FY790" s="13"/>
      <c r="FZ790" s="13"/>
      <c r="GA790" s="13"/>
    </row>
    <row r="791" spans="1:183" s="52" customFormat="1" ht="13.2" x14ac:dyDescent="0.25">
      <c r="A791" s="2"/>
      <c r="B791" s="2"/>
      <c r="C791" s="9">
        <v>13</v>
      </c>
      <c r="D791" s="9">
        <v>24</v>
      </c>
      <c r="E791" s="9">
        <v>50</v>
      </c>
      <c r="F791" s="9">
        <v>59</v>
      </c>
      <c r="G791" s="9">
        <v>65</v>
      </c>
      <c r="H791" s="9">
        <v>80</v>
      </c>
      <c r="I791" s="43"/>
      <c r="J791" s="9">
        <v>80</v>
      </c>
      <c r="K791" s="43"/>
      <c r="L791" s="39">
        <v>44858</v>
      </c>
      <c r="M791" s="43"/>
      <c r="N791"/>
      <c r="O791"/>
      <c r="P791"/>
      <c r="Q791"/>
      <c r="R791"/>
      <c r="S791"/>
      <c r="T791"/>
      <c r="U791"/>
      <c r="V791"/>
      <c r="X791" s="43"/>
      <c r="Y791"/>
      <c r="Z791"/>
      <c r="AA791"/>
      <c r="AB791"/>
      <c r="AC791"/>
      <c r="AD791"/>
      <c r="AE791"/>
      <c r="AF791"/>
      <c r="AG791"/>
      <c r="AI791" s="148"/>
      <c r="AJ791" s="1"/>
      <c r="AK791" s="1"/>
      <c r="AL791" s="54"/>
      <c r="AM791" s="1"/>
      <c r="AN791" s="43"/>
      <c r="AO791" s="1"/>
      <c r="AP791" s="1"/>
      <c r="AQ791" s="19"/>
      <c r="AR791" s="54"/>
      <c r="AS791" s="43"/>
      <c r="AT791" s="1"/>
      <c r="AU791" s="1"/>
      <c r="AV791" s="1"/>
      <c r="AW791" s="54"/>
      <c r="AX791" s="57"/>
      <c r="AY791" s="54"/>
      <c r="AZ791" s="54"/>
      <c r="BA791" s="54"/>
      <c r="BB791" s="54"/>
      <c r="BC791" s="57"/>
      <c r="BD791" s="1"/>
      <c r="BE791" s="1"/>
      <c r="BF791" s="1"/>
      <c r="BG791" s="54"/>
      <c r="BH791" s="43"/>
      <c r="BI791"/>
      <c r="BJ791" s="13"/>
      <c r="BK791" s="1"/>
      <c r="BL791"/>
      <c r="BM791"/>
      <c r="BN791"/>
      <c r="DY791" s="43"/>
      <c r="DZ791"/>
      <c r="EA791" s="19"/>
      <c r="EB791" s="19"/>
      <c r="EC791" s="9"/>
      <c r="ED791" s="9"/>
      <c r="EE791" s="9"/>
      <c r="EF791" s="9"/>
      <c r="EG791" s="9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  <c r="FI791" s="13"/>
      <c r="FJ791" s="13"/>
      <c r="FK791" s="13"/>
      <c r="FL791" s="13"/>
      <c r="FM791" s="13"/>
      <c r="FN791" s="13"/>
      <c r="FO791" s="13"/>
      <c r="FP791" s="13"/>
      <c r="FQ791" s="13"/>
      <c r="FR791" s="13"/>
      <c r="FS791" s="13"/>
      <c r="FT791" s="13"/>
      <c r="FU791" s="13"/>
      <c r="FV791" s="13"/>
      <c r="FW791" s="13"/>
      <c r="FX791" s="13"/>
      <c r="FY791" s="13"/>
      <c r="FZ791" s="13"/>
      <c r="GA791" s="13"/>
    </row>
    <row r="792" spans="1:183" s="52" customFormat="1" ht="13.2" x14ac:dyDescent="0.25">
      <c r="A792" s="2"/>
      <c r="B792" s="2"/>
      <c r="C792" s="9">
        <v>2</v>
      </c>
      <c r="D792" s="9">
        <v>4</v>
      </c>
      <c r="E792" s="9">
        <v>11</v>
      </c>
      <c r="F792" s="9">
        <v>36</v>
      </c>
      <c r="G792" s="9">
        <v>49</v>
      </c>
      <c r="H792" s="9">
        <v>69</v>
      </c>
      <c r="I792" s="43"/>
      <c r="J792" s="9">
        <v>69</v>
      </c>
      <c r="K792" s="43"/>
      <c r="L792" s="39">
        <v>44856</v>
      </c>
      <c r="M792" s="43"/>
      <c r="N792"/>
      <c r="O792"/>
      <c r="P792"/>
      <c r="Q792"/>
      <c r="R792"/>
      <c r="S792"/>
      <c r="T792"/>
      <c r="U792"/>
      <c r="V792"/>
      <c r="X792" s="43"/>
      <c r="Y792"/>
      <c r="Z792"/>
      <c r="AA792"/>
      <c r="AB792"/>
      <c r="AC792"/>
      <c r="AD792"/>
      <c r="AE792"/>
      <c r="AF792"/>
      <c r="AG792"/>
      <c r="AI792" s="148"/>
      <c r="AJ792" s="1"/>
      <c r="AK792" s="1"/>
      <c r="AL792" s="54"/>
      <c r="AM792" s="1"/>
      <c r="AN792" s="43"/>
      <c r="AO792" s="1"/>
      <c r="AP792" s="1"/>
      <c r="AQ792" s="19"/>
      <c r="AR792" s="54"/>
      <c r="AS792" s="43"/>
      <c r="AT792" s="1"/>
      <c r="AU792" s="1"/>
      <c r="AV792" s="1"/>
      <c r="AW792" s="54"/>
      <c r="AX792" s="57"/>
      <c r="AY792" s="54"/>
      <c r="AZ792" s="54"/>
      <c r="BA792" s="54"/>
      <c r="BB792" s="54"/>
      <c r="BC792" s="57"/>
      <c r="BD792" s="1"/>
      <c r="BE792" s="1"/>
      <c r="BF792" s="1"/>
      <c r="BG792" s="54"/>
      <c r="BH792" s="43"/>
      <c r="BI792"/>
      <c r="BJ792" s="13"/>
      <c r="BK792" s="1"/>
      <c r="BL792"/>
      <c r="BM792"/>
      <c r="BN792"/>
      <c r="DY792" s="43"/>
      <c r="DZ792"/>
      <c r="EA792" s="19"/>
      <c r="EB792" s="19"/>
      <c r="EC792" s="9"/>
      <c r="ED792" s="9"/>
      <c r="EE792" s="9"/>
      <c r="EF792" s="9"/>
      <c r="EG792" s="9"/>
      <c r="EH792" s="13"/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  <c r="FI792" s="13"/>
      <c r="FJ792" s="13"/>
      <c r="FK792" s="13"/>
      <c r="FL792" s="13"/>
      <c r="FM792" s="13"/>
      <c r="FN792" s="13"/>
      <c r="FO792" s="13"/>
      <c r="FP792" s="13"/>
      <c r="FQ792" s="13"/>
      <c r="FR792" s="13"/>
      <c r="FS792" s="13"/>
      <c r="FT792" s="13"/>
      <c r="FU792" s="13"/>
      <c r="FV792" s="13"/>
      <c r="FW792" s="13"/>
      <c r="FX792" s="13"/>
      <c r="FY792" s="13"/>
      <c r="FZ792" s="13"/>
      <c r="GA792" s="13"/>
    </row>
    <row r="793" spans="1:183" s="52" customFormat="1" ht="13.2" x14ac:dyDescent="0.25">
      <c r="A793" s="2"/>
      <c r="B793" s="2"/>
      <c r="C793" s="9">
        <v>23</v>
      </c>
      <c r="D793" s="9">
        <v>24</v>
      </c>
      <c r="E793" s="9">
        <v>29</v>
      </c>
      <c r="F793" s="9">
        <v>33</v>
      </c>
      <c r="G793" s="9">
        <v>60</v>
      </c>
      <c r="H793" s="9">
        <v>75</v>
      </c>
      <c r="I793" s="43"/>
      <c r="J793" s="9">
        <v>75</v>
      </c>
      <c r="K793" s="43"/>
      <c r="L793" s="39">
        <v>44853</v>
      </c>
      <c r="M793" s="43"/>
      <c r="N793"/>
      <c r="O793"/>
      <c r="P793"/>
      <c r="Q793"/>
      <c r="R793"/>
      <c r="S793"/>
      <c r="T793"/>
      <c r="U793"/>
      <c r="V793"/>
      <c r="X793" s="43"/>
      <c r="Y793"/>
      <c r="Z793"/>
      <c r="AA793"/>
      <c r="AB793"/>
      <c r="AC793"/>
      <c r="AD793"/>
      <c r="AE793"/>
      <c r="AF793"/>
      <c r="AG793"/>
      <c r="AI793" s="148"/>
      <c r="AJ793" s="1"/>
      <c r="AK793" s="1"/>
      <c r="AL793" s="54"/>
      <c r="AM793" s="1"/>
      <c r="AN793" s="43"/>
      <c r="AO793" s="1"/>
      <c r="AP793" s="1"/>
      <c r="AQ793" s="19"/>
      <c r="AR793" s="54"/>
      <c r="AS793" s="43"/>
      <c r="AT793" s="1"/>
      <c r="AU793" s="1"/>
      <c r="AV793" s="1"/>
      <c r="AW793" s="54"/>
      <c r="AX793" s="57"/>
      <c r="AY793" s="54"/>
      <c r="AZ793" s="54"/>
      <c r="BA793" s="54"/>
      <c r="BB793" s="54"/>
      <c r="BC793" s="57"/>
      <c r="BD793" s="1"/>
      <c r="BE793" s="1"/>
      <c r="BF793" s="1"/>
      <c r="BG793" s="54"/>
      <c r="BH793" s="43"/>
      <c r="BI793"/>
      <c r="BJ793" s="13"/>
      <c r="BK793" s="1"/>
      <c r="BL793"/>
      <c r="BM793"/>
      <c r="BN793"/>
      <c r="DY793" s="43"/>
      <c r="DZ793"/>
      <c r="EA793" s="19"/>
      <c r="EB793" s="19"/>
      <c r="EC793" s="9"/>
      <c r="ED793" s="9"/>
      <c r="EE793" s="9"/>
      <c r="EF793" s="9"/>
      <c r="EG793" s="9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  <c r="FI793" s="13"/>
      <c r="FJ793" s="13"/>
      <c r="FK793" s="13"/>
      <c r="FL793" s="13"/>
      <c r="FM793" s="13"/>
      <c r="FN793" s="13"/>
      <c r="FO793" s="13"/>
      <c r="FP793" s="13"/>
      <c r="FQ793" s="13"/>
      <c r="FR793" s="13"/>
      <c r="FS793" s="13"/>
      <c r="FT793" s="13"/>
      <c r="FU793" s="13"/>
      <c r="FV793" s="13"/>
      <c r="FW793" s="13"/>
      <c r="FX793" s="13"/>
      <c r="FY793" s="13"/>
      <c r="FZ793" s="13"/>
      <c r="GA793" s="13"/>
    </row>
    <row r="794" spans="1:183" s="52" customFormat="1" ht="13.2" x14ac:dyDescent="0.25">
      <c r="A794" s="2"/>
      <c r="B794" s="2"/>
      <c r="C794" s="9">
        <v>6</v>
      </c>
      <c r="D794" s="9">
        <v>31</v>
      </c>
      <c r="E794" s="9">
        <v>61</v>
      </c>
      <c r="F794" s="9">
        <v>68</v>
      </c>
      <c r="G794" s="9">
        <v>71</v>
      </c>
      <c r="H794" s="9">
        <v>78</v>
      </c>
      <c r="I794" s="43"/>
      <c r="J794" s="9">
        <v>78</v>
      </c>
      <c r="K794" s="43"/>
      <c r="L794" s="39">
        <v>44851</v>
      </c>
      <c r="M794" s="43"/>
      <c r="N794"/>
      <c r="O794"/>
      <c r="P794"/>
      <c r="Q794"/>
      <c r="R794"/>
      <c r="S794"/>
      <c r="T794"/>
      <c r="U794"/>
      <c r="V794"/>
      <c r="X794" s="43"/>
      <c r="Y794"/>
      <c r="Z794"/>
      <c r="AA794"/>
      <c r="AB794"/>
      <c r="AC794"/>
      <c r="AD794"/>
      <c r="AE794"/>
      <c r="AF794"/>
      <c r="AG794"/>
      <c r="AI794" s="148"/>
      <c r="AJ794" s="1"/>
      <c r="AK794" s="1"/>
      <c r="AL794" s="54"/>
      <c r="AM794" s="1"/>
      <c r="AN794" s="43"/>
      <c r="AO794" s="1"/>
      <c r="AP794" s="1"/>
      <c r="AQ794" s="19"/>
      <c r="AR794" s="54"/>
      <c r="AS794" s="43"/>
      <c r="AT794" s="1"/>
      <c r="AU794" s="1"/>
      <c r="AV794" s="1"/>
      <c r="AW794" s="54"/>
      <c r="AX794" s="57"/>
      <c r="AY794" s="54"/>
      <c r="AZ794" s="54"/>
      <c r="BA794" s="54"/>
      <c r="BB794" s="54"/>
      <c r="BC794" s="57"/>
      <c r="BD794" s="1"/>
      <c r="BE794" s="1"/>
      <c r="BF794" s="1"/>
      <c r="BG794" s="54"/>
      <c r="BH794" s="43"/>
      <c r="BI794"/>
      <c r="BJ794" s="13"/>
      <c r="BK794" s="1"/>
      <c r="BL794"/>
      <c r="BM794"/>
      <c r="BN794"/>
      <c r="DY794" s="43"/>
      <c r="DZ794"/>
      <c r="EA794" s="19"/>
      <c r="EB794" s="19"/>
      <c r="EC794" s="9"/>
      <c r="ED794" s="9"/>
      <c r="EE794" s="9"/>
      <c r="EF794" s="9"/>
      <c r="EG794" s="9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  <c r="FT794" s="13"/>
      <c r="FU794" s="13"/>
      <c r="FV794" s="13"/>
      <c r="FW794" s="13"/>
      <c r="FX794" s="13"/>
      <c r="FY794" s="13"/>
      <c r="FZ794" s="13"/>
      <c r="GA794" s="13"/>
    </row>
    <row r="795" spans="1:183" s="52" customFormat="1" ht="13.2" x14ac:dyDescent="0.25">
      <c r="A795" s="2"/>
      <c r="B795" s="2"/>
      <c r="C795" s="9">
        <v>13</v>
      </c>
      <c r="D795" s="9">
        <v>24</v>
      </c>
      <c r="E795" s="9">
        <v>27</v>
      </c>
      <c r="F795" s="9">
        <v>45</v>
      </c>
      <c r="G795" s="9">
        <v>65</v>
      </c>
      <c r="H795" s="9">
        <v>81</v>
      </c>
      <c r="I795" s="43"/>
      <c r="J795" s="9">
        <v>81</v>
      </c>
      <c r="K795" s="43"/>
      <c r="L795" s="39">
        <v>44849</v>
      </c>
      <c r="M795" s="43"/>
      <c r="N795"/>
      <c r="O795"/>
      <c r="P795"/>
      <c r="Q795"/>
      <c r="R795"/>
      <c r="S795"/>
      <c r="T795"/>
      <c r="U795"/>
      <c r="V795"/>
      <c r="X795" s="43"/>
      <c r="Y795"/>
      <c r="Z795"/>
      <c r="AA795"/>
      <c r="AB795"/>
      <c r="AC795"/>
      <c r="AD795"/>
      <c r="AE795"/>
      <c r="AF795"/>
      <c r="AG795"/>
      <c r="AI795" s="148"/>
      <c r="AJ795" s="1"/>
      <c r="AK795" s="1"/>
      <c r="AL795" s="54"/>
      <c r="AM795" s="1"/>
      <c r="AN795" s="43"/>
      <c r="AO795" s="1"/>
      <c r="AP795" s="1"/>
      <c r="AQ795" s="19"/>
      <c r="AR795" s="54"/>
      <c r="AS795" s="43"/>
      <c r="AT795" s="1"/>
      <c r="AU795" s="1"/>
      <c r="AV795" s="1"/>
      <c r="AW795" s="54"/>
      <c r="AX795" s="57"/>
      <c r="AY795" s="54"/>
      <c r="AZ795" s="54"/>
      <c r="BA795" s="54"/>
      <c r="BB795" s="54"/>
      <c r="BC795" s="57"/>
      <c r="BD795" s="1"/>
      <c r="BE795" s="1"/>
      <c r="BF795" s="1"/>
      <c r="BG795" s="54"/>
      <c r="BH795" s="43"/>
      <c r="BI795"/>
      <c r="BJ795" s="13"/>
      <c r="BK795" s="1"/>
      <c r="BL795"/>
      <c r="BM795"/>
      <c r="BN795"/>
      <c r="DY795" s="43"/>
      <c r="DZ795"/>
      <c r="EA795" s="19"/>
      <c r="EB795" s="19"/>
      <c r="EC795" s="9"/>
      <c r="ED795" s="9"/>
      <c r="EE795" s="9"/>
      <c r="EF795" s="9"/>
      <c r="EG795" s="9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  <c r="FI795" s="13"/>
      <c r="FJ795" s="13"/>
      <c r="FK795" s="13"/>
      <c r="FL795" s="13"/>
      <c r="FM795" s="13"/>
      <c r="FN795" s="13"/>
      <c r="FO795" s="13"/>
      <c r="FP795" s="13"/>
      <c r="FQ795" s="13"/>
      <c r="FR795" s="13"/>
      <c r="FS795" s="13"/>
      <c r="FT795" s="13"/>
      <c r="FU795" s="13"/>
      <c r="FV795" s="13"/>
      <c r="FW795" s="13"/>
      <c r="FX795" s="13"/>
      <c r="FY795" s="13"/>
      <c r="FZ795" s="13"/>
      <c r="GA795" s="13"/>
    </row>
    <row r="796" spans="1:183" s="52" customFormat="1" ht="13.2" x14ac:dyDescent="0.25">
      <c r="A796" s="2"/>
      <c r="B796" s="2"/>
      <c r="C796" s="9">
        <v>4</v>
      </c>
      <c r="D796" s="9">
        <v>15</v>
      </c>
      <c r="E796" s="9">
        <v>18</v>
      </c>
      <c r="F796" s="9">
        <v>46</v>
      </c>
      <c r="G796" s="9">
        <v>85</v>
      </c>
      <c r="H796" s="9">
        <v>90</v>
      </c>
      <c r="I796" s="43"/>
      <c r="J796" s="9">
        <v>90</v>
      </c>
      <c r="K796" s="43"/>
      <c r="L796" s="39">
        <v>44846</v>
      </c>
      <c r="M796" s="43"/>
      <c r="N796"/>
      <c r="O796"/>
      <c r="P796"/>
      <c r="Q796"/>
      <c r="R796"/>
      <c r="S796"/>
      <c r="T796"/>
      <c r="U796"/>
      <c r="V796"/>
      <c r="X796" s="43"/>
      <c r="Y796"/>
      <c r="Z796"/>
      <c r="AA796"/>
      <c r="AB796"/>
      <c r="AC796"/>
      <c r="AD796"/>
      <c r="AE796"/>
      <c r="AF796"/>
      <c r="AG796"/>
      <c r="AI796" s="148"/>
      <c r="AJ796" s="1"/>
      <c r="AK796" s="1"/>
      <c r="AL796" s="54"/>
      <c r="AM796" s="1"/>
      <c r="AN796" s="43"/>
      <c r="AO796" s="1"/>
      <c r="AP796" s="1"/>
      <c r="AQ796" s="19"/>
      <c r="AR796" s="54"/>
      <c r="AS796" s="43"/>
      <c r="AT796" s="1"/>
      <c r="AU796" s="1"/>
      <c r="AV796" s="1"/>
      <c r="AW796" s="54"/>
      <c r="AX796" s="57"/>
      <c r="AY796" s="54"/>
      <c r="AZ796" s="54"/>
      <c r="BA796" s="54"/>
      <c r="BB796" s="54"/>
      <c r="BC796" s="57"/>
      <c r="BD796" s="1"/>
      <c r="BE796" s="1"/>
      <c r="BF796" s="1"/>
      <c r="BG796" s="54"/>
      <c r="BH796" s="43"/>
      <c r="BI796"/>
      <c r="BJ796" s="13"/>
      <c r="BK796" s="1"/>
      <c r="BL796"/>
      <c r="BM796"/>
      <c r="BN796"/>
      <c r="DY796" s="43"/>
      <c r="DZ796"/>
      <c r="EA796" s="19"/>
      <c r="EB796" s="19"/>
      <c r="EC796" s="9"/>
      <c r="ED796" s="9"/>
      <c r="EE796" s="9"/>
      <c r="EF796" s="9"/>
      <c r="EG796" s="9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  <c r="FI796" s="13"/>
      <c r="FJ796" s="13"/>
      <c r="FK796" s="13"/>
      <c r="FL796" s="13"/>
      <c r="FM796" s="13"/>
      <c r="FN796" s="13"/>
      <c r="FO796" s="13"/>
      <c r="FP796" s="13"/>
      <c r="FQ796" s="13"/>
      <c r="FR796" s="13"/>
      <c r="FS796" s="13"/>
      <c r="FT796" s="13"/>
      <c r="FU796" s="13"/>
      <c r="FV796" s="13"/>
      <c r="FW796" s="13"/>
      <c r="FX796" s="13"/>
      <c r="FY796" s="13"/>
      <c r="FZ796" s="13"/>
      <c r="GA796" s="13"/>
    </row>
    <row r="797" spans="1:183" s="52" customFormat="1" ht="13.2" x14ac:dyDescent="0.25">
      <c r="A797" s="2"/>
      <c r="B797" s="2"/>
      <c r="C797" s="9">
        <v>14</v>
      </c>
      <c r="D797" s="9">
        <v>28</v>
      </c>
      <c r="E797" s="9">
        <v>46</v>
      </c>
      <c r="F797" s="9">
        <v>56</v>
      </c>
      <c r="G797" s="9">
        <v>57</v>
      </c>
      <c r="H797" s="9">
        <v>58</v>
      </c>
      <c r="I797" s="43"/>
      <c r="J797" s="9">
        <v>58</v>
      </c>
      <c r="K797" s="43"/>
      <c r="L797" s="39">
        <v>44844</v>
      </c>
      <c r="M797" s="43"/>
      <c r="N797"/>
      <c r="O797"/>
      <c r="P797"/>
      <c r="Q797"/>
      <c r="R797"/>
      <c r="S797"/>
      <c r="T797"/>
      <c r="U797"/>
      <c r="V797"/>
      <c r="X797" s="43"/>
      <c r="Y797"/>
      <c r="Z797"/>
      <c r="AA797"/>
      <c r="AB797"/>
      <c r="AC797"/>
      <c r="AD797"/>
      <c r="AE797"/>
      <c r="AF797"/>
      <c r="AG797"/>
      <c r="AI797" s="148"/>
      <c r="AJ797" s="1"/>
      <c r="AK797" s="1"/>
      <c r="AL797" s="54"/>
      <c r="AM797" s="1"/>
      <c r="AN797" s="43"/>
      <c r="AO797" s="1"/>
      <c r="AP797" s="1"/>
      <c r="AQ797" s="19"/>
      <c r="AR797" s="54"/>
      <c r="AS797" s="43"/>
      <c r="AT797" s="1"/>
      <c r="AU797" s="1"/>
      <c r="AV797" s="1"/>
      <c r="AW797" s="54"/>
      <c r="AX797" s="57"/>
      <c r="AY797" s="54"/>
      <c r="AZ797" s="54"/>
      <c r="BA797" s="54"/>
      <c r="BB797" s="54"/>
      <c r="BC797" s="57"/>
      <c r="BD797" s="1"/>
      <c r="BE797" s="1"/>
      <c r="BF797" s="1"/>
      <c r="BG797" s="54"/>
      <c r="BH797" s="43"/>
      <c r="BI797"/>
      <c r="BJ797" s="13"/>
      <c r="BK797" s="1"/>
      <c r="BL797"/>
      <c r="BM797"/>
      <c r="BN797"/>
      <c r="DY797" s="43"/>
      <c r="DZ797"/>
      <c r="EA797" s="19"/>
      <c r="EB797" s="19"/>
      <c r="EC797" s="9"/>
      <c r="ED797" s="9"/>
      <c r="EE797" s="9"/>
      <c r="EF797" s="9"/>
      <c r="EG797" s="9"/>
      <c r="EH797" s="13"/>
      <c r="EI797" s="13"/>
      <c r="EJ797" s="13"/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3"/>
      <c r="FD797" s="13"/>
      <c r="FE797" s="13"/>
      <c r="FF797" s="13"/>
      <c r="FG797" s="13"/>
      <c r="FH797" s="13"/>
      <c r="FI797" s="13"/>
      <c r="FJ797" s="13"/>
      <c r="FK797" s="13"/>
      <c r="FL797" s="13"/>
      <c r="FM797" s="13"/>
      <c r="FN797" s="13"/>
      <c r="FO797" s="13"/>
      <c r="FP797" s="13"/>
      <c r="FQ797" s="13"/>
      <c r="FR797" s="13"/>
      <c r="FS797" s="13"/>
      <c r="FT797" s="13"/>
      <c r="FU797" s="13"/>
      <c r="FV797" s="13"/>
      <c r="FW797" s="13"/>
      <c r="FX797" s="13"/>
      <c r="FY797" s="13"/>
      <c r="FZ797" s="13"/>
      <c r="GA797" s="13"/>
    </row>
    <row r="798" spans="1:183" s="52" customFormat="1" ht="13.2" x14ac:dyDescent="0.25">
      <c r="A798" s="2"/>
      <c r="B798" s="2"/>
      <c r="C798" s="9">
        <v>14</v>
      </c>
      <c r="D798" s="9">
        <v>16</v>
      </c>
      <c r="E798" s="9">
        <v>30</v>
      </c>
      <c r="F798" s="9">
        <v>52</v>
      </c>
      <c r="G798" s="9">
        <v>63</v>
      </c>
      <c r="H798" s="9">
        <v>72</v>
      </c>
      <c r="I798" s="43"/>
      <c r="J798" s="9">
        <v>72</v>
      </c>
      <c r="K798" s="43"/>
      <c r="L798" s="39">
        <v>44842</v>
      </c>
      <c r="M798" s="43"/>
      <c r="N798"/>
      <c r="O798"/>
      <c r="P798"/>
      <c r="Q798"/>
      <c r="R798"/>
      <c r="S798"/>
      <c r="T798"/>
      <c r="U798"/>
      <c r="V798"/>
      <c r="X798" s="43"/>
      <c r="Y798"/>
      <c r="Z798"/>
      <c r="AA798"/>
      <c r="AB798"/>
      <c r="AC798"/>
      <c r="AD798"/>
      <c r="AE798"/>
      <c r="AF798"/>
      <c r="AG798"/>
      <c r="AI798" s="148"/>
      <c r="AJ798" s="1"/>
      <c r="AK798" s="1"/>
      <c r="AL798" s="54"/>
      <c r="AM798" s="1"/>
      <c r="AN798" s="43"/>
      <c r="AO798" s="1"/>
      <c r="AP798" s="1"/>
      <c r="AQ798" s="19"/>
      <c r="AR798" s="54"/>
      <c r="AS798" s="43"/>
      <c r="AT798" s="1"/>
      <c r="AU798" s="1"/>
      <c r="AV798" s="1"/>
      <c r="AW798" s="54"/>
      <c r="AX798" s="57"/>
      <c r="AY798" s="54"/>
      <c r="AZ798" s="54"/>
      <c r="BA798" s="54"/>
      <c r="BB798" s="54"/>
      <c r="BC798" s="57"/>
      <c r="BD798" s="1"/>
      <c r="BE798" s="1"/>
      <c r="BF798" s="1"/>
      <c r="BG798" s="54"/>
      <c r="BH798" s="43"/>
      <c r="BI798"/>
      <c r="BJ798" s="13"/>
      <c r="BK798" s="1"/>
      <c r="BL798"/>
      <c r="BM798"/>
      <c r="BN798"/>
      <c r="DY798" s="43"/>
      <c r="DZ798"/>
      <c r="EA798" s="19"/>
      <c r="EB798" s="19"/>
      <c r="EC798" s="9"/>
      <c r="ED798" s="9"/>
      <c r="EE798" s="9"/>
      <c r="EF798" s="9"/>
      <c r="EG798" s="9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3"/>
      <c r="FD798" s="13"/>
      <c r="FE798" s="13"/>
      <c r="FF798" s="13"/>
      <c r="FG798" s="13"/>
      <c r="FH798" s="13"/>
      <c r="FI798" s="13"/>
      <c r="FJ798" s="13"/>
      <c r="FK798" s="13"/>
      <c r="FL798" s="13"/>
      <c r="FM798" s="13"/>
      <c r="FN798" s="13"/>
      <c r="FO798" s="13"/>
      <c r="FP798" s="13"/>
      <c r="FQ798" s="13"/>
      <c r="FR798" s="13"/>
      <c r="FS798" s="13"/>
      <c r="FT798" s="13"/>
      <c r="FU798" s="13"/>
      <c r="FV798" s="13"/>
      <c r="FW798" s="13"/>
      <c r="FX798" s="13"/>
      <c r="FY798" s="13"/>
      <c r="FZ798" s="13"/>
      <c r="GA798" s="13"/>
    </row>
    <row r="799" spans="1:183" s="52" customFormat="1" ht="13.2" x14ac:dyDescent="0.25">
      <c r="A799" s="2"/>
      <c r="B799" s="2"/>
      <c r="C799" s="9">
        <v>1</v>
      </c>
      <c r="D799" s="9">
        <v>3</v>
      </c>
      <c r="E799" s="9">
        <v>25</v>
      </c>
      <c r="F799" s="9">
        <v>30</v>
      </c>
      <c r="G799" s="9">
        <v>62</v>
      </c>
      <c r="H799" s="9">
        <v>75</v>
      </c>
      <c r="I799" s="43"/>
      <c r="J799" s="9">
        <v>75</v>
      </c>
      <c r="K799" s="43"/>
      <c r="L799" s="39">
        <v>44839</v>
      </c>
      <c r="M799" s="43"/>
      <c r="N799"/>
      <c r="O799"/>
      <c r="P799"/>
      <c r="Q799"/>
      <c r="R799"/>
      <c r="S799"/>
      <c r="T799"/>
      <c r="U799"/>
      <c r="V799"/>
      <c r="X799" s="43"/>
      <c r="Y799"/>
      <c r="Z799"/>
      <c r="AA799"/>
      <c r="AB799"/>
      <c r="AC799"/>
      <c r="AD799"/>
      <c r="AE799"/>
      <c r="AF799"/>
      <c r="AG799"/>
      <c r="AI799" s="148"/>
      <c r="AJ799" s="1"/>
      <c r="AK799" s="1"/>
      <c r="AL799" s="54"/>
      <c r="AM799" s="1"/>
      <c r="AN799" s="43"/>
      <c r="AO799" s="1"/>
      <c r="AP799" s="1"/>
      <c r="AQ799" s="19"/>
      <c r="AR799" s="54"/>
      <c r="AS799" s="43"/>
      <c r="AT799" s="1"/>
      <c r="AU799" s="1"/>
      <c r="AV799" s="1"/>
      <c r="AW799" s="54"/>
      <c r="AX799" s="57"/>
      <c r="AY799" s="54"/>
      <c r="AZ799" s="54"/>
      <c r="BA799" s="54"/>
      <c r="BB799" s="54"/>
      <c r="BC799" s="57"/>
      <c r="BD799" s="1"/>
      <c r="BE799" s="1"/>
      <c r="BF799" s="1"/>
      <c r="BG799" s="54"/>
      <c r="BH799" s="43"/>
      <c r="BI799"/>
      <c r="BJ799" s="13"/>
      <c r="BK799" s="1"/>
      <c r="BL799"/>
      <c r="BM799"/>
      <c r="BN799"/>
      <c r="DY799" s="43"/>
      <c r="DZ799"/>
      <c r="EA799" s="19"/>
      <c r="EB799" s="19"/>
      <c r="EC799" s="9"/>
      <c r="ED799" s="9"/>
      <c r="EE799" s="9"/>
      <c r="EF799" s="9"/>
      <c r="EG799" s="9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  <c r="FI799" s="13"/>
      <c r="FJ799" s="13"/>
      <c r="FK799" s="13"/>
      <c r="FL799" s="13"/>
      <c r="FM799" s="13"/>
      <c r="FN799" s="13"/>
      <c r="FO799" s="13"/>
      <c r="FP799" s="13"/>
      <c r="FQ799" s="13"/>
      <c r="FR799" s="13"/>
      <c r="FS799" s="13"/>
      <c r="FT799" s="13"/>
      <c r="FU799" s="13"/>
      <c r="FV799" s="13"/>
      <c r="FW799" s="13"/>
      <c r="FX799" s="13"/>
      <c r="FY799" s="13"/>
      <c r="FZ799" s="13"/>
      <c r="GA799" s="13"/>
    </row>
    <row r="800" spans="1:183" s="52" customFormat="1" ht="13.2" x14ac:dyDescent="0.25">
      <c r="A800" s="2"/>
      <c r="B800" s="2"/>
      <c r="C800" s="9">
        <v>21</v>
      </c>
      <c r="D800" s="9">
        <v>25</v>
      </c>
      <c r="E800" s="9">
        <v>35</v>
      </c>
      <c r="F800" s="9">
        <v>65</v>
      </c>
      <c r="G800" s="9">
        <v>78</v>
      </c>
      <c r="H800" s="9">
        <v>90</v>
      </c>
      <c r="I800" s="43"/>
      <c r="J800" s="9">
        <v>90</v>
      </c>
      <c r="K800" s="43"/>
      <c r="L800" s="39">
        <v>44837</v>
      </c>
      <c r="M800" s="43"/>
      <c r="N800"/>
      <c r="O800"/>
      <c r="P800"/>
      <c r="Q800"/>
      <c r="R800"/>
      <c r="S800"/>
      <c r="T800"/>
      <c r="U800"/>
      <c r="V800"/>
      <c r="X800" s="43"/>
      <c r="Y800"/>
      <c r="Z800"/>
      <c r="AA800"/>
      <c r="AB800"/>
      <c r="AC800"/>
      <c r="AD800"/>
      <c r="AE800"/>
      <c r="AF800"/>
      <c r="AG800"/>
      <c r="AI800" s="148"/>
      <c r="AJ800" s="1"/>
      <c r="AK800" s="1"/>
      <c r="AL800" s="54"/>
      <c r="AM800" s="1"/>
      <c r="AN800" s="43"/>
      <c r="AO800" s="1"/>
      <c r="AP800" s="1"/>
      <c r="AQ800" s="19"/>
      <c r="AR800" s="54"/>
      <c r="AS800" s="43"/>
      <c r="AT800" s="1"/>
      <c r="AU800" s="1"/>
      <c r="AV800" s="1"/>
      <c r="AW800" s="54"/>
      <c r="AX800" s="57"/>
      <c r="AY800" s="54"/>
      <c r="AZ800" s="54"/>
      <c r="BA800" s="54"/>
      <c r="BB800" s="54"/>
      <c r="BC800" s="57"/>
      <c r="BD800" s="1"/>
      <c r="BE800" s="1"/>
      <c r="BF800" s="1"/>
      <c r="BG800" s="54"/>
      <c r="BH800" s="43"/>
      <c r="BI800"/>
      <c r="BJ800" s="13"/>
      <c r="BK800" s="1"/>
      <c r="BL800"/>
      <c r="BM800"/>
      <c r="BN800"/>
      <c r="DY800" s="43"/>
      <c r="DZ800"/>
      <c r="EA800" s="19"/>
      <c r="EB800" s="19"/>
      <c r="EC800" s="9"/>
      <c r="ED800" s="9"/>
      <c r="EE800" s="9"/>
      <c r="EF800" s="9"/>
      <c r="EG800" s="9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3"/>
      <c r="FJ800" s="13"/>
      <c r="FK800" s="13"/>
      <c r="FL800" s="13"/>
      <c r="FM800" s="13"/>
      <c r="FN800" s="13"/>
      <c r="FO800" s="13"/>
      <c r="FP800" s="13"/>
      <c r="FQ800" s="13"/>
      <c r="FR800" s="13"/>
      <c r="FS800" s="13"/>
      <c r="FT800" s="13"/>
      <c r="FU800" s="13"/>
      <c r="FV800" s="13"/>
      <c r="FW800" s="13"/>
      <c r="FX800" s="13"/>
      <c r="FY800" s="13"/>
      <c r="FZ800" s="13"/>
      <c r="GA800" s="13"/>
    </row>
    <row r="801" spans="1:183" s="52" customFormat="1" ht="13.2" x14ac:dyDescent="0.25">
      <c r="A801" s="2"/>
      <c r="B801" s="2"/>
      <c r="C801" s="9">
        <v>22</v>
      </c>
      <c r="D801" s="9">
        <v>28</v>
      </c>
      <c r="E801" s="9">
        <v>43</v>
      </c>
      <c r="F801" s="9">
        <v>44</v>
      </c>
      <c r="G801" s="9">
        <v>45</v>
      </c>
      <c r="H801" s="9">
        <v>46</v>
      </c>
      <c r="I801" s="43"/>
      <c r="J801" s="9">
        <v>46</v>
      </c>
      <c r="K801" s="43"/>
      <c r="L801" s="39">
        <v>44835</v>
      </c>
      <c r="M801" s="43"/>
      <c r="N801"/>
      <c r="O801"/>
      <c r="P801"/>
      <c r="Q801"/>
      <c r="R801"/>
      <c r="S801"/>
      <c r="T801"/>
      <c r="U801"/>
      <c r="V801"/>
      <c r="X801" s="43"/>
      <c r="Y801"/>
      <c r="Z801"/>
      <c r="AA801"/>
      <c r="AB801"/>
      <c r="AC801"/>
      <c r="AD801"/>
      <c r="AE801"/>
      <c r="AF801"/>
      <c r="AG801"/>
      <c r="AI801" s="148"/>
      <c r="AJ801" s="1"/>
      <c r="AK801" s="1"/>
      <c r="AL801" s="54"/>
      <c r="AM801" s="1"/>
      <c r="AN801" s="43"/>
      <c r="AO801" s="1"/>
      <c r="AP801" s="1"/>
      <c r="AQ801" s="19"/>
      <c r="AR801" s="54"/>
      <c r="AS801" s="43"/>
      <c r="AT801" s="1"/>
      <c r="AU801" s="1"/>
      <c r="AV801" s="1"/>
      <c r="AW801" s="54"/>
      <c r="AX801" s="57"/>
      <c r="AY801" s="54"/>
      <c r="AZ801" s="54"/>
      <c r="BA801" s="54"/>
      <c r="BB801" s="54"/>
      <c r="BC801" s="57"/>
      <c r="BD801" s="1"/>
      <c r="BE801" s="1"/>
      <c r="BF801" s="1"/>
      <c r="BG801" s="54"/>
      <c r="BH801" s="43"/>
      <c r="BI801"/>
      <c r="BJ801" s="13"/>
      <c r="BK801" s="1"/>
      <c r="BL801"/>
      <c r="BM801"/>
      <c r="BN801"/>
      <c r="DY801" s="43"/>
      <c r="DZ801"/>
      <c r="EA801" s="19"/>
      <c r="EB801" s="19"/>
      <c r="EC801" s="9"/>
      <c r="ED801" s="9"/>
      <c r="EE801" s="9"/>
      <c r="EF801" s="9"/>
      <c r="EG801" s="9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  <c r="FI801" s="13"/>
      <c r="FJ801" s="13"/>
      <c r="FK801" s="13"/>
      <c r="FL801" s="13"/>
      <c r="FM801" s="13"/>
      <c r="FN801" s="13"/>
      <c r="FO801" s="13"/>
      <c r="FP801" s="13"/>
      <c r="FQ801" s="13"/>
      <c r="FR801" s="13"/>
      <c r="FS801" s="13"/>
      <c r="FT801" s="13"/>
      <c r="FU801" s="13"/>
      <c r="FV801" s="13"/>
      <c r="FW801" s="13"/>
      <c r="FX801" s="13"/>
      <c r="FY801" s="13"/>
      <c r="FZ801" s="13"/>
      <c r="GA801" s="13"/>
    </row>
    <row r="802" spans="1:183" s="52" customFormat="1" ht="13.2" x14ac:dyDescent="0.25">
      <c r="A802" s="2"/>
      <c r="B802" s="2"/>
      <c r="C802" s="9">
        <v>40</v>
      </c>
      <c r="D802" s="9">
        <v>44</v>
      </c>
      <c r="E802" s="9">
        <v>66</v>
      </c>
      <c r="F802" s="9">
        <v>82</v>
      </c>
      <c r="G802" s="9">
        <v>84</v>
      </c>
      <c r="H802" s="9">
        <v>87</v>
      </c>
      <c r="I802" s="43"/>
      <c r="J802" s="9">
        <v>87</v>
      </c>
      <c r="K802" s="43"/>
      <c r="L802" s="39">
        <v>44830</v>
      </c>
      <c r="M802" s="43"/>
      <c r="N802"/>
      <c r="O802"/>
      <c r="P802"/>
      <c r="Q802"/>
      <c r="R802"/>
      <c r="S802"/>
      <c r="T802"/>
      <c r="U802"/>
      <c r="V802"/>
      <c r="X802" s="43"/>
      <c r="Y802"/>
      <c r="Z802"/>
      <c r="AA802"/>
      <c r="AB802"/>
      <c r="AC802"/>
      <c r="AD802"/>
      <c r="AE802"/>
      <c r="AF802"/>
      <c r="AG802"/>
      <c r="AI802" s="148"/>
      <c r="AJ802" s="1"/>
      <c r="AK802" s="1"/>
      <c r="AL802" s="54"/>
      <c r="AM802" s="1"/>
      <c r="AN802" s="43"/>
      <c r="AO802" s="1"/>
      <c r="AP802" s="1"/>
      <c r="AQ802" s="19"/>
      <c r="AR802" s="54"/>
      <c r="AS802" s="43"/>
      <c r="AT802" s="1"/>
      <c r="AU802" s="1"/>
      <c r="AV802" s="1"/>
      <c r="AW802" s="54"/>
      <c r="AX802" s="57"/>
      <c r="AY802" s="54"/>
      <c r="AZ802" s="54"/>
      <c r="BA802" s="54"/>
      <c r="BB802" s="54"/>
      <c r="BC802" s="57"/>
      <c r="BD802" s="1"/>
      <c r="BE802" s="1"/>
      <c r="BF802" s="1"/>
      <c r="BG802" s="54"/>
      <c r="BH802" s="43"/>
      <c r="BI802"/>
      <c r="BJ802" s="13"/>
      <c r="BK802" s="1"/>
      <c r="BL802"/>
      <c r="BM802"/>
      <c r="BN802"/>
      <c r="DY802" s="43"/>
      <c r="DZ802"/>
      <c r="EA802" s="19"/>
      <c r="EB802" s="19"/>
      <c r="EC802" s="9"/>
      <c r="ED802" s="9"/>
      <c r="EE802" s="9"/>
      <c r="EF802" s="9"/>
      <c r="EG802" s="9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3"/>
      <c r="FJ802" s="13"/>
      <c r="FK802" s="13"/>
      <c r="FL802" s="13"/>
      <c r="FM802" s="13"/>
      <c r="FN802" s="13"/>
      <c r="FO802" s="13"/>
      <c r="FP802" s="13"/>
      <c r="FQ802" s="13"/>
      <c r="FR802" s="13"/>
      <c r="FS802" s="13"/>
      <c r="FT802" s="13"/>
      <c r="FU802" s="13"/>
      <c r="FV802" s="13"/>
      <c r="FW802" s="13"/>
      <c r="FX802" s="13"/>
      <c r="FY802" s="13"/>
      <c r="FZ802" s="13"/>
      <c r="GA802" s="13"/>
    </row>
    <row r="803" spans="1:183" s="52" customFormat="1" ht="13.2" x14ac:dyDescent="0.25">
      <c r="A803" s="2"/>
      <c r="B803" s="2"/>
      <c r="C803" s="9">
        <v>2</v>
      </c>
      <c r="D803" s="9">
        <v>7</v>
      </c>
      <c r="E803" s="9">
        <v>15</v>
      </c>
      <c r="F803" s="9">
        <v>20</v>
      </c>
      <c r="G803" s="9">
        <v>21</v>
      </c>
      <c r="H803" s="9">
        <v>43</v>
      </c>
      <c r="I803" s="43"/>
      <c r="J803" s="9">
        <v>43</v>
      </c>
      <c r="K803" s="43"/>
      <c r="L803" s="39">
        <v>44828</v>
      </c>
      <c r="M803" s="43"/>
      <c r="N803"/>
      <c r="O803"/>
      <c r="P803"/>
      <c r="Q803"/>
      <c r="R803"/>
      <c r="S803"/>
      <c r="T803"/>
      <c r="U803"/>
      <c r="V803"/>
      <c r="X803" s="43"/>
      <c r="Y803"/>
      <c r="Z803"/>
      <c r="AA803"/>
      <c r="AB803"/>
      <c r="AC803"/>
      <c r="AD803"/>
      <c r="AE803"/>
      <c r="AF803"/>
      <c r="AG803"/>
      <c r="AI803" s="148"/>
      <c r="AJ803" s="1"/>
      <c r="AK803" s="1"/>
      <c r="AL803" s="54"/>
      <c r="AM803" s="1"/>
      <c r="AN803" s="43"/>
      <c r="AO803" s="1"/>
      <c r="AP803" s="1"/>
      <c r="AQ803" s="19"/>
      <c r="AR803" s="54"/>
      <c r="AS803" s="43"/>
      <c r="AT803" s="1"/>
      <c r="AU803" s="1"/>
      <c r="AV803" s="1"/>
      <c r="AW803" s="54"/>
      <c r="AX803" s="57"/>
      <c r="AY803" s="54"/>
      <c r="AZ803" s="54"/>
      <c r="BA803" s="54"/>
      <c r="BB803" s="54"/>
      <c r="BC803" s="57"/>
      <c r="BD803" s="1"/>
      <c r="BE803" s="1"/>
      <c r="BF803" s="1"/>
      <c r="BG803" s="54"/>
      <c r="BH803" s="43"/>
      <c r="BI803"/>
      <c r="BJ803" s="13"/>
      <c r="BK803" s="1"/>
      <c r="BL803"/>
      <c r="BM803"/>
      <c r="BN803"/>
      <c r="DY803" s="43"/>
      <c r="DZ803"/>
      <c r="EA803" s="19"/>
      <c r="EB803" s="19"/>
      <c r="EC803" s="9"/>
      <c r="ED803" s="9"/>
      <c r="EE803" s="9"/>
      <c r="EF803" s="9"/>
      <c r="EG803" s="9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3"/>
      <c r="FJ803" s="13"/>
      <c r="FK803" s="13"/>
      <c r="FL803" s="13"/>
      <c r="FM803" s="13"/>
      <c r="FN803" s="13"/>
      <c r="FO803" s="13"/>
      <c r="FP803" s="13"/>
      <c r="FQ803" s="13"/>
      <c r="FR803" s="13"/>
      <c r="FS803" s="13"/>
      <c r="FT803" s="13"/>
      <c r="FU803" s="13"/>
      <c r="FV803" s="13"/>
      <c r="FW803" s="13"/>
      <c r="FX803" s="13"/>
      <c r="FY803" s="13"/>
      <c r="FZ803" s="13"/>
      <c r="GA803" s="13"/>
    </row>
    <row r="804" spans="1:183" s="52" customFormat="1" ht="13.2" x14ac:dyDescent="0.25">
      <c r="A804" s="2"/>
      <c r="B804" s="2"/>
      <c r="C804" s="9">
        <v>1</v>
      </c>
      <c r="D804" s="9">
        <v>3</v>
      </c>
      <c r="E804" s="9">
        <v>41</v>
      </c>
      <c r="F804" s="9">
        <v>43</v>
      </c>
      <c r="G804" s="9">
        <v>49</v>
      </c>
      <c r="H804" s="9">
        <v>86</v>
      </c>
      <c r="I804" s="43"/>
      <c r="J804" s="9">
        <v>86</v>
      </c>
      <c r="K804" s="43"/>
      <c r="L804" s="39">
        <v>44825</v>
      </c>
      <c r="M804" s="43"/>
      <c r="N804"/>
      <c r="O804"/>
      <c r="P804"/>
      <c r="Q804"/>
      <c r="R804"/>
      <c r="S804"/>
      <c r="T804"/>
      <c r="U804"/>
      <c r="V804"/>
      <c r="X804" s="43"/>
      <c r="Y804"/>
      <c r="Z804"/>
      <c r="AA804"/>
      <c r="AB804"/>
      <c r="AC804"/>
      <c r="AD804"/>
      <c r="AE804"/>
      <c r="AF804"/>
      <c r="AG804"/>
      <c r="AI804" s="148"/>
      <c r="AJ804" s="1"/>
      <c r="AK804" s="1"/>
      <c r="AL804" s="54"/>
      <c r="AM804" s="1"/>
      <c r="AN804" s="43"/>
      <c r="AO804" s="1"/>
      <c r="AP804" s="1"/>
      <c r="AQ804" s="19"/>
      <c r="AR804" s="54"/>
      <c r="AS804" s="43"/>
      <c r="AT804" s="1"/>
      <c r="AU804" s="1"/>
      <c r="AV804" s="1"/>
      <c r="AW804" s="54"/>
      <c r="AX804" s="57"/>
      <c r="AY804" s="54"/>
      <c r="AZ804" s="54"/>
      <c r="BA804" s="54"/>
      <c r="BB804" s="54"/>
      <c r="BC804" s="57"/>
      <c r="BD804" s="1"/>
      <c r="BE804" s="1"/>
      <c r="BF804" s="1"/>
      <c r="BG804" s="54"/>
      <c r="BH804" s="43"/>
      <c r="BI804"/>
      <c r="BJ804" s="13"/>
      <c r="BK804" s="1"/>
      <c r="BL804"/>
      <c r="BM804"/>
      <c r="BN804"/>
      <c r="DY804" s="43"/>
      <c r="DZ804"/>
      <c r="EA804" s="19"/>
      <c r="EB804" s="19"/>
      <c r="EC804" s="9"/>
      <c r="ED804" s="9"/>
      <c r="EE804" s="9"/>
      <c r="EF804" s="9"/>
      <c r="EG804" s="9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3"/>
      <c r="FJ804" s="13"/>
      <c r="FK804" s="13"/>
      <c r="FL804" s="13"/>
      <c r="FM804" s="13"/>
      <c r="FN804" s="13"/>
      <c r="FO804" s="13"/>
      <c r="FP804" s="13"/>
      <c r="FQ804" s="13"/>
      <c r="FR804" s="13"/>
      <c r="FS804" s="13"/>
      <c r="FT804" s="13"/>
      <c r="FU804" s="13"/>
      <c r="FV804" s="13"/>
      <c r="FW804" s="13"/>
      <c r="FX804" s="13"/>
      <c r="FY804" s="13"/>
      <c r="FZ804" s="13"/>
      <c r="GA804" s="13"/>
    </row>
    <row r="805" spans="1:183" s="52" customFormat="1" ht="13.2" x14ac:dyDescent="0.25">
      <c r="A805" s="2"/>
      <c r="B805" s="2"/>
      <c r="C805" s="9">
        <v>15</v>
      </c>
      <c r="D805" s="9">
        <v>23</v>
      </c>
      <c r="E805" s="9">
        <v>35</v>
      </c>
      <c r="F805" s="9">
        <v>39</v>
      </c>
      <c r="G805" s="9">
        <v>56</v>
      </c>
      <c r="H805" s="9">
        <v>64</v>
      </c>
      <c r="I805" s="43"/>
      <c r="J805" s="9">
        <v>64</v>
      </c>
      <c r="K805" s="43"/>
      <c r="L805" s="39">
        <v>44823</v>
      </c>
      <c r="M805" s="43"/>
      <c r="N805"/>
      <c r="O805"/>
      <c r="P805"/>
      <c r="Q805"/>
      <c r="R805"/>
      <c r="S805"/>
      <c r="T805"/>
      <c r="U805"/>
      <c r="V805"/>
      <c r="X805" s="43"/>
      <c r="Y805"/>
      <c r="Z805"/>
      <c r="AA805"/>
      <c r="AB805"/>
      <c r="AC805"/>
      <c r="AD805"/>
      <c r="AE805"/>
      <c r="AF805"/>
      <c r="AG805"/>
      <c r="AI805" s="148"/>
      <c r="AJ805" s="1"/>
      <c r="AK805" s="1"/>
      <c r="AL805" s="54"/>
      <c r="AM805" s="1"/>
      <c r="AN805" s="43"/>
      <c r="AO805" s="1"/>
      <c r="AP805" s="1"/>
      <c r="AQ805" s="19"/>
      <c r="AR805" s="54"/>
      <c r="AS805" s="43"/>
      <c r="AT805" s="1"/>
      <c r="AU805" s="1"/>
      <c r="AV805" s="1"/>
      <c r="AW805" s="54"/>
      <c r="AX805" s="57"/>
      <c r="AY805" s="54"/>
      <c r="AZ805" s="54"/>
      <c r="BA805" s="54"/>
      <c r="BB805" s="54"/>
      <c r="BC805" s="57"/>
      <c r="BD805" s="1"/>
      <c r="BE805" s="1"/>
      <c r="BF805" s="1"/>
      <c r="BG805" s="54"/>
      <c r="BH805" s="43"/>
      <c r="BI805"/>
      <c r="BJ805" s="13"/>
      <c r="BK805" s="1"/>
      <c r="BL805"/>
      <c r="BM805"/>
      <c r="BN805"/>
      <c r="DY805" s="43"/>
      <c r="DZ805"/>
      <c r="EA805" s="19"/>
      <c r="EB805" s="19"/>
      <c r="EC805" s="9"/>
      <c r="ED805" s="9"/>
      <c r="EE805" s="9"/>
      <c r="EF805" s="9"/>
      <c r="EG805" s="9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3"/>
      <c r="FJ805" s="13"/>
      <c r="FK805" s="13"/>
      <c r="FL805" s="13"/>
      <c r="FM805" s="13"/>
      <c r="FN805" s="13"/>
      <c r="FO805" s="13"/>
      <c r="FP805" s="13"/>
      <c r="FQ805" s="13"/>
      <c r="FR805" s="13"/>
      <c r="FS805" s="13"/>
      <c r="FT805" s="13"/>
      <c r="FU805" s="13"/>
      <c r="FV805" s="13"/>
      <c r="FW805" s="13"/>
      <c r="FX805" s="13"/>
      <c r="FY805" s="13"/>
      <c r="FZ805" s="13"/>
      <c r="GA805" s="13"/>
    </row>
    <row r="806" spans="1:183" s="52" customFormat="1" ht="13.2" x14ac:dyDescent="0.25">
      <c r="A806" s="2"/>
      <c r="B806" s="2"/>
      <c r="C806" s="9">
        <v>55</v>
      </c>
      <c r="D806" s="9">
        <v>56</v>
      </c>
      <c r="E806" s="9">
        <v>60</v>
      </c>
      <c r="F806" s="9">
        <v>66</v>
      </c>
      <c r="G806" s="9">
        <v>79</v>
      </c>
      <c r="H806" s="9">
        <v>81</v>
      </c>
      <c r="I806" s="43"/>
      <c r="J806" s="9">
        <v>81</v>
      </c>
      <c r="K806" s="43"/>
      <c r="L806" s="39">
        <v>44821</v>
      </c>
      <c r="M806" s="43"/>
      <c r="N806"/>
      <c r="O806"/>
      <c r="P806"/>
      <c r="Q806"/>
      <c r="R806"/>
      <c r="S806"/>
      <c r="T806"/>
      <c r="U806"/>
      <c r="V806"/>
      <c r="X806" s="43"/>
      <c r="Y806"/>
      <c r="Z806"/>
      <c r="AA806"/>
      <c r="AB806"/>
      <c r="AC806"/>
      <c r="AD806"/>
      <c r="AE806"/>
      <c r="AF806"/>
      <c r="AG806"/>
      <c r="AI806" s="148"/>
      <c r="AJ806" s="1"/>
      <c r="AK806" s="1"/>
      <c r="AL806" s="54"/>
      <c r="AM806" s="1"/>
      <c r="AN806" s="43"/>
      <c r="AO806" s="1"/>
      <c r="AP806" s="1"/>
      <c r="AQ806" s="19"/>
      <c r="AR806" s="54"/>
      <c r="AS806" s="43"/>
      <c r="AT806" s="1"/>
      <c r="AU806" s="1"/>
      <c r="AV806" s="1"/>
      <c r="AW806" s="54"/>
      <c r="AX806" s="57"/>
      <c r="AY806" s="54"/>
      <c r="AZ806" s="54"/>
      <c r="BA806" s="54"/>
      <c r="BB806" s="54"/>
      <c r="BC806" s="57"/>
      <c r="BD806" s="1"/>
      <c r="BE806" s="1"/>
      <c r="BF806" s="1"/>
      <c r="BG806" s="54"/>
      <c r="BH806" s="43"/>
      <c r="BI806"/>
      <c r="BJ806" s="13"/>
      <c r="BK806" s="1"/>
      <c r="BL806"/>
      <c r="BM806"/>
      <c r="BN806"/>
      <c r="DY806" s="43"/>
      <c r="DZ806"/>
      <c r="EA806" s="19"/>
      <c r="EB806" s="19"/>
      <c r="EC806" s="9"/>
      <c r="ED806" s="9"/>
      <c r="EE806" s="9"/>
      <c r="EF806" s="9"/>
      <c r="EG806" s="9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  <c r="FQ806" s="13"/>
      <c r="FR806" s="13"/>
      <c r="FS806" s="13"/>
      <c r="FT806" s="13"/>
      <c r="FU806" s="13"/>
      <c r="FV806" s="13"/>
      <c r="FW806" s="13"/>
      <c r="FX806" s="13"/>
      <c r="FY806" s="13"/>
      <c r="FZ806" s="13"/>
      <c r="GA806" s="13"/>
    </row>
    <row r="807" spans="1:183" s="52" customFormat="1" ht="13.2" x14ac:dyDescent="0.25">
      <c r="A807" s="2"/>
      <c r="B807" s="2"/>
      <c r="C807" s="9">
        <v>18</v>
      </c>
      <c r="D807" s="9">
        <v>34</v>
      </c>
      <c r="E807" s="9">
        <v>52</v>
      </c>
      <c r="F807" s="9">
        <v>64</v>
      </c>
      <c r="G807" s="9">
        <v>66</v>
      </c>
      <c r="H807" s="9">
        <v>67</v>
      </c>
      <c r="I807" s="43"/>
      <c r="J807" s="9">
        <v>67</v>
      </c>
      <c r="K807" s="43"/>
      <c r="L807" s="39">
        <v>44818</v>
      </c>
      <c r="M807" s="43"/>
      <c r="N807"/>
      <c r="O807"/>
      <c r="P807"/>
      <c r="Q807"/>
      <c r="R807"/>
      <c r="S807"/>
      <c r="T807"/>
      <c r="U807"/>
      <c r="V807"/>
      <c r="X807" s="43"/>
      <c r="Y807"/>
      <c r="Z807"/>
      <c r="AA807"/>
      <c r="AB807"/>
      <c r="AC807"/>
      <c r="AD807"/>
      <c r="AE807"/>
      <c r="AF807"/>
      <c r="AG807"/>
      <c r="AI807" s="148"/>
      <c r="AJ807" s="1"/>
      <c r="AK807" s="1"/>
      <c r="AL807" s="54"/>
      <c r="AM807" s="1"/>
      <c r="AN807" s="43"/>
      <c r="AO807" s="1"/>
      <c r="AP807" s="1"/>
      <c r="AQ807" s="19"/>
      <c r="AR807" s="54"/>
      <c r="AS807" s="43"/>
      <c r="AT807" s="1"/>
      <c r="AU807" s="1"/>
      <c r="AV807" s="1"/>
      <c r="AW807" s="54"/>
      <c r="AX807" s="57"/>
      <c r="AY807" s="54"/>
      <c r="AZ807" s="54"/>
      <c r="BA807" s="54"/>
      <c r="BB807" s="54"/>
      <c r="BC807" s="57"/>
      <c r="BD807" s="1"/>
      <c r="BE807" s="1"/>
      <c r="BF807" s="1"/>
      <c r="BG807" s="54"/>
      <c r="BH807" s="43"/>
      <c r="BI807"/>
      <c r="BJ807" s="13"/>
      <c r="BK807" s="1"/>
      <c r="BL807"/>
      <c r="BM807"/>
      <c r="BN807"/>
      <c r="DY807" s="43"/>
      <c r="DZ807"/>
      <c r="EA807" s="19"/>
      <c r="EB807" s="19"/>
      <c r="EC807" s="9"/>
      <c r="ED807" s="9"/>
      <c r="EE807" s="9"/>
      <c r="EF807" s="9"/>
      <c r="EG807" s="9"/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3"/>
      <c r="FD807" s="13"/>
      <c r="FE807" s="13"/>
      <c r="FF807" s="13"/>
      <c r="FG807" s="13"/>
      <c r="FH807" s="13"/>
      <c r="FI807" s="13"/>
      <c r="FJ807" s="13"/>
      <c r="FK807" s="13"/>
      <c r="FL807" s="13"/>
      <c r="FM807" s="13"/>
      <c r="FN807" s="13"/>
      <c r="FO807" s="13"/>
      <c r="FP807" s="13"/>
      <c r="FQ807" s="13"/>
      <c r="FR807" s="13"/>
      <c r="FS807" s="13"/>
      <c r="FT807" s="13"/>
      <c r="FU807" s="13"/>
      <c r="FV807" s="13"/>
      <c r="FW807" s="13"/>
      <c r="FX807" s="13"/>
      <c r="FY807" s="13"/>
      <c r="FZ807" s="13"/>
      <c r="GA807" s="13"/>
    </row>
    <row r="808" spans="1:183" s="52" customFormat="1" ht="13.2" x14ac:dyDescent="0.25">
      <c r="A808" s="2"/>
      <c r="B808" s="2"/>
      <c r="C808" s="9">
        <v>12</v>
      </c>
      <c r="D808" s="9">
        <v>14</v>
      </c>
      <c r="E808" s="9">
        <v>24</v>
      </c>
      <c r="F808" s="9">
        <v>27</v>
      </c>
      <c r="G808" s="9">
        <v>65</v>
      </c>
      <c r="H808" s="9">
        <v>67</v>
      </c>
      <c r="I808" s="43"/>
      <c r="J808" s="9">
        <v>67</v>
      </c>
      <c r="K808" s="43"/>
      <c r="L808" s="39">
        <v>44816</v>
      </c>
      <c r="M808" s="43"/>
      <c r="N808"/>
      <c r="O808"/>
      <c r="P808"/>
      <c r="Q808"/>
      <c r="R808"/>
      <c r="S808"/>
      <c r="T808"/>
      <c r="U808"/>
      <c r="V808"/>
      <c r="X808" s="43"/>
      <c r="Y808"/>
      <c r="Z808"/>
      <c r="AA808"/>
      <c r="AB808"/>
      <c r="AC808"/>
      <c r="AD808"/>
      <c r="AE808"/>
      <c r="AF808"/>
      <c r="AG808"/>
      <c r="AI808" s="148"/>
      <c r="AJ808" s="1"/>
      <c r="AK808" s="1"/>
      <c r="AL808" s="54"/>
      <c r="AM808" s="1"/>
      <c r="AN808" s="43"/>
      <c r="AO808" s="1"/>
      <c r="AP808" s="1"/>
      <c r="AQ808" s="19"/>
      <c r="AR808" s="54"/>
      <c r="AS808" s="43"/>
      <c r="AT808" s="1"/>
      <c r="AU808" s="1"/>
      <c r="AV808" s="1"/>
      <c r="AW808" s="54"/>
      <c r="AX808" s="57"/>
      <c r="AY808" s="54"/>
      <c r="AZ808" s="54"/>
      <c r="BA808" s="54"/>
      <c r="BB808" s="54"/>
      <c r="BC808" s="57"/>
      <c r="BD808" s="1"/>
      <c r="BE808" s="1"/>
      <c r="BF808" s="1"/>
      <c r="BG808" s="54"/>
      <c r="BH808" s="43"/>
      <c r="BI808"/>
      <c r="BJ808" s="13"/>
      <c r="BK808" s="1"/>
      <c r="BL808"/>
      <c r="BM808"/>
      <c r="BN808"/>
      <c r="DY808" s="43"/>
      <c r="DZ808"/>
      <c r="EA808" s="19"/>
      <c r="EB808" s="19"/>
      <c r="EC808" s="9"/>
      <c r="ED808" s="9"/>
      <c r="EE808" s="9"/>
      <c r="EF808" s="9"/>
      <c r="EG808" s="9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  <c r="FI808" s="13"/>
      <c r="FJ808" s="13"/>
      <c r="FK808" s="13"/>
      <c r="FL808" s="13"/>
      <c r="FM808" s="13"/>
      <c r="FN808" s="13"/>
      <c r="FO808" s="13"/>
      <c r="FP808" s="13"/>
      <c r="FQ808" s="13"/>
      <c r="FR808" s="13"/>
      <c r="FS808" s="13"/>
      <c r="FT808" s="13"/>
      <c r="FU808" s="13"/>
      <c r="FV808" s="13"/>
      <c r="FW808" s="13"/>
      <c r="FX808" s="13"/>
      <c r="FY808" s="13"/>
      <c r="FZ808" s="13"/>
      <c r="GA808" s="13"/>
    </row>
    <row r="809" spans="1:183" s="52" customFormat="1" ht="13.2" x14ac:dyDescent="0.25">
      <c r="A809" s="2"/>
      <c r="B809" s="2"/>
      <c r="C809" s="9">
        <v>13</v>
      </c>
      <c r="D809" s="9">
        <v>19</v>
      </c>
      <c r="E809" s="9">
        <v>27</v>
      </c>
      <c r="F809" s="9">
        <v>32</v>
      </c>
      <c r="G809" s="9">
        <v>35</v>
      </c>
      <c r="H809" s="9">
        <v>84</v>
      </c>
      <c r="I809" s="43"/>
      <c r="J809" s="9">
        <v>84</v>
      </c>
      <c r="K809" s="43"/>
      <c r="L809" s="39">
        <v>44814</v>
      </c>
      <c r="M809" s="43"/>
      <c r="N809"/>
      <c r="O809"/>
      <c r="P809"/>
      <c r="Q809"/>
      <c r="R809"/>
      <c r="S809"/>
      <c r="T809"/>
      <c r="U809"/>
      <c r="V809"/>
      <c r="X809" s="43"/>
      <c r="Y809"/>
      <c r="Z809"/>
      <c r="AA809"/>
      <c r="AB809"/>
      <c r="AC809"/>
      <c r="AD809"/>
      <c r="AE809"/>
      <c r="AF809"/>
      <c r="AG809"/>
      <c r="AI809" s="148"/>
      <c r="AJ809" s="1"/>
      <c r="AK809" s="1"/>
      <c r="AL809" s="54"/>
      <c r="AM809" s="1"/>
      <c r="AN809" s="43"/>
      <c r="AO809" s="1"/>
      <c r="AP809" s="1"/>
      <c r="AQ809" s="19"/>
      <c r="AR809" s="54"/>
      <c r="AS809" s="43"/>
      <c r="AT809" s="1"/>
      <c r="AU809" s="1"/>
      <c r="AV809" s="1"/>
      <c r="AW809" s="54"/>
      <c r="AX809" s="57"/>
      <c r="AY809" s="54"/>
      <c r="AZ809" s="54"/>
      <c r="BA809" s="54"/>
      <c r="BB809" s="54"/>
      <c r="BC809" s="57"/>
      <c r="BD809" s="1"/>
      <c r="BE809" s="1"/>
      <c r="BF809" s="1"/>
      <c r="BG809" s="54"/>
      <c r="BH809" s="43"/>
      <c r="BI809"/>
      <c r="BJ809" s="13"/>
      <c r="BK809" s="1"/>
      <c r="BL809"/>
      <c r="BM809"/>
      <c r="BN809"/>
      <c r="DY809" s="43"/>
      <c r="DZ809"/>
      <c r="EA809" s="19"/>
      <c r="EB809" s="19"/>
      <c r="EC809" s="9"/>
      <c r="ED809" s="9"/>
      <c r="EE809" s="9"/>
      <c r="EF809" s="9"/>
      <c r="EG809" s="9"/>
      <c r="EH809" s="13"/>
      <c r="EI809" s="13"/>
      <c r="EJ809" s="13"/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3"/>
      <c r="FD809" s="13"/>
      <c r="FE809" s="13"/>
      <c r="FF809" s="13"/>
      <c r="FG809" s="13"/>
      <c r="FH809" s="13"/>
      <c r="FI809" s="13"/>
      <c r="FJ809" s="13"/>
      <c r="FK809" s="13"/>
      <c r="FL809" s="13"/>
      <c r="FM809" s="13"/>
      <c r="FN809" s="13"/>
      <c r="FO809" s="13"/>
      <c r="FP809" s="13"/>
      <c r="FQ809" s="13"/>
      <c r="FR809" s="13"/>
      <c r="FS809" s="13"/>
      <c r="FT809" s="13"/>
      <c r="FU809" s="13"/>
      <c r="FV809" s="13"/>
      <c r="FW809" s="13"/>
      <c r="FX809" s="13"/>
      <c r="FY809" s="13"/>
      <c r="FZ809" s="13"/>
      <c r="GA809" s="13"/>
    </row>
    <row r="810" spans="1:183" s="52" customFormat="1" ht="13.2" x14ac:dyDescent="0.25">
      <c r="A810" s="2"/>
      <c r="B810" s="2"/>
      <c r="C810" s="9">
        <v>8</v>
      </c>
      <c r="D810" s="9">
        <v>22</v>
      </c>
      <c r="E810" s="9">
        <v>25</v>
      </c>
      <c r="F810" s="9">
        <v>37</v>
      </c>
      <c r="G810" s="9">
        <v>70</v>
      </c>
      <c r="H810" s="9">
        <v>78</v>
      </c>
      <c r="I810" s="43"/>
      <c r="J810" s="9">
        <v>78</v>
      </c>
      <c r="K810" s="43"/>
      <c r="L810" s="39">
        <v>44811</v>
      </c>
      <c r="M810" s="43"/>
      <c r="N810"/>
      <c r="O810"/>
      <c r="P810"/>
      <c r="Q810"/>
      <c r="R810"/>
      <c r="S810"/>
      <c r="T810"/>
      <c r="U810"/>
      <c r="V810"/>
      <c r="X810" s="43"/>
      <c r="Y810"/>
      <c r="Z810"/>
      <c r="AA810"/>
      <c r="AB810"/>
      <c r="AC810"/>
      <c r="AD810"/>
      <c r="AE810"/>
      <c r="AF810"/>
      <c r="AG810"/>
      <c r="AI810" s="148"/>
      <c r="AJ810" s="1"/>
      <c r="AK810" s="1"/>
      <c r="AL810" s="54"/>
      <c r="AM810" s="1"/>
      <c r="AN810" s="43"/>
      <c r="AO810" s="1"/>
      <c r="AP810" s="1"/>
      <c r="AQ810" s="19"/>
      <c r="AR810" s="54"/>
      <c r="AS810" s="43"/>
      <c r="AT810" s="1"/>
      <c r="AU810" s="1"/>
      <c r="AV810" s="1"/>
      <c r="AW810" s="54"/>
      <c r="AX810" s="57"/>
      <c r="AY810" s="54"/>
      <c r="AZ810" s="54"/>
      <c r="BA810" s="54"/>
      <c r="BB810" s="54"/>
      <c r="BC810" s="57"/>
      <c r="BD810" s="1"/>
      <c r="BE810" s="1"/>
      <c r="BF810" s="1"/>
      <c r="BG810" s="54"/>
      <c r="BH810" s="43"/>
      <c r="BI810"/>
      <c r="BJ810" s="13"/>
      <c r="BK810" s="1"/>
      <c r="BL810"/>
      <c r="BM810"/>
      <c r="BN810"/>
      <c r="DY810" s="43"/>
      <c r="DZ810"/>
      <c r="EA810" s="19"/>
      <c r="EB810" s="19"/>
      <c r="EC810" s="9"/>
      <c r="ED810" s="9"/>
      <c r="EE810" s="9"/>
      <c r="EF810" s="9"/>
      <c r="EG810" s="9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3"/>
      <c r="FD810" s="13"/>
      <c r="FE810" s="13"/>
      <c r="FF810" s="13"/>
      <c r="FG810" s="13"/>
      <c r="FH810" s="13"/>
      <c r="FI810" s="13"/>
      <c r="FJ810" s="13"/>
      <c r="FK810" s="13"/>
      <c r="FL810" s="13"/>
      <c r="FM810" s="13"/>
      <c r="FN810" s="13"/>
      <c r="FO810" s="13"/>
      <c r="FP810" s="13"/>
      <c r="FQ810" s="13"/>
      <c r="FR810" s="13"/>
      <c r="FS810" s="13"/>
      <c r="FT810" s="13"/>
      <c r="FU810" s="13"/>
      <c r="FV810" s="13"/>
      <c r="FW810" s="13"/>
      <c r="FX810" s="13"/>
      <c r="FY810" s="13"/>
      <c r="FZ810" s="13"/>
      <c r="GA810" s="13"/>
    </row>
    <row r="811" spans="1:183" s="52" customFormat="1" ht="13.2" x14ac:dyDescent="0.25">
      <c r="A811" s="2"/>
      <c r="B811" s="2"/>
      <c r="C811" s="9">
        <v>9</v>
      </c>
      <c r="D811" s="9">
        <v>16</v>
      </c>
      <c r="E811" s="9">
        <v>39</v>
      </c>
      <c r="F811" s="9">
        <v>49</v>
      </c>
      <c r="G811" s="9">
        <v>56</v>
      </c>
      <c r="H811" s="9">
        <v>77</v>
      </c>
      <c r="I811" s="43"/>
      <c r="J811" s="9">
        <v>77</v>
      </c>
      <c r="K811" s="43"/>
      <c r="L811" s="39">
        <v>44809</v>
      </c>
      <c r="M811" s="43"/>
      <c r="N811"/>
      <c r="O811"/>
      <c r="P811"/>
      <c r="Q811"/>
      <c r="R811"/>
      <c r="S811"/>
      <c r="T811"/>
      <c r="U811"/>
      <c r="V811"/>
      <c r="X811" s="43"/>
      <c r="Y811"/>
      <c r="Z811"/>
      <c r="AA811"/>
      <c r="AB811"/>
      <c r="AC811"/>
      <c r="AD811"/>
      <c r="AE811"/>
      <c r="AF811"/>
      <c r="AG811"/>
      <c r="AI811" s="148"/>
      <c r="AJ811" s="1"/>
      <c r="AK811" s="1"/>
      <c r="AL811" s="54"/>
      <c r="AM811" s="1"/>
      <c r="AN811" s="43"/>
      <c r="AO811" s="1"/>
      <c r="AP811" s="1"/>
      <c r="AQ811" s="19"/>
      <c r="AR811" s="54"/>
      <c r="AS811" s="43"/>
      <c r="AT811" s="1"/>
      <c r="AU811" s="1"/>
      <c r="AV811" s="1"/>
      <c r="AW811" s="54"/>
      <c r="AX811" s="57"/>
      <c r="AY811" s="54"/>
      <c r="AZ811" s="54"/>
      <c r="BA811" s="54"/>
      <c r="BB811" s="54"/>
      <c r="BC811" s="57"/>
      <c r="BD811" s="1"/>
      <c r="BE811" s="1"/>
      <c r="BF811" s="1"/>
      <c r="BG811" s="54"/>
      <c r="BH811" s="43"/>
      <c r="BI811"/>
      <c r="BJ811" s="13"/>
      <c r="BK811" s="1"/>
      <c r="BL811"/>
      <c r="BM811"/>
      <c r="BN811"/>
      <c r="DY811" s="43"/>
      <c r="DZ811"/>
      <c r="EA811" s="19"/>
      <c r="EB811" s="19"/>
      <c r="EC811" s="9"/>
      <c r="ED811" s="9"/>
      <c r="EE811" s="9"/>
      <c r="EF811" s="9"/>
      <c r="EG811" s="9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  <c r="FT811" s="13"/>
      <c r="FU811" s="13"/>
      <c r="FV811" s="13"/>
      <c r="FW811" s="13"/>
      <c r="FX811" s="13"/>
      <c r="FY811" s="13"/>
      <c r="FZ811" s="13"/>
      <c r="GA811" s="13"/>
    </row>
    <row r="812" spans="1:183" s="52" customFormat="1" ht="13.2" x14ac:dyDescent="0.25">
      <c r="A812" s="2"/>
      <c r="B812" s="2"/>
      <c r="C812" s="9">
        <v>33</v>
      </c>
      <c r="D812" s="9">
        <v>36</v>
      </c>
      <c r="E812" s="9">
        <v>41</v>
      </c>
      <c r="F812" s="9">
        <v>43</v>
      </c>
      <c r="G812" s="9">
        <v>69</v>
      </c>
      <c r="H812" s="9">
        <v>74</v>
      </c>
      <c r="I812" s="43"/>
      <c r="J812" s="9">
        <v>74</v>
      </c>
      <c r="K812" s="43"/>
      <c r="L812" s="39">
        <v>44807</v>
      </c>
      <c r="M812" s="43"/>
      <c r="N812"/>
      <c r="O812"/>
      <c r="P812"/>
      <c r="Q812"/>
      <c r="R812"/>
      <c r="S812"/>
      <c r="T812"/>
      <c r="U812"/>
      <c r="V812"/>
      <c r="X812" s="43"/>
      <c r="Y812"/>
      <c r="Z812"/>
      <c r="AA812"/>
      <c r="AB812"/>
      <c r="AC812"/>
      <c r="AD812"/>
      <c r="AE812"/>
      <c r="AF812"/>
      <c r="AG812"/>
      <c r="AI812" s="148"/>
      <c r="AJ812" s="1"/>
      <c r="AK812" s="1"/>
      <c r="AL812" s="54"/>
      <c r="AM812" s="1"/>
      <c r="AN812" s="43"/>
      <c r="AO812" s="1"/>
      <c r="AP812" s="1"/>
      <c r="AQ812" s="19"/>
      <c r="AR812" s="54"/>
      <c r="AS812" s="43"/>
      <c r="AT812" s="1"/>
      <c r="AU812" s="1"/>
      <c r="AV812" s="1"/>
      <c r="AW812" s="54"/>
      <c r="AX812" s="57"/>
      <c r="AY812" s="54"/>
      <c r="AZ812" s="54"/>
      <c r="BA812" s="54"/>
      <c r="BB812" s="54"/>
      <c r="BC812" s="57"/>
      <c r="BD812" s="1"/>
      <c r="BE812" s="1"/>
      <c r="BF812" s="1"/>
      <c r="BG812" s="54"/>
      <c r="BH812" s="43"/>
      <c r="BI812"/>
      <c r="BJ812" s="13"/>
      <c r="BK812" s="1"/>
      <c r="BL812"/>
      <c r="BM812"/>
      <c r="BN812"/>
      <c r="DY812" s="43"/>
      <c r="DZ812"/>
      <c r="EA812" s="19"/>
      <c r="EB812" s="19"/>
      <c r="EC812" s="9"/>
      <c r="ED812" s="9"/>
      <c r="EE812" s="9"/>
      <c r="EF812" s="9"/>
      <c r="EG812" s="9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  <c r="FT812" s="13"/>
      <c r="FU812" s="13"/>
      <c r="FV812" s="13"/>
      <c r="FW812" s="13"/>
      <c r="FX812" s="13"/>
      <c r="FY812" s="13"/>
      <c r="FZ812" s="13"/>
      <c r="GA812" s="13"/>
    </row>
    <row r="813" spans="1:183" s="52" customFormat="1" ht="13.2" x14ac:dyDescent="0.25">
      <c r="A813" s="2"/>
      <c r="B813" s="2"/>
      <c r="C813" s="9">
        <v>25</v>
      </c>
      <c r="D813" s="9">
        <v>45</v>
      </c>
      <c r="E813" s="9">
        <v>56</v>
      </c>
      <c r="F813" s="9">
        <v>72</v>
      </c>
      <c r="G813" s="9">
        <v>83</v>
      </c>
      <c r="H813" s="9">
        <v>89</v>
      </c>
      <c r="I813" s="43"/>
      <c r="J813" s="9">
        <v>89</v>
      </c>
      <c r="K813" s="43"/>
      <c r="L813" s="39">
        <v>44804</v>
      </c>
      <c r="M813" s="43"/>
      <c r="N813"/>
      <c r="O813"/>
      <c r="P813"/>
      <c r="Q813"/>
      <c r="R813"/>
      <c r="S813"/>
      <c r="T813"/>
      <c r="U813"/>
      <c r="V813"/>
      <c r="X813" s="43"/>
      <c r="Y813"/>
      <c r="Z813"/>
      <c r="AA813"/>
      <c r="AB813"/>
      <c r="AC813"/>
      <c r="AD813"/>
      <c r="AE813"/>
      <c r="AF813"/>
      <c r="AG813"/>
      <c r="AI813" s="148"/>
      <c r="AJ813" s="1"/>
      <c r="AK813" s="1"/>
      <c r="AL813" s="54"/>
      <c r="AM813" s="1"/>
      <c r="AN813" s="43"/>
      <c r="AO813" s="1"/>
      <c r="AP813" s="1"/>
      <c r="AQ813" s="19"/>
      <c r="AR813" s="54"/>
      <c r="AS813" s="43"/>
      <c r="AT813" s="1"/>
      <c r="AU813" s="1"/>
      <c r="AV813" s="1"/>
      <c r="AW813" s="54"/>
      <c r="AX813" s="57"/>
      <c r="AY813" s="54"/>
      <c r="AZ813" s="54"/>
      <c r="BA813" s="54"/>
      <c r="BB813" s="54"/>
      <c r="BC813" s="57"/>
      <c r="BD813" s="1"/>
      <c r="BE813" s="1"/>
      <c r="BF813" s="1"/>
      <c r="BG813" s="54"/>
      <c r="BH813" s="43"/>
      <c r="BI813"/>
      <c r="BJ813" s="13"/>
      <c r="BK813" s="1"/>
      <c r="BL813"/>
      <c r="BM813"/>
      <c r="BN813"/>
      <c r="DY813" s="43"/>
      <c r="DZ813"/>
      <c r="EA813" s="19"/>
      <c r="EB813" s="19"/>
      <c r="EC813" s="9"/>
      <c r="ED813" s="9"/>
      <c r="EE813" s="9"/>
      <c r="EF813" s="9"/>
      <c r="EG813" s="9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3"/>
      <c r="FD813" s="13"/>
      <c r="FE813" s="13"/>
      <c r="FF813" s="13"/>
      <c r="FG813" s="13"/>
      <c r="FH813" s="13"/>
      <c r="FI813" s="13"/>
      <c r="FJ813" s="13"/>
      <c r="FK813" s="13"/>
      <c r="FL813" s="13"/>
      <c r="FM813" s="13"/>
      <c r="FN813" s="13"/>
      <c r="FO813" s="13"/>
      <c r="FP813" s="13"/>
      <c r="FQ813" s="13"/>
      <c r="FR813" s="13"/>
      <c r="FS813" s="13"/>
      <c r="FT813" s="13"/>
      <c r="FU813" s="13"/>
      <c r="FV813" s="13"/>
      <c r="FW813" s="13"/>
      <c r="FX813" s="13"/>
      <c r="FY813" s="13"/>
      <c r="FZ813" s="13"/>
      <c r="GA813" s="13"/>
    </row>
    <row r="814" spans="1:183" s="52" customFormat="1" ht="13.2" x14ac:dyDescent="0.25">
      <c r="A814" s="2"/>
      <c r="B814" s="2"/>
      <c r="C814" s="9">
        <v>13</v>
      </c>
      <c r="D814" s="9">
        <v>24</v>
      </c>
      <c r="E814" s="9">
        <v>34</v>
      </c>
      <c r="F814" s="9">
        <v>47</v>
      </c>
      <c r="G814" s="9">
        <v>76</v>
      </c>
      <c r="H814" s="9">
        <v>82</v>
      </c>
      <c r="I814" s="43"/>
      <c r="J814" s="9">
        <v>82</v>
      </c>
      <c r="K814" s="43"/>
      <c r="L814" s="39">
        <v>44802</v>
      </c>
      <c r="M814" s="43"/>
      <c r="N814"/>
      <c r="O814"/>
      <c r="P814"/>
      <c r="Q814"/>
      <c r="R814"/>
      <c r="S814"/>
      <c r="T814"/>
      <c r="U814"/>
      <c r="V814"/>
      <c r="X814" s="43"/>
      <c r="Y814"/>
      <c r="Z814"/>
      <c r="AA814"/>
      <c r="AB814"/>
      <c r="AC814"/>
      <c r="AD814"/>
      <c r="AE814"/>
      <c r="AF814"/>
      <c r="AG814"/>
      <c r="AI814" s="148"/>
      <c r="AJ814" s="1"/>
      <c r="AK814" s="1"/>
      <c r="AL814" s="54"/>
      <c r="AM814" s="1"/>
      <c r="AN814" s="43"/>
      <c r="AO814" s="1"/>
      <c r="AP814" s="1"/>
      <c r="AQ814" s="19"/>
      <c r="AR814" s="54"/>
      <c r="AS814" s="43"/>
      <c r="AT814" s="1"/>
      <c r="AU814" s="1"/>
      <c r="AV814" s="1"/>
      <c r="AW814" s="54"/>
      <c r="AX814" s="57"/>
      <c r="AY814" s="54"/>
      <c r="AZ814" s="54"/>
      <c r="BA814" s="54"/>
      <c r="BB814" s="54"/>
      <c r="BC814" s="57"/>
      <c r="BD814" s="1"/>
      <c r="BE814" s="1"/>
      <c r="BF814" s="1"/>
      <c r="BG814" s="54"/>
      <c r="BH814" s="43"/>
      <c r="BI814"/>
      <c r="BJ814" s="13"/>
      <c r="BK814" s="1"/>
      <c r="BL814"/>
      <c r="BM814"/>
      <c r="BN814"/>
      <c r="DY814" s="43"/>
      <c r="DZ814"/>
      <c r="EA814" s="19"/>
      <c r="EB814" s="19"/>
      <c r="EC814" s="9"/>
      <c r="ED814" s="9"/>
      <c r="EE814" s="9"/>
      <c r="EF814" s="9"/>
      <c r="EG814" s="9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3"/>
      <c r="FJ814" s="13"/>
      <c r="FK814" s="13"/>
      <c r="FL814" s="13"/>
      <c r="FM814" s="13"/>
      <c r="FN814" s="13"/>
      <c r="FO814" s="13"/>
      <c r="FP814" s="13"/>
      <c r="FQ814" s="13"/>
      <c r="FR814" s="13"/>
      <c r="FS814" s="13"/>
      <c r="FT814" s="13"/>
      <c r="FU814" s="13"/>
      <c r="FV814" s="13"/>
      <c r="FW814" s="13"/>
      <c r="FX814" s="13"/>
      <c r="FY814" s="13"/>
      <c r="FZ814" s="13"/>
      <c r="GA814" s="13"/>
    </row>
    <row r="815" spans="1:183" s="52" customFormat="1" ht="13.2" x14ac:dyDescent="0.25">
      <c r="A815" s="2"/>
      <c r="B815" s="2"/>
      <c r="C815" s="9">
        <v>5</v>
      </c>
      <c r="D815" s="9">
        <v>9</v>
      </c>
      <c r="E815" s="9">
        <v>28</v>
      </c>
      <c r="F815" s="9">
        <v>29</v>
      </c>
      <c r="G815" s="9">
        <v>50</v>
      </c>
      <c r="H815" s="9">
        <v>81</v>
      </c>
      <c r="I815" s="43"/>
      <c r="J815" s="9">
        <v>81</v>
      </c>
      <c r="K815" s="43"/>
      <c r="L815" s="39">
        <v>44800</v>
      </c>
      <c r="M815" s="43"/>
      <c r="N815"/>
      <c r="O815"/>
      <c r="P815"/>
      <c r="Q815"/>
      <c r="R815"/>
      <c r="S815"/>
      <c r="T815"/>
      <c r="U815"/>
      <c r="V815"/>
      <c r="X815" s="43"/>
      <c r="Y815"/>
      <c r="Z815"/>
      <c r="AA815"/>
      <c r="AB815"/>
      <c r="AC815"/>
      <c r="AD815"/>
      <c r="AE815"/>
      <c r="AF815"/>
      <c r="AG815"/>
      <c r="AI815" s="148"/>
      <c r="AJ815" s="1"/>
      <c r="AK815" s="1"/>
      <c r="AL815" s="54"/>
      <c r="AM815" s="1"/>
      <c r="AN815" s="43"/>
      <c r="AO815" s="1"/>
      <c r="AP815" s="1"/>
      <c r="AQ815" s="19"/>
      <c r="AR815" s="54"/>
      <c r="AS815" s="43"/>
      <c r="AT815" s="1"/>
      <c r="AU815" s="1"/>
      <c r="AV815" s="1"/>
      <c r="AW815" s="54"/>
      <c r="AX815" s="57"/>
      <c r="AY815" s="54"/>
      <c r="AZ815" s="54"/>
      <c r="BA815" s="54"/>
      <c r="BB815" s="54"/>
      <c r="BC815" s="57"/>
      <c r="BD815" s="1"/>
      <c r="BE815" s="1"/>
      <c r="BF815" s="1"/>
      <c r="BG815" s="54"/>
      <c r="BH815" s="43"/>
      <c r="BI815"/>
      <c r="BJ815" s="13"/>
      <c r="BK815" s="1"/>
      <c r="BL815"/>
      <c r="BM815"/>
      <c r="BN815"/>
      <c r="DY815" s="43"/>
      <c r="DZ815"/>
      <c r="EA815" s="19"/>
      <c r="EB815" s="19"/>
      <c r="EC815" s="9"/>
      <c r="ED815" s="9"/>
      <c r="EE815" s="9"/>
      <c r="EF815" s="9"/>
      <c r="EG815" s="9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  <c r="FI815" s="13"/>
      <c r="FJ815" s="13"/>
      <c r="FK815" s="13"/>
      <c r="FL815" s="13"/>
      <c r="FM815" s="13"/>
      <c r="FN815" s="13"/>
      <c r="FO815" s="13"/>
      <c r="FP815" s="13"/>
      <c r="FQ815" s="13"/>
      <c r="FR815" s="13"/>
      <c r="FS815" s="13"/>
      <c r="FT815" s="13"/>
      <c r="FU815" s="13"/>
      <c r="FV815" s="13"/>
      <c r="FW815" s="13"/>
      <c r="FX815" s="13"/>
      <c r="FY815" s="13"/>
      <c r="FZ815" s="13"/>
      <c r="GA815" s="13"/>
    </row>
    <row r="816" spans="1:183" s="52" customFormat="1" ht="13.2" x14ac:dyDescent="0.25">
      <c r="A816" s="2"/>
      <c r="B816" s="2"/>
      <c r="C816" s="9">
        <v>3</v>
      </c>
      <c r="D816" s="9">
        <v>22</v>
      </c>
      <c r="E816" s="9">
        <v>38</v>
      </c>
      <c r="F816" s="9">
        <v>77</v>
      </c>
      <c r="G816" s="9">
        <v>82</v>
      </c>
      <c r="H816" s="9">
        <v>87</v>
      </c>
      <c r="I816" s="43"/>
      <c r="J816" s="9">
        <v>87</v>
      </c>
      <c r="K816" s="43"/>
      <c r="L816" s="39">
        <v>44797</v>
      </c>
      <c r="M816" s="43"/>
      <c r="N816"/>
      <c r="O816"/>
      <c r="P816"/>
      <c r="Q816"/>
      <c r="R816"/>
      <c r="S816"/>
      <c r="T816"/>
      <c r="U816"/>
      <c r="V816"/>
      <c r="X816" s="43"/>
      <c r="Y816"/>
      <c r="Z816"/>
      <c r="AA816"/>
      <c r="AB816"/>
      <c r="AC816"/>
      <c r="AD816"/>
      <c r="AE816"/>
      <c r="AF816"/>
      <c r="AG816"/>
      <c r="AI816" s="148"/>
      <c r="AJ816" s="1"/>
      <c r="AK816" s="1"/>
      <c r="AL816" s="54"/>
      <c r="AM816" s="1"/>
      <c r="AN816" s="43"/>
      <c r="AO816" s="1"/>
      <c r="AP816" s="1"/>
      <c r="AQ816" s="19"/>
      <c r="AR816" s="54"/>
      <c r="AS816" s="43"/>
      <c r="AT816" s="1"/>
      <c r="AU816" s="1"/>
      <c r="AV816" s="1"/>
      <c r="AW816" s="54"/>
      <c r="AX816" s="57"/>
      <c r="AY816" s="54"/>
      <c r="AZ816" s="54"/>
      <c r="BA816" s="54"/>
      <c r="BB816" s="54"/>
      <c r="BC816" s="57"/>
      <c r="BD816" s="1"/>
      <c r="BE816" s="1"/>
      <c r="BF816" s="1"/>
      <c r="BG816" s="54"/>
      <c r="BH816" s="43"/>
      <c r="BI816"/>
      <c r="BJ816" s="13"/>
      <c r="BK816" s="1"/>
      <c r="BL816"/>
      <c r="BM816"/>
      <c r="BN816"/>
      <c r="DY816" s="43"/>
      <c r="DZ816"/>
      <c r="EA816" s="19"/>
      <c r="EB816" s="19"/>
      <c r="EC816" s="9"/>
      <c r="ED816" s="9"/>
      <c r="EE816" s="9"/>
      <c r="EF816" s="9"/>
      <c r="EG816" s="9"/>
      <c r="EH816" s="13"/>
      <c r="EI816" s="13"/>
      <c r="EJ816" s="13"/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3"/>
      <c r="FD816" s="13"/>
      <c r="FE816" s="13"/>
      <c r="FF816" s="13"/>
      <c r="FG816" s="13"/>
      <c r="FH816" s="13"/>
      <c r="FI816" s="13"/>
      <c r="FJ816" s="13"/>
      <c r="FK816" s="13"/>
      <c r="FL816" s="13"/>
      <c r="FM816" s="13"/>
      <c r="FN816" s="13"/>
      <c r="FO816" s="13"/>
      <c r="FP816" s="13"/>
      <c r="FQ816" s="13"/>
      <c r="FR816" s="13"/>
      <c r="FS816" s="13"/>
      <c r="FT816" s="13"/>
      <c r="FU816" s="13"/>
      <c r="FV816" s="13"/>
      <c r="FW816" s="13"/>
      <c r="FX816" s="13"/>
      <c r="FY816" s="13"/>
      <c r="FZ816" s="13"/>
      <c r="GA816" s="13"/>
    </row>
    <row r="817" spans="1:183" s="52" customFormat="1" ht="13.2" x14ac:dyDescent="0.25">
      <c r="A817" s="2"/>
      <c r="B817" s="2"/>
      <c r="C817" s="9">
        <v>10</v>
      </c>
      <c r="D817" s="9">
        <v>12</v>
      </c>
      <c r="E817" s="9">
        <v>14</v>
      </c>
      <c r="F817" s="9">
        <v>31</v>
      </c>
      <c r="G817" s="9">
        <v>60</v>
      </c>
      <c r="H817" s="9">
        <v>69</v>
      </c>
      <c r="I817" s="43"/>
      <c r="J817" s="9">
        <v>69</v>
      </c>
      <c r="K817" s="43"/>
      <c r="L817" s="39">
        <v>44795</v>
      </c>
      <c r="M817" s="43"/>
      <c r="N817"/>
      <c r="O817"/>
      <c r="P817"/>
      <c r="Q817"/>
      <c r="R817"/>
      <c r="S817"/>
      <c r="T817"/>
      <c r="U817"/>
      <c r="V817"/>
      <c r="X817" s="43"/>
      <c r="Y817"/>
      <c r="Z817"/>
      <c r="AA817"/>
      <c r="AB817"/>
      <c r="AC817"/>
      <c r="AD817"/>
      <c r="AE817"/>
      <c r="AF817"/>
      <c r="AG817"/>
      <c r="AI817" s="148"/>
      <c r="AJ817" s="1"/>
      <c r="AK817" s="1"/>
      <c r="AL817" s="54"/>
      <c r="AM817" s="1"/>
      <c r="AN817" s="43"/>
      <c r="AO817" s="1"/>
      <c r="AP817" s="1"/>
      <c r="AQ817" s="19"/>
      <c r="AR817" s="54"/>
      <c r="AS817" s="43"/>
      <c r="AT817" s="1"/>
      <c r="AU817" s="1"/>
      <c r="AV817" s="1"/>
      <c r="AW817" s="54"/>
      <c r="AX817" s="57"/>
      <c r="AY817" s="54"/>
      <c r="AZ817" s="54"/>
      <c r="BA817" s="54"/>
      <c r="BB817" s="54"/>
      <c r="BC817" s="57"/>
      <c r="BD817" s="1"/>
      <c r="BE817" s="1"/>
      <c r="BF817" s="1"/>
      <c r="BG817" s="54"/>
      <c r="BH817" s="43"/>
      <c r="BI817"/>
      <c r="BJ817" s="13"/>
      <c r="BK817" s="1"/>
      <c r="BL817"/>
      <c r="BM817"/>
      <c r="BN817"/>
      <c r="DY817" s="43"/>
      <c r="DZ817"/>
      <c r="EA817" s="19"/>
      <c r="EB817" s="19"/>
      <c r="EC817" s="9"/>
      <c r="ED817" s="9"/>
      <c r="EE817" s="9"/>
      <c r="EF817" s="9"/>
      <c r="EG817" s="9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3"/>
      <c r="FD817" s="13"/>
      <c r="FE817" s="13"/>
      <c r="FF817" s="13"/>
      <c r="FG817" s="13"/>
      <c r="FH817" s="13"/>
      <c r="FI817" s="13"/>
      <c r="FJ817" s="13"/>
      <c r="FK817" s="13"/>
      <c r="FL817" s="13"/>
      <c r="FM817" s="13"/>
      <c r="FN817" s="13"/>
      <c r="FO817" s="13"/>
      <c r="FP817" s="13"/>
      <c r="FQ817" s="13"/>
      <c r="FR817" s="13"/>
      <c r="FS817" s="13"/>
      <c r="FT817" s="13"/>
      <c r="FU817" s="13"/>
      <c r="FV817" s="13"/>
      <c r="FW817" s="13"/>
      <c r="FX817" s="13"/>
      <c r="FY817" s="13"/>
      <c r="FZ817" s="13"/>
      <c r="GA817" s="13"/>
    </row>
    <row r="818" spans="1:183" s="52" customFormat="1" ht="13.2" x14ac:dyDescent="0.25">
      <c r="A818" s="2"/>
      <c r="B818" s="2"/>
      <c r="C818" s="9">
        <v>34</v>
      </c>
      <c r="D818" s="9">
        <v>37</v>
      </c>
      <c r="E818" s="9">
        <v>44</v>
      </c>
      <c r="F818" s="9">
        <v>66</v>
      </c>
      <c r="G818" s="9">
        <v>74</v>
      </c>
      <c r="H818" s="9">
        <v>83</v>
      </c>
      <c r="I818" s="43"/>
      <c r="J818" s="9">
        <v>83</v>
      </c>
      <c r="K818" s="43"/>
      <c r="L818" s="39">
        <v>44793</v>
      </c>
      <c r="M818" s="43"/>
      <c r="N818"/>
      <c r="O818"/>
      <c r="P818"/>
      <c r="Q818"/>
      <c r="R818"/>
      <c r="S818"/>
      <c r="T818"/>
      <c r="U818"/>
      <c r="V818"/>
      <c r="X818" s="43"/>
      <c r="Y818"/>
      <c r="Z818"/>
      <c r="AA818"/>
      <c r="AB818"/>
      <c r="AC818"/>
      <c r="AD818"/>
      <c r="AE818"/>
      <c r="AF818"/>
      <c r="AG818"/>
      <c r="AI818" s="148"/>
      <c r="AJ818" s="1"/>
      <c r="AK818" s="1"/>
      <c r="AL818" s="54"/>
      <c r="AM818" s="1"/>
      <c r="AN818" s="43"/>
      <c r="AO818" s="1"/>
      <c r="AP818" s="1"/>
      <c r="AQ818" s="19"/>
      <c r="AR818" s="54"/>
      <c r="AS818" s="43"/>
      <c r="AT818" s="1"/>
      <c r="AU818" s="1"/>
      <c r="AV818" s="1"/>
      <c r="AW818" s="54"/>
      <c r="AX818" s="57"/>
      <c r="AY818" s="54"/>
      <c r="AZ818" s="54"/>
      <c r="BA818" s="54"/>
      <c r="BB818" s="54"/>
      <c r="BC818" s="57"/>
      <c r="BD818" s="1"/>
      <c r="BE818" s="1"/>
      <c r="BF818" s="1"/>
      <c r="BG818" s="54"/>
      <c r="BH818" s="43"/>
      <c r="BI818"/>
      <c r="BJ818" s="13"/>
      <c r="BK818" s="1"/>
      <c r="BL818"/>
      <c r="BM818"/>
      <c r="BN818"/>
      <c r="DY818" s="43"/>
      <c r="DZ818"/>
      <c r="EA818" s="19"/>
      <c r="EB818" s="19"/>
      <c r="EC818" s="9"/>
      <c r="ED818" s="9"/>
      <c r="EE818" s="9"/>
      <c r="EF818" s="9"/>
      <c r="EG818" s="9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3"/>
      <c r="FJ818" s="13"/>
      <c r="FK818" s="13"/>
      <c r="FL818" s="13"/>
      <c r="FM818" s="13"/>
      <c r="FN818" s="13"/>
      <c r="FO818" s="13"/>
      <c r="FP818" s="13"/>
      <c r="FQ818" s="13"/>
      <c r="FR818" s="13"/>
      <c r="FS818" s="13"/>
      <c r="FT818" s="13"/>
      <c r="FU818" s="13"/>
      <c r="FV818" s="13"/>
      <c r="FW818" s="13"/>
      <c r="FX818" s="13"/>
      <c r="FY818" s="13"/>
      <c r="FZ818" s="13"/>
      <c r="GA818" s="13"/>
    </row>
    <row r="819" spans="1:183" s="52" customFormat="1" ht="13.2" x14ac:dyDescent="0.25">
      <c r="A819" s="2"/>
      <c r="B819" s="2"/>
      <c r="C819" s="9">
        <v>11</v>
      </c>
      <c r="D819" s="9">
        <v>26</v>
      </c>
      <c r="E819" s="9">
        <v>28</v>
      </c>
      <c r="F819" s="9">
        <v>64</v>
      </c>
      <c r="G819" s="9">
        <v>74</v>
      </c>
      <c r="H819" s="9">
        <v>87</v>
      </c>
      <c r="I819" s="43"/>
      <c r="J819" s="9">
        <v>87</v>
      </c>
      <c r="K819" s="43"/>
      <c r="L819" s="39">
        <v>44790</v>
      </c>
      <c r="M819" s="43"/>
      <c r="N819"/>
      <c r="O819"/>
      <c r="P819"/>
      <c r="Q819"/>
      <c r="R819"/>
      <c r="S819"/>
      <c r="T819"/>
      <c r="U819"/>
      <c r="V819"/>
      <c r="X819" s="43"/>
      <c r="Y819"/>
      <c r="Z819"/>
      <c r="AA819"/>
      <c r="AB819"/>
      <c r="AC819"/>
      <c r="AD819"/>
      <c r="AE819"/>
      <c r="AF819"/>
      <c r="AG819"/>
      <c r="AI819" s="148"/>
      <c r="AJ819" s="1"/>
      <c r="AK819" s="1"/>
      <c r="AL819" s="54"/>
      <c r="AM819" s="1"/>
      <c r="AN819" s="43"/>
      <c r="AO819" s="1"/>
      <c r="AP819" s="1"/>
      <c r="AQ819" s="19"/>
      <c r="AR819" s="54"/>
      <c r="AS819" s="43"/>
      <c r="AT819" s="1"/>
      <c r="AU819" s="1"/>
      <c r="AV819" s="1"/>
      <c r="AW819" s="54"/>
      <c r="AX819" s="57"/>
      <c r="AY819" s="54"/>
      <c r="AZ819" s="54"/>
      <c r="BA819" s="54"/>
      <c r="BB819" s="54"/>
      <c r="BC819" s="57"/>
      <c r="BD819" s="1"/>
      <c r="BE819" s="1"/>
      <c r="BF819" s="1"/>
      <c r="BG819" s="54"/>
      <c r="BH819" s="43"/>
      <c r="BI819"/>
      <c r="BJ819" s="13"/>
      <c r="BK819" s="1"/>
      <c r="BL819"/>
      <c r="BM819"/>
      <c r="BN819"/>
      <c r="DY819" s="43"/>
      <c r="DZ819"/>
      <c r="EA819" s="19"/>
      <c r="EB819" s="19"/>
      <c r="EC819" s="9"/>
      <c r="ED819" s="9"/>
      <c r="EE819" s="9"/>
      <c r="EF819" s="9"/>
      <c r="EG819" s="9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3"/>
      <c r="FJ819" s="13"/>
      <c r="FK819" s="13"/>
      <c r="FL819" s="13"/>
      <c r="FM819" s="13"/>
      <c r="FN819" s="13"/>
      <c r="FO819" s="13"/>
      <c r="FP819" s="13"/>
      <c r="FQ819" s="13"/>
      <c r="FR819" s="13"/>
      <c r="FS819" s="13"/>
      <c r="FT819" s="13"/>
      <c r="FU819" s="13"/>
      <c r="FV819" s="13"/>
      <c r="FW819" s="13"/>
      <c r="FX819" s="13"/>
      <c r="FY819" s="13"/>
      <c r="FZ819" s="13"/>
      <c r="GA819" s="13"/>
    </row>
    <row r="820" spans="1:183" s="52" customFormat="1" ht="13.2" x14ac:dyDescent="0.25">
      <c r="A820" s="2"/>
      <c r="B820" s="2"/>
      <c r="C820" s="9">
        <v>3</v>
      </c>
      <c r="D820" s="9">
        <v>10</v>
      </c>
      <c r="E820" s="9">
        <v>28</v>
      </c>
      <c r="F820" s="9">
        <v>45</v>
      </c>
      <c r="G820" s="9">
        <v>67</v>
      </c>
      <c r="H820" s="9">
        <v>76</v>
      </c>
      <c r="I820" s="43"/>
      <c r="J820" s="9">
        <v>76</v>
      </c>
      <c r="K820" s="43"/>
      <c r="L820" s="39">
        <v>44788</v>
      </c>
      <c r="M820" s="43"/>
      <c r="N820"/>
      <c r="O820"/>
      <c r="P820"/>
      <c r="Q820"/>
      <c r="R820"/>
      <c r="S820"/>
      <c r="T820"/>
      <c r="U820"/>
      <c r="V820"/>
      <c r="X820" s="43"/>
      <c r="Y820"/>
      <c r="Z820"/>
      <c r="AA820"/>
      <c r="AB820"/>
      <c r="AC820"/>
      <c r="AD820"/>
      <c r="AE820"/>
      <c r="AF820"/>
      <c r="AG820"/>
      <c r="AI820" s="148"/>
      <c r="AJ820" s="1"/>
      <c r="AK820" s="1"/>
      <c r="AL820" s="54"/>
      <c r="AM820" s="1"/>
      <c r="AN820" s="43"/>
      <c r="AO820" s="1"/>
      <c r="AP820" s="1"/>
      <c r="AQ820" s="19"/>
      <c r="AR820" s="54"/>
      <c r="AS820" s="43"/>
      <c r="AT820" s="1"/>
      <c r="AU820" s="1"/>
      <c r="AV820" s="1"/>
      <c r="AW820" s="54"/>
      <c r="AX820" s="57"/>
      <c r="AY820" s="54"/>
      <c r="AZ820" s="54"/>
      <c r="BA820" s="54"/>
      <c r="BB820" s="54"/>
      <c r="BC820" s="57"/>
      <c r="BD820" s="1"/>
      <c r="BE820" s="1"/>
      <c r="BF820" s="1"/>
      <c r="BG820" s="54"/>
      <c r="BH820" s="43"/>
      <c r="BI820"/>
      <c r="BJ820" s="13"/>
      <c r="BK820" s="1"/>
      <c r="BL820"/>
      <c r="BM820"/>
      <c r="BN820"/>
      <c r="DY820" s="43"/>
      <c r="DZ820"/>
      <c r="EA820" s="19"/>
      <c r="EB820" s="19"/>
      <c r="EC820" s="9"/>
      <c r="ED820" s="9"/>
      <c r="EE820" s="9"/>
      <c r="EF820" s="9"/>
      <c r="EG820" s="9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  <c r="FT820" s="13"/>
      <c r="FU820" s="13"/>
      <c r="FV820" s="13"/>
      <c r="FW820" s="13"/>
      <c r="FX820" s="13"/>
      <c r="FY820" s="13"/>
      <c r="FZ820" s="13"/>
      <c r="GA820" s="13"/>
    </row>
    <row r="821" spans="1:183" s="52" customFormat="1" ht="13.2" x14ac:dyDescent="0.25">
      <c r="A821" s="2"/>
      <c r="B821" s="2"/>
      <c r="C821" s="9">
        <v>24</v>
      </c>
      <c r="D821" s="9">
        <v>46</v>
      </c>
      <c r="E821" s="9">
        <v>61</v>
      </c>
      <c r="F821" s="9">
        <v>69</v>
      </c>
      <c r="G821" s="9">
        <v>79</v>
      </c>
      <c r="H821" s="9">
        <v>86</v>
      </c>
      <c r="I821" s="43"/>
      <c r="J821" s="9">
        <v>86</v>
      </c>
      <c r="K821" s="43"/>
      <c r="L821" s="39">
        <v>44786</v>
      </c>
      <c r="M821" s="43"/>
      <c r="N821"/>
      <c r="O821"/>
      <c r="P821"/>
      <c r="Q821"/>
      <c r="R821"/>
      <c r="S821"/>
      <c r="T821"/>
      <c r="U821"/>
      <c r="V821"/>
      <c r="X821" s="43"/>
      <c r="Y821"/>
      <c r="Z821"/>
      <c r="AA821"/>
      <c r="AB821"/>
      <c r="AC821"/>
      <c r="AD821"/>
      <c r="AE821"/>
      <c r="AF821"/>
      <c r="AG821"/>
      <c r="AI821" s="148"/>
      <c r="AJ821" s="1"/>
      <c r="AK821" s="1"/>
      <c r="AL821" s="54"/>
      <c r="AM821" s="1"/>
      <c r="AN821" s="43"/>
      <c r="AO821" s="1"/>
      <c r="AP821" s="1"/>
      <c r="AQ821" s="19"/>
      <c r="AR821" s="54"/>
      <c r="AS821" s="43"/>
      <c r="AT821" s="1"/>
      <c r="AU821" s="1"/>
      <c r="AV821" s="1"/>
      <c r="AW821" s="54"/>
      <c r="AX821" s="57"/>
      <c r="AY821" s="54"/>
      <c r="AZ821" s="54"/>
      <c r="BA821" s="54"/>
      <c r="BB821" s="54"/>
      <c r="BC821" s="57"/>
      <c r="BD821" s="1"/>
      <c r="BE821" s="1"/>
      <c r="BF821" s="1"/>
      <c r="BG821" s="54"/>
      <c r="BH821" s="43"/>
      <c r="BI821"/>
      <c r="BJ821" s="13"/>
      <c r="BK821" s="1"/>
      <c r="BL821"/>
      <c r="BM821"/>
      <c r="BN821"/>
      <c r="DY821" s="43"/>
      <c r="DZ821"/>
      <c r="EA821" s="19"/>
      <c r="EB821" s="19"/>
      <c r="EC821" s="9"/>
      <c r="ED821" s="9"/>
      <c r="EE821" s="9"/>
      <c r="EF821" s="9"/>
      <c r="EG821" s="9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3"/>
      <c r="FJ821" s="13"/>
      <c r="FK821" s="13"/>
      <c r="FL821" s="13"/>
      <c r="FM821" s="13"/>
      <c r="FN821" s="13"/>
      <c r="FO821" s="13"/>
      <c r="FP821" s="13"/>
      <c r="FQ821" s="13"/>
      <c r="FR821" s="13"/>
      <c r="FS821" s="13"/>
      <c r="FT821" s="13"/>
      <c r="FU821" s="13"/>
      <c r="FV821" s="13"/>
      <c r="FW821" s="13"/>
      <c r="FX821" s="13"/>
      <c r="FY821" s="13"/>
      <c r="FZ821" s="13"/>
      <c r="GA821" s="13"/>
    </row>
    <row r="822" spans="1:183" s="52" customFormat="1" ht="13.2" x14ac:dyDescent="0.25">
      <c r="A822" s="2"/>
      <c r="B822" s="2"/>
      <c r="C822" s="9">
        <v>9</v>
      </c>
      <c r="D822" s="9">
        <v>13</v>
      </c>
      <c r="E822" s="9">
        <v>19</v>
      </c>
      <c r="F822" s="9">
        <v>28</v>
      </c>
      <c r="G822" s="9">
        <v>46</v>
      </c>
      <c r="H822" s="9">
        <v>69</v>
      </c>
      <c r="I822" s="43"/>
      <c r="J822" s="9">
        <v>69</v>
      </c>
      <c r="K822" s="43"/>
      <c r="L822" s="39">
        <v>44783</v>
      </c>
      <c r="M822" s="43"/>
      <c r="N822"/>
      <c r="O822"/>
      <c r="P822"/>
      <c r="Q822"/>
      <c r="R822"/>
      <c r="S822"/>
      <c r="T822"/>
      <c r="U822"/>
      <c r="V822"/>
      <c r="X822" s="43"/>
      <c r="Y822"/>
      <c r="Z822"/>
      <c r="AA822"/>
      <c r="AB822"/>
      <c r="AC822"/>
      <c r="AD822"/>
      <c r="AE822"/>
      <c r="AF822"/>
      <c r="AG822"/>
      <c r="AI822" s="148"/>
      <c r="AJ822" s="1"/>
      <c r="AK822" s="1"/>
      <c r="AL822" s="54"/>
      <c r="AM822" s="1"/>
      <c r="AN822" s="43"/>
      <c r="AO822" s="1"/>
      <c r="AP822" s="1"/>
      <c r="AQ822" s="19"/>
      <c r="AR822" s="54"/>
      <c r="AS822" s="43"/>
      <c r="AT822" s="1"/>
      <c r="AU822" s="1"/>
      <c r="AV822" s="1"/>
      <c r="AW822" s="54"/>
      <c r="AX822" s="57"/>
      <c r="AY822" s="54"/>
      <c r="AZ822" s="54"/>
      <c r="BA822" s="54"/>
      <c r="BB822" s="54"/>
      <c r="BC822" s="57"/>
      <c r="BD822" s="1"/>
      <c r="BE822" s="1"/>
      <c r="BF822" s="1"/>
      <c r="BG822" s="54"/>
      <c r="BH822" s="43"/>
      <c r="BI822"/>
      <c r="BJ822" s="13"/>
      <c r="BK822" s="1"/>
      <c r="BL822"/>
      <c r="BM822"/>
      <c r="BN822"/>
      <c r="DY822" s="43"/>
      <c r="DZ822"/>
      <c r="EA822" s="19"/>
      <c r="EB822" s="19"/>
      <c r="EC822" s="9"/>
      <c r="ED822" s="9"/>
      <c r="EE822" s="9"/>
      <c r="EF822" s="9"/>
      <c r="EG822" s="9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  <c r="FI822" s="13"/>
      <c r="FJ822" s="13"/>
      <c r="FK822" s="13"/>
      <c r="FL822" s="13"/>
      <c r="FM822" s="13"/>
      <c r="FN822" s="13"/>
      <c r="FO822" s="13"/>
      <c r="FP822" s="13"/>
      <c r="FQ822" s="13"/>
      <c r="FR822" s="13"/>
      <c r="FS822" s="13"/>
      <c r="FT822" s="13"/>
      <c r="FU822" s="13"/>
      <c r="FV822" s="13"/>
      <c r="FW822" s="13"/>
      <c r="FX822" s="13"/>
      <c r="FY822" s="13"/>
      <c r="FZ822" s="13"/>
      <c r="GA822" s="13"/>
    </row>
    <row r="823" spans="1:183" s="52" customFormat="1" ht="13.2" x14ac:dyDescent="0.25">
      <c r="A823" s="2"/>
      <c r="B823" s="2"/>
      <c r="C823" s="9">
        <v>13</v>
      </c>
      <c r="D823" s="9">
        <v>17</v>
      </c>
      <c r="E823" s="9">
        <v>26</v>
      </c>
      <c r="F823" s="9">
        <v>29</v>
      </c>
      <c r="G823" s="9">
        <v>34</v>
      </c>
      <c r="H823" s="9">
        <v>90</v>
      </c>
      <c r="I823" s="43"/>
      <c r="J823" s="9">
        <v>90</v>
      </c>
      <c r="K823" s="43"/>
      <c r="L823" s="39">
        <v>44781</v>
      </c>
      <c r="M823" s="43"/>
      <c r="N823"/>
      <c r="O823"/>
      <c r="P823"/>
      <c r="Q823"/>
      <c r="R823"/>
      <c r="S823"/>
      <c r="T823"/>
      <c r="U823"/>
      <c r="V823"/>
      <c r="X823" s="43"/>
      <c r="Y823"/>
      <c r="Z823"/>
      <c r="AA823"/>
      <c r="AB823"/>
      <c r="AC823"/>
      <c r="AD823"/>
      <c r="AE823"/>
      <c r="AF823"/>
      <c r="AG823"/>
      <c r="AI823" s="148"/>
      <c r="AJ823" s="1"/>
      <c r="AK823" s="1"/>
      <c r="AL823" s="54"/>
      <c r="AM823" s="1"/>
      <c r="AN823" s="43"/>
      <c r="AO823" s="1"/>
      <c r="AP823" s="1"/>
      <c r="AQ823" s="19"/>
      <c r="AR823" s="54"/>
      <c r="AS823" s="43"/>
      <c r="AT823" s="1"/>
      <c r="AU823" s="1"/>
      <c r="AV823" s="1"/>
      <c r="AW823" s="54"/>
      <c r="AX823" s="57"/>
      <c r="AY823" s="54"/>
      <c r="AZ823" s="54"/>
      <c r="BA823" s="54"/>
      <c r="BB823" s="54"/>
      <c r="BC823" s="57"/>
      <c r="BD823" s="1"/>
      <c r="BE823" s="1"/>
      <c r="BF823" s="1"/>
      <c r="BG823" s="54"/>
      <c r="BH823" s="43"/>
      <c r="BI823"/>
      <c r="BJ823" s="13"/>
      <c r="BK823" s="1"/>
      <c r="BL823"/>
      <c r="BM823"/>
      <c r="BN823"/>
      <c r="DY823" s="43"/>
      <c r="DZ823"/>
      <c r="EA823" s="19"/>
      <c r="EB823" s="19"/>
      <c r="EC823" s="9"/>
      <c r="ED823" s="9"/>
      <c r="EE823" s="9"/>
      <c r="EF823" s="9"/>
      <c r="EG823" s="9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3"/>
      <c r="FD823" s="13"/>
      <c r="FE823" s="13"/>
      <c r="FF823" s="13"/>
      <c r="FG823" s="13"/>
      <c r="FH823" s="13"/>
      <c r="FI823" s="13"/>
      <c r="FJ823" s="13"/>
      <c r="FK823" s="13"/>
      <c r="FL823" s="13"/>
      <c r="FM823" s="13"/>
      <c r="FN823" s="13"/>
      <c r="FO823" s="13"/>
      <c r="FP823" s="13"/>
      <c r="FQ823" s="13"/>
      <c r="FR823" s="13"/>
      <c r="FS823" s="13"/>
      <c r="FT823" s="13"/>
      <c r="FU823" s="13"/>
      <c r="FV823" s="13"/>
      <c r="FW823" s="13"/>
      <c r="FX823" s="13"/>
      <c r="FY823" s="13"/>
      <c r="FZ823" s="13"/>
      <c r="GA823" s="13"/>
    </row>
    <row r="824" spans="1:183" s="52" customFormat="1" ht="13.2" x14ac:dyDescent="0.25">
      <c r="A824" s="2"/>
      <c r="B824" s="2"/>
      <c r="C824" s="9">
        <v>11</v>
      </c>
      <c r="D824" s="9">
        <v>13</v>
      </c>
      <c r="E824" s="9">
        <v>16</v>
      </c>
      <c r="F824" s="9">
        <v>28</v>
      </c>
      <c r="G824" s="9">
        <v>53</v>
      </c>
      <c r="H824" s="9">
        <v>58</v>
      </c>
      <c r="I824" s="43"/>
      <c r="J824" s="9">
        <v>58</v>
      </c>
      <c r="K824" s="43"/>
      <c r="L824" s="39">
        <v>44779</v>
      </c>
      <c r="M824" s="43"/>
      <c r="N824"/>
      <c r="O824"/>
      <c r="P824"/>
      <c r="Q824"/>
      <c r="R824"/>
      <c r="S824"/>
      <c r="T824"/>
      <c r="U824"/>
      <c r="V824"/>
      <c r="X824" s="43"/>
      <c r="Y824"/>
      <c r="Z824"/>
      <c r="AA824"/>
      <c r="AB824"/>
      <c r="AC824"/>
      <c r="AD824"/>
      <c r="AE824"/>
      <c r="AF824"/>
      <c r="AG824"/>
      <c r="AI824" s="148"/>
      <c r="AJ824" s="1"/>
      <c r="AK824" s="1"/>
      <c r="AL824" s="54"/>
      <c r="AM824" s="1"/>
      <c r="AN824" s="43"/>
      <c r="AO824" s="1"/>
      <c r="AP824" s="1"/>
      <c r="AQ824" s="19"/>
      <c r="AR824" s="54"/>
      <c r="AS824" s="43"/>
      <c r="AT824" s="1"/>
      <c r="AU824" s="1"/>
      <c r="AV824" s="1"/>
      <c r="AW824" s="54"/>
      <c r="AX824" s="57"/>
      <c r="AY824" s="54"/>
      <c r="AZ824" s="54"/>
      <c r="BA824" s="54"/>
      <c r="BB824" s="54"/>
      <c r="BC824" s="57"/>
      <c r="BD824" s="1"/>
      <c r="BE824" s="1"/>
      <c r="BF824" s="1"/>
      <c r="BG824" s="54"/>
      <c r="BH824" s="43"/>
      <c r="BI824"/>
      <c r="BJ824" s="13"/>
      <c r="BK824" s="1"/>
      <c r="BL824"/>
      <c r="BM824"/>
      <c r="BN824"/>
      <c r="DY824" s="43"/>
      <c r="DZ824"/>
      <c r="EA824" s="19"/>
      <c r="EB824" s="19"/>
      <c r="EC824" s="9"/>
      <c r="ED824" s="9"/>
      <c r="EE824" s="9"/>
      <c r="EF824" s="9"/>
      <c r="EG824" s="9"/>
      <c r="EH824" s="13"/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3"/>
      <c r="FD824" s="13"/>
      <c r="FE824" s="13"/>
      <c r="FF824" s="13"/>
      <c r="FG824" s="13"/>
      <c r="FH824" s="13"/>
      <c r="FI824" s="13"/>
      <c r="FJ824" s="13"/>
      <c r="FK824" s="13"/>
      <c r="FL824" s="13"/>
      <c r="FM824" s="13"/>
      <c r="FN824" s="13"/>
      <c r="FO824" s="13"/>
      <c r="FP824" s="13"/>
      <c r="FQ824" s="13"/>
      <c r="FR824" s="13"/>
      <c r="FS824" s="13"/>
      <c r="FT824" s="13"/>
      <c r="FU824" s="13"/>
      <c r="FV824" s="13"/>
      <c r="FW824" s="13"/>
      <c r="FX824" s="13"/>
      <c r="FY824" s="13"/>
      <c r="FZ824" s="13"/>
      <c r="GA824" s="13"/>
    </row>
    <row r="825" spans="1:183" s="52" customFormat="1" ht="13.2" x14ac:dyDescent="0.25">
      <c r="A825" s="2"/>
      <c r="B825" s="2"/>
      <c r="C825" s="9">
        <v>5</v>
      </c>
      <c r="D825" s="9">
        <v>12</v>
      </c>
      <c r="E825" s="9">
        <v>13</v>
      </c>
      <c r="F825" s="9">
        <v>14</v>
      </c>
      <c r="G825" s="9">
        <v>32</v>
      </c>
      <c r="H825" s="9">
        <v>71</v>
      </c>
      <c r="I825" s="43"/>
      <c r="J825" s="9">
        <v>71</v>
      </c>
      <c r="K825" s="43"/>
      <c r="L825" s="39">
        <v>44776</v>
      </c>
      <c r="M825" s="43"/>
      <c r="N825"/>
      <c r="O825"/>
      <c r="P825"/>
      <c r="Q825"/>
      <c r="R825"/>
      <c r="S825"/>
      <c r="T825"/>
      <c r="U825"/>
      <c r="V825"/>
      <c r="X825" s="43"/>
      <c r="Y825"/>
      <c r="Z825"/>
      <c r="AA825"/>
      <c r="AB825"/>
      <c r="AC825"/>
      <c r="AD825"/>
      <c r="AE825"/>
      <c r="AF825"/>
      <c r="AG825"/>
      <c r="AI825" s="148"/>
      <c r="AJ825" s="1"/>
      <c r="AK825" s="1"/>
      <c r="AL825" s="54"/>
      <c r="AM825" s="1"/>
      <c r="AN825" s="43"/>
      <c r="AO825" s="1"/>
      <c r="AP825" s="1"/>
      <c r="AQ825" s="19"/>
      <c r="AR825" s="54"/>
      <c r="AS825" s="43"/>
      <c r="AT825" s="1"/>
      <c r="AU825" s="1"/>
      <c r="AV825" s="1"/>
      <c r="AW825" s="54"/>
      <c r="AX825" s="57"/>
      <c r="AY825" s="54"/>
      <c r="AZ825" s="54"/>
      <c r="BA825" s="54"/>
      <c r="BB825" s="54"/>
      <c r="BC825" s="57"/>
      <c r="BD825" s="1"/>
      <c r="BE825" s="1"/>
      <c r="BF825" s="1"/>
      <c r="BG825" s="54"/>
      <c r="BH825" s="43"/>
      <c r="BI825"/>
      <c r="BJ825" s="13"/>
      <c r="BK825" s="1"/>
      <c r="BL825"/>
      <c r="BM825"/>
      <c r="BN825"/>
      <c r="DY825" s="43"/>
      <c r="DZ825"/>
      <c r="EA825" s="19"/>
      <c r="EB825" s="19"/>
      <c r="EC825" s="9"/>
      <c r="ED825" s="9"/>
      <c r="EE825" s="9"/>
      <c r="EF825" s="9"/>
      <c r="EG825" s="9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3"/>
      <c r="FJ825" s="13"/>
      <c r="FK825" s="13"/>
      <c r="FL825" s="13"/>
      <c r="FM825" s="13"/>
      <c r="FN825" s="13"/>
      <c r="FO825" s="13"/>
      <c r="FP825" s="13"/>
      <c r="FQ825" s="13"/>
      <c r="FR825" s="13"/>
      <c r="FS825" s="13"/>
      <c r="FT825" s="13"/>
      <c r="FU825" s="13"/>
      <c r="FV825" s="13"/>
      <c r="FW825" s="13"/>
      <c r="FX825" s="13"/>
      <c r="FY825" s="13"/>
      <c r="FZ825" s="13"/>
      <c r="GA825" s="13"/>
    </row>
    <row r="826" spans="1:183" s="52" customFormat="1" ht="13.2" x14ac:dyDescent="0.25">
      <c r="A826" s="2"/>
      <c r="B826" s="2"/>
      <c r="C826" s="9">
        <v>4</v>
      </c>
      <c r="D826" s="9">
        <v>38</v>
      </c>
      <c r="E826" s="9">
        <v>63</v>
      </c>
      <c r="F826" s="9">
        <v>80</v>
      </c>
      <c r="G826" s="9">
        <v>86</v>
      </c>
      <c r="H826" s="9">
        <v>87</v>
      </c>
      <c r="I826" s="43"/>
      <c r="J826" s="9">
        <v>87</v>
      </c>
      <c r="K826" s="43"/>
      <c r="L826" s="39">
        <v>44774</v>
      </c>
      <c r="M826" s="43"/>
      <c r="N826"/>
      <c r="O826"/>
      <c r="P826"/>
      <c r="Q826"/>
      <c r="R826"/>
      <c r="S826"/>
      <c r="T826"/>
      <c r="U826"/>
      <c r="V826"/>
      <c r="X826" s="43"/>
      <c r="Y826"/>
      <c r="Z826"/>
      <c r="AA826"/>
      <c r="AB826"/>
      <c r="AC826"/>
      <c r="AD826"/>
      <c r="AE826"/>
      <c r="AF826"/>
      <c r="AG826"/>
      <c r="AI826" s="148"/>
      <c r="AJ826" s="1"/>
      <c r="AK826" s="1"/>
      <c r="AL826" s="54"/>
      <c r="AM826" s="1"/>
      <c r="AN826" s="43"/>
      <c r="AO826" s="1"/>
      <c r="AP826" s="1"/>
      <c r="AQ826" s="19"/>
      <c r="AR826" s="54"/>
      <c r="AS826" s="43"/>
      <c r="AT826" s="1"/>
      <c r="AU826" s="1"/>
      <c r="AV826" s="1"/>
      <c r="AW826" s="54"/>
      <c r="AX826" s="57"/>
      <c r="AY826" s="54"/>
      <c r="AZ826" s="54"/>
      <c r="BA826" s="54"/>
      <c r="BB826" s="54"/>
      <c r="BC826" s="57"/>
      <c r="BD826" s="1"/>
      <c r="BE826" s="1"/>
      <c r="BF826" s="1"/>
      <c r="BG826" s="54"/>
      <c r="BH826" s="43"/>
      <c r="BI826"/>
      <c r="BJ826" s="13"/>
      <c r="BK826" s="1"/>
      <c r="BL826"/>
      <c r="BM826"/>
      <c r="BN826"/>
      <c r="DY826" s="43"/>
      <c r="DZ826"/>
      <c r="EA826" s="19"/>
      <c r="EB826" s="19"/>
      <c r="EC826" s="9"/>
      <c r="ED826" s="9"/>
      <c r="EE826" s="9"/>
      <c r="EF826" s="9"/>
      <c r="EG826" s="9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3"/>
      <c r="FJ826" s="13"/>
      <c r="FK826" s="13"/>
      <c r="FL826" s="13"/>
      <c r="FM826" s="13"/>
      <c r="FN826" s="13"/>
      <c r="FO826" s="13"/>
      <c r="FP826" s="13"/>
      <c r="FQ826" s="13"/>
      <c r="FR826" s="13"/>
      <c r="FS826" s="13"/>
      <c r="FT826" s="13"/>
      <c r="FU826" s="13"/>
      <c r="FV826" s="13"/>
      <c r="FW826" s="13"/>
      <c r="FX826" s="13"/>
      <c r="FY826" s="13"/>
      <c r="FZ826" s="13"/>
      <c r="GA826" s="13"/>
    </row>
    <row r="827" spans="1:183" s="52" customFormat="1" ht="13.2" x14ac:dyDescent="0.25">
      <c r="A827" s="2"/>
      <c r="B827" s="2"/>
      <c r="C827" s="9">
        <v>16</v>
      </c>
      <c r="D827" s="9">
        <v>18</v>
      </c>
      <c r="E827" s="9">
        <v>43</v>
      </c>
      <c r="F827" s="9">
        <v>53</v>
      </c>
      <c r="G827" s="9">
        <v>58</v>
      </c>
      <c r="H827" s="9">
        <v>78</v>
      </c>
      <c r="I827" s="43"/>
      <c r="J827" s="9">
        <v>78</v>
      </c>
      <c r="K827" s="43"/>
      <c r="L827" s="39">
        <v>44772</v>
      </c>
      <c r="M827" s="43"/>
      <c r="N827"/>
      <c r="O827"/>
      <c r="P827"/>
      <c r="Q827"/>
      <c r="R827"/>
      <c r="S827"/>
      <c r="T827"/>
      <c r="U827"/>
      <c r="V827"/>
      <c r="X827" s="43"/>
      <c r="Y827"/>
      <c r="Z827"/>
      <c r="AA827"/>
      <c r="AB827"/>
      <c r="AC827"/>
      <c r="AD827"/>
      <c r="AE827"/>
      <c r="AF827"/>
      <c r="AG827"/>
      <c r="AI827" s="148"/>
      <c r="AJ827" s="1"/>
      <c r="AK827" s="1"/>
      <c r="AL827" s="54"/>
      <c r="AM827" s="1"/>
      <c r="AN827" s="43"/>
      <c r="AO827" s="1"/>
      <c r="AP827" s="1"/>
      <c r="AQ827" s="19"/>
      <c r="AR827" s="54"/>
      <c r="AS827" s="43"/>
      <c r="AT827" s="1"/>
      <c r="AU827" s="1"/>
      <c r="AV827" s="1"/>
      <c r="AW827" s="54"/>
      <c r="AX827" s="57"/>
      <c r="AY827" s="54"/>
      <c r="AZ827" s="54"/>
      <c r="BA827" s="54"/>
      <c r="BB827" s="54"/>
      <c r="BC827" s="57"/>
      <c r="BD827" s="1"/>
      <c r="BE827" s="1"/>
      <c r="BF827" s="1"/>
      <c r="BG827" s="54"/>
      <c r="BH827" s="43"/>
      <c r="BI827"/>
      <c r="BJ827" s="13"/>
      <c r="BK827" s="1"/>
      <c r="BL827"/>
      <c r="BM827"/>
      <c r="BN827"/>
      <c r="DY827" s="43"/>
      <c r="DZ827"/>
      <c r="EA827" s="19"/>
      <c r="EB827" s="19"/>
      <c r="EC827" s="9"/>
      <c r="ED827" s="9"/>
      <c r="EE827" s="9"/>
      <c r="EF827" s="9"/>
      <c r="EG827" s="9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3"/>
      <c r="FJ827" s="13"/>
      <c r="FK827" s="13"/>
      <c r="FL827" s="13"/>
      <c r="FM827" s="13"/>
      <c r="FN827" s="13"/>
      <c r="FO827" s="13"/>
      <c r="FP827" s="13"/>
      <c r="FQ827" s="13"/>
      <c r="FR827" s="13"/>
      <c r="FS827" s="13"/>
      <c r="FT827" s="13"/>
      <c r="FU827" s="13"/>
      <c r="FV827" s="13"/>
      <c r="FW827" s="13"/>
      <c r="FX827" s="13"/>
      <c r="FY827" s="13"/>
      <c r="FZ827" s="13"/>
      <c r="GA827" s="13"/>
    </row>
    <row r="828" spans="1:183" s="52" customFormat="1" ht="13.2" x14ac:dyDescent="0.25">
      <c r="A828" s="2"/>
      <c r="B828" s="2"/>
      <c r="C828" s="9">
        <v>3</v>
      </c>
      <c r="D828" s="9">
        <v>4</v>
      </c>
      <c r="E828" s="9">
        <v>19</v>
      </c>
      <c r="F828" s="9">
        <v>84</v>
      </c>
      <c r="G828" s="9">
        <v>85</v>
      </c>
      <c r="H828" s="9">
        <v>87</v>
      </c>
      <c r="I828" s="43"/>
      <c r="J828" s="9">
        <v>87</v>
      </c>
      <c r="K828" s="43"/>
      <c r="L828" s="39">
        <v>44769</v>
      </c>
      <c r="M828" s="43"/>
      <c r="N828"/>
      <c r="O828"/>
      <c r="P828"/>
      <c r="Q828"/>
      <c r="R828"/>
      <c r="S828"/>
      <c r="T828"/>
      <c r="U828"/>
      <c r="V828"/>
      <c r="X828" s="43"/>
      <c r="Y828"/>
      <c r="Z828"/>
      <c r="AA828"/>
      <c r="AB828"/>
      <c r="AC828"/>
      <c r="AD828"/>
      <c r="AE828"/>
      <c r="AF828"/>
      <c r="AG828"/>
      <c r="AI828" s="148"/>
      <c r="AJ828" s="1"/>
      <c r="AK828" s="1"/>
      <c r="AL828" s="54"/>
      <c r="AM828" s="1"/>
      <c r="AN828" s="43"/>
      <c r="AO828" s="1"/>
      <c r="AP828" s="1"/>
      <c r="AQ828" s="19"/>
      <c r="AR828" s="54"/>
      <c r="AS828" s="43"/>
      <c r="AT828" s="1"/>
      <c r="AU828" s="1"/>
      <c r="AV828" s="1"/>
      <c r="AW828" s="54"/>
      <c r="AX828" s="57"/>
      <c r="AY828" s="54"/>
      <c r="AZ828" s="54"/>
      <c r="BA828" s="54"/>
      <c r="BB828" s="54"/>
      <c r="BC828" s="57"/>
      <c r="BD828" s="1"/>
      <c r="BE828" s="1"/>
      <c r="BF828" s="1"/>
      <c r="BG828" s="54"/>
      <c r="BH828" s="43"/>
      <c r="BI828"/>
      <c r="BJ828" s="13"/>
      <c r="BK828" s="1"/>
      <c r="BL828"/>
      <c r="BM828"/>
      <c r="BN828"/>
      <c r="DY828" s="43"/>
      <c r="DZ828"/>
      <c r="EA828" s="19"/>
      <c r="EB828" s="19"/>
      <c r="EC828" s="9"/>
      <c r="ED828" s="9"/>
      <c r="EE828" s="9"/>
      <c r="EF828" s="9"/>
      <c r="EG828" s="9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  <c r="FI828" s="13"/>
      <c r="FJ828" s="13"/>
      <c r="FK828" s="13"/>
      <c r="FL828" s="13"/>
      <c r="FM828" s="13"/>
      <c r="FN828" s="13"/>
      <c r="FO828" s="13"/>
      <c r="FP828" s="13"/>
      <c r="FQ828" s="13"/>
      <c r="FR828" s="13"/>
      <c r="FS828" s="13"/>
      <c r="FT828" s="13"/>
      <c r="FU828" s="13"/>
      <c r="FV828" s="13"/>
      <c r="FW828" s="13"/>
      <c r="FX828" s="13"/>
      <c r="FY828" s="13"/>
      <c r="FZ828" s="13"/>
      <c r="GA828" s="13"/>
    </row>
    <row r="829" spans="1:183" s="52" customFormat="1" ht="13.2" x14ac:dyDescent="0.25">
      <c r="A829" s="2"/>
      <c r="B829" s="2"/>
      <c r="C829" s="9">
        <v>8</v>
      </c>
      <c r="D829" s="9">
        <v>15</v>
      </c>
      <c r="E829" s="9">
        <v>23</v>
      </c>
      <c r="F829" s="9">
        <v>34</v>
      </c>
      <c r="G829" s="9">
        <v>46</v>
      </c>
      <c r="H829" s="9">
        <v>73</v>
      </c>
      <c r="I829" s="43"/>
      <c r="J829" s="9">
        <v>73</v>
      </c>
      <c r="K829" s="43"/>
      <c r="L829" s="39">
        <v>44767</v>
      </c>
      <c r="M829" s="43"/>
      <c r="N829"/>
      <c r="O829"/>
      <c r="P829"/>
      <c r="Q829"/>
      <c r="R829"/>
      <c r="S829"/>
      <c r="T829"/>
      <c r="U829"/>
      <c r="V829"/>
      <c r="X829" s="43"/>
      <c r="Y829"/>
      <c r="Z829"/>
      <c r="AA829"/>
      <c r="AB829"/>
      <c r="AC829"/>
      <c r="AD829"/>
      <c r="AE829"/>
      <c r="AF829"/>
      <c r="AG829"/>
      <c r="AI829" s="148"/>
      <c r="AJ829" s="1"/>
      <c r="AK829" s="1"/>
      <c r="AL829" s="54"/>
      <c r="AM829" s="1"/>
      <c r="AN829" s="43"/>
      <c r="AO829" s="1"/>
      <c r="AP829" s="1"/>
      <c r="AQ829" s="19"/>
      <c r="AR829" s="54"/>
      <c r="AS829" s="43"/>
      <c r="AT829" s="1"/>
      <c r="AU829" s="1"/>
      <c r="AV829" s="1"/>
      <c r="AW829" s="54"/>
      <c r="AX829" s="57"/>
      <c r="AY829" s="54"/>
      <c r="AZ829" s="54"/>
      <c r="BA829" s="54"/>
      <c r="BB829" s="54"/>
      <c r="BC829" s="57"/>
      <c r="BD829" s="1"/>
      <c r="BE829" s="1"/>
      <c r="BF829" s="1"/>
      <c r="BG829" s="54"/>
      <c r="BH829" s="43"/>
      <c r="BI829"/>
      <c r="BJ829" s="13"/>
      <c r="BK829" s="1"/>
      <c r="BL829"/>
      <c r="BM829"/>
      <c r="BN829"/>
      <c r="DY829" s="43"/>
      <c r="DZ829"/>
      <c r="EA829" s="19"/>
      <c r="EB829" s="19"/>
      <c r="EC829" s="9"/>
      <c r="ED829" s="9"/>
      <c r="EE829" s="9"/>
      <c r="EF829" s="9"/>
      <c r="EG829" s="9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  <c r="FI829" s="13"/>
      <c r="FJ829" s="13"/>
      <c r="FK829" s="13"/>
      <c r="FL829" s="13"/>
      <c r="FM829" s="13"/>
      <c r="FN829" s="13"/>
      <c r="FO829" s="13"/>
      <c r="FP829" s="13"/>
      <c r="FQ829" s="13"/>
      <c r="FR829" s="13"/>
      <c r="FS829" s="13"/>
      <c r="FT829" s="13"/>
      <c r="FU829" s="13"/>
      <c r="FV829" s="13"/>
      <c r="FW829" s="13"/>
      <c r="FX829" s="13"/>
      <c r="FY829" s="13"/>
      <c r="FZ829" s="13"/>
      <c r="GA829" s="13"/>
    </row>
    <row r="830" spans="1:183" s="52" customFormat="1" ht="13.2" x14ac:dyDescent="0.25">
      <c r="A830" s="2"/>
      <c r="B830" s="2"/>
      <c r="C830" s="9">
        <v>9</v>
      </c>
      <c r="D830" s="9">
        <v>10</v>
      </c>
      <c r="E830" s="9">
        <v>28</v>
      </c>
      <c r="F830" s="9">
        <v>40</v>
      </c>
      <c r="G830" s="9">
        <v>53</v>
      </c>
      <c r="H830" s="9">
        <v>76</v>
      </c>
      <c r="I830" s="43"/>
      <c r="J830" s="9">
        <v>76</v>
      </c>
      <c r="K830" s="43"/>
      <c r="L830" s="39">
        <v>44765</v>
      </c>
      <c r="M830" s="43"/>
      <c r="N830"/>
      <c r="O830"/>
      <c r="P830"/>
      <c r="Q830"/>
      <c r="R830"/>
      <c r="S830"/>
      <c r="T830"/>
      <c r="U830"/>
      <c r="V830"/>
      <c r="X830" s="43"/>
      <c r="Y830"/>
      <c r="Z830"/>
      <c r="AA830"/>
      <c r="AB830"/>
      <c r="AC830"/>
      <c r="AD830"/>
      <c r="AE830"/>
      <c r="AF830"/>
      <c r="AG830"/>
      <c r="AI830" s="148"/>
      <c r="AJ830" s="1"/>
      <c r="AK830" s="1"/>
      <c r="AL830" s="54"/>
      <c r="AM830" s="1"/>
      <c r="AN830" s="43"/>
      <c r="AO830" s="1"/>
      <c r="AP830" s="1"/>
      <c r="AQ830" s="19"/>
      <c r="AR830" s="54"/>
      <c r="AS830" s="43"/>
      <c r="AT830" s="1"/>
      <c r="AU830" s="1"/>
      <c r="AV830" s="1"/>
      <c r="AW830" s="54"/>
      <c r="AX830" s="57"/>
      <c r="AY830" s="54"/>
      <c r="AZ830" s="54"/>
      <c r="BA830" s="54"/>
      <c r="BB830" s="54"/>
      <c r="BC830" s="57"/>
      <c r="BD830" s="1"/>
      <c r="BE830" s="1"/>
      <c r="BF830" s="1"/>
      <c r="BG830" s="54"/>
      <c r="BH830" s="43"/>
      <c r="BI830"/>
      <c r="BJ830" s="13"/>
      <c r="BK830" s="1"/>
      <c r="BL830"/>
      <c r="BM830"/>
      <c r="BN830"/>
      <c r="DY830" s="43"/>
      <c r="DZ830"/>
      <c r="EA830" s="19"/>
      <c r="EB830" s="19"/>
      <c r="EC830" s="9"/>
      <c r="ED830" s="9"/>
      <c r="EE830" s="9"/>
      <c r="EF830" s="9"/>
      <c r="EG830" s="9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3"/>
      <c r="FJ830" s="13"/>
      <c r="FK830" s="13"/>
      <c r="FL830" s="13"/>
      <c r="FM830" s="13"/>
      <c r="FN830" s="13"/>
      <c r="FO830" s="13"/>
      <c r="FP830" s="13"/>
      <c r="FQ830" s="13"/>
      <c r="FR830" s="13"/>
      <c r="FS830" s="13"/>
      <c r="FT830" s="13"/>
      <c r="FU830" s="13"/>
      <c r="FV830" s="13"/>
      <c r="FW830" s="13"/>
      <c r="FX830" s="13"/>
      <c r="FY830" s="13"/>
      <c r="FZ830" s="13"/>
      <c r="GA830" s="13"/>
    </row>
    <row r="831" spans="1:183" s="52" customFormat="1" ht="13.2" x14ac:dyDescent="0.25">
      <c r="A831" s="2"/>
      <c r="B831" s="2"/>
      <c r="C831" s="9">
        <v>8</v>
      </c>
      <c r="D831" s="9">
        <v>25</v>
      </c>
      <c r="E831" s="9">
        <v>32</v>
      </c>
      <c r="F831" s="9">
        <v>41</v>
      </c>
      <c r="G831" s="9">
        <v>46</v>
      </c>
      <c r="H831" s="9">
        <v>49</v>
      </c>
      <c r="I831" s="43"/>
      <c r="J831" s="9">
        <v>49</v>
      </c>
      <c r="K831" s="43"/>
      <c r="L831" s="39">
        <v>44762</v>
      </c>
      <c r="M831" s="43"/>
      <c r="N831"/>
      <c r="O831"/>
      <c r="P831"/>
      <c r="Q831"/>
      <c r="R831"/>
      <c r="S831"/>
      <c r="T831"/>
      <c r="U831"/>
      <c r="V831"/>
      <c r="X831" s="43"/>
      <c r="Y831"/>
      <c r="Z831"/>
      <c r="AA831"/>
      <c r="AB831"/>
      <c r="AC831"/>
      <c r="AD831"/>
      <c r="AE831"/>
      <c r="AF831"/>
      <c r="AG831"/>
      <c r="AI831" s="148"/>
      <c r="AJ831" s="1"/>
      <c r="AK831" s="1"/>
      <c r="AL831" s="54"/>
      <c r="AM831" s="1"/>
      <c r="AN831" s="43"/>
      <c r="AO831" s="1"/>
      <c r="AP831" s="1"/>
      <c r="AQ831" s="19"/>
      <c r="AR831" s="54"/>
      <c r="AS831" s="43"/>
      <c r="AT831" s="1"/>
      <c r="AU831" s="1"/>
      <c r="AV831" s="1"/>
      <c r="AW831" s="54"/>
      <c r="AX831" s="57"/>
      <c r="AY831" s="54"/>
      <c r="AZ831" s="54"/>
      <c r="BA831" s="54"/>
      <c r="BB831" s="54"/>
      <c r="BC831" s="57"/>
      <c r="BD831" s="1"/>
      <c r="BE831" s="1"/>
      <c r="BF831" s="1"/>
      <c r="BG831" s="54"/>
      <c r="BH831" s="43"/>
      <c r="BI831"/>
      <c r="BJ831" s="13"/>
      <c r="BK831" s="1"/>
      <c r="BL831"/>
      <c r="BM831"/>
      <c r="BN831"/>
      <c r="DY831" s="43"/>
      <c r="DZ831"/>
      <c r="EA831" s="19"/>
      <c r="EB831" s="19"/>
      <c r="EC831" s="9"/>
      <c r="ED831" s="9"/>
      <c r="EE831" s="9"/>
      <c r="EF831" s="9"/>
      <c r="EG831" s="9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  <c r="FI831" s="13"/>
      <c r="FJ831" s="13"/>
      <c r="FK831" s="13"/>
      <c r="FL831" s="13"/>
      <c r="FM831" s="13"/>
      <c r="FN831" s="13"/>
      <c r="FO831" s="13"/>
      <c r="FP831" s="13"/>
      <c r="FQ831" s="13"/>
      <c r="FR831" s="13"/>
      <c r="FS831" s="13"/>
      <c r="FT831" s="13"/>
      <c r="FU831" s="13"/>
      <c r="FV831" s="13"/>
      <c r="FW831" s="13"/>
      <c r="FX831" s="13"/>
      <c r="FY831" s="13"/>
      <c r="FZ831" s="13"/>
      <c r="GA831" s="13"/>
    </row>
    <row r="832" spans="1:183" s="52" customFormat="1" ht="13.2" x14ac:dyDescent="0.25">
      <c r="A832" s="2"/>
      <c r="B832" s="2"/>
      <c r="C832" s="9">
        <v>9</v>
      </c>
      <c r="D832" s="9">
        <v>11</v>
      </c>
      <c r="E832" s="9">
        <v>27</v>
      </c>
      <c r="F832" s="9">
        <v>51</v>
      </c>
      <c r="G832" s="9">
        <v>62</v>
      </c>
      <c r="H832" s="9">
        <v>72</v>
      </c>
      <c r="I832" s="43"/>
      <c r="J832" s="9">
        <v>72</v>
      </c>
      <c r="K832" s="43"/>
      <c r="L832" s="39">
        <v>44760</v>
      </c>
      <c r="M832" s="43"/>
      <c r="N832"/>
      <c r="O832"/>
      <c r="P832"/>
      <c r="Q832"/>
      <c r="R832"/>
      <c r="S832"/>
      <c r="T832"/>
      <c r="U832"/>
      <c r="V832"/>
      <c r="X832" s="43"/>
      <c r="Y832"/>
      <c r="Z832"/>
      <c r="AA832"/>
      <c r="AB832"/>
      <c r="AC832"/>
      <c r="AD832"/>
      <c r="AE832"/>
      <c r="AF832"/>
      <c r="AG832"/>
      <c r="AI832" s="148"/>
      <c r="AJ832" s="1"/>
      <c r="AK832" s="1"/>
      <c r="AL832" s="54"/>
      <c r="AM832" s="1"/>
      <c r="AN832" s="43"/>
      <c r="AO832" s="1"/>
      <c r="AP832" s="1"/>
      <c r="AQ832" s="19"/>
      <c r="AR832" s="54"/>
      <c r="AS832" s="43"/>
      <c r="AT832" s="1"/>
      <c r="AU832" s="1"/>
      <c r="AV832" s="1"/>
      <c r="AW832" s="54"/>
      <c r="AX832" s="57"/>
      <c r="AY832" s="54"/>
      <c r="AZ832" s="54"/>
      <c r="BA832" s="54"/>
      <c r="BB832" s="54"/>
      <c r="BC832" s="57"/>
      <c r="BD832" s="1"/>
      <c r="BE832" s="1"/>
      <c r="BF832" s="1"/>
      <c r="BG832" s="54"/>
      <c r="BH832" s="43"/>
      <c r="BI832"/>
      <c r="BJ832" s="13"/>
      <c r="BK832" s="1"/>
      <c r="BL832"/>
      <c r="BM832"/>
      <c r="BN832"/>
      <c r="DY832" s="43"/>
      <c r="DZ832"/>
      <c r="EA832" s="19"/>
      <c r="EB832" s="19"/>
      <c r="EC832" s="9"/>
      <c r="ED832" s="9"/>
      <c r="EE832" s="9"/>
      <c r="EF832" s="9"/>
      <c r="EG832" s="9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  <c r="FT832" s="13"/>
      <c r="FU832" s="13"/>
      <c r="FV832" s="13"/>
      <c r="FW832" s="13"/>
      <c r="FX832" s="13"/>
      <c r="FY832" s="13"/>
      <c r="FZ832" s="13"/>
      <c r="GA832" s="13"/>
    </row>
    <row r="833" spans="1:183" s="52" customFormat="1" ht="13.2" x14ac:dyDescent="0.25">
      <c r="A833" s="2"/>
      <c r="B833" s="2"/>
      <c r="C833" s="9">
        <v>10</v>
      </c>
      <c r="D833" s="9">
        <v>17</v>
      </c>
      <c r="E833" s="9">
        <v>26</v>
      </c>
      <c r="F833" s="9">
        <v>29</v>
      </c>
      <c r="G833" s="9">
        <v>75</v>
      </c>
      <c r="H833" s="9">
        <v>80</v>
      </c>
      <c r="I833" s="43"/>
      <c r="J833" s="9">
        <v>80</v>
      </c>
      <c r="K833" s="43"/>
      <c r="L833" s="39">
        <v>44758</v>
      </c>
      <c r="M833" s="43"/>
      <c r="N833"/>
      <c r="O833"/>
      <c r="P833"/>
      <c r="Q833"/>
      <c r="R833"/>
      <c r="S833"/>
      <c r="T833"/>
      <c r="U833"/>
      <c r="V833"/>
      <c r="X833" s="43"/>
      <c r="Y833"/>
      <c r="Z833"/>
      <c r="AA833"/>
      <c r="AB833"/>
      <c r="AC833"/>
      <c r="AD833"/>
      <c r="AE833"/>
      <c r="AF833"/>
      <c r="AG833"/>
      <c r="AI833" s="148"/>
      <c r="AJ833" s="1"/>
      <c r="AK833" s="1"/>
      <c r="AL833" s="54"/>
      <c r="AM833" s="1"/>
      <c r="AN833" s="43"/>
      <c r="AO833" s="1"/>
      <c r="AP833" s="1"/>
      <c r="AQ833" s="19"/>
      <c r="AR833" s="54"/>
      <c r="AS833" s="43"/>
      <c r="AT833" s="1"/>
      <c r="AU833" s="1"/>
      <c r="AV833" s="1"/>
      <c r="AW833" s="54"/>
      <c r="AX833" s="57"/>
      <c r="AY833" s="54"/>
      <c r="AZ833" s="54"/>
      <c r="BA833" s="54"/>
      <c r="BB833" s="54"/>
      <c r="BC833" s="57"/>
      <c r="BD833" s="1"/>
      <c r="BE833" s="1"/>
      <c r="BF833" s="1"/>
      <c r="BG833" s="54"/>
      <c r="BH833" s="43"/>
      <c r="BI833"/>
      <c r="BJ833" s="13"/>
      <c r="BK833" s="1"/>
      <c r="BL833"/>
      <c r="BM833"/>
      <c r="BN833"/>
      <c r="DY833" s="43"/>
      <c r="DZ833"/>
      <c r="EA833" s="19"/>
      <c r="EB833" s="19"/>
      <c r="EC833" s="9"/>
      <c r="ED833" s="9"/>
      <c r="EE833" s="9"/>
      <c r="EF833" s="9"/>
      <c r="EG833" s="9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3"/>
      <c r="FD833" s="13"/>
      <c r="FE833" s="13"/>
      <c r="FF833" s="13"/>
      <c r="FG833" s="13"/>
      <c r="FH833" s="13"/>
      <c r="FI833" s="13"/>
      <c r="FJ833" s="13"/>
      <c r="FK833" s="13"/>
      <c r="FL833" s="13"/>
      <c r="FM833" s="13"/>
      <c r="FN833" s="13"/>
      <c r="FO833" s="13"/>
      <c r="FP833" s="13"/>
      <c r="FQ833" s="13"/>
      <c r="FR833" s="13"/>
      <c r="FS833" s="13"/>
      <c r="FT833" s="13"/>
      <c r="FU833" s="13"/>
      <c r="FV833" s="13"/>
      <c r="FW833" s="13"/>
      <c r="FX833" s="13"/>
      <c r="FY833" s="13"/>
      <c r="FZ833" s="13"/>
      <c r="GA833" s="13"/>
    </row>
    <row r="834" spans="1:183" s="52" customFormat="1" ht="13.2" x14ac:dyDescent="0.25">
      <c r="A834" s="2"/>
      <c r="B834" s="2"/>
      <c r="C834" s="9">
        <v>3</v>
      </c>
      <c r="D834" s="9">
        <v>8</v>
      </c>
      <c r="E834" s="9">
        <v>21</v>
      </c>
      <c r="F834" s="9">
        <v>46</v>
      </c>
      <c r="G834" s="9">
        <v>60</v>
      </c>
      <c r="H834" s="9">
        <v>90</v>
      </c>
      <c r="I834" s="43"/>
      <c r="J834" s="9">
        <v>90</v>
      </c>
      <c r="K834" s="43"/>
      <c r="L834" s="39">
        <v>44755</v>
      </c>
      <c r="M834" s="43"/>
      <c r="N834"/>
      <c r="O834"/>
      <c r="P834"/>
      <c r="Q834"/>
      <c r="R834"/>
      <c r="S834"/>
      <c r="T834"/>
      <c r="U834"/>
      <c r="V834"/>
      <c r="X834" s="43"/>
      <c r="Y834"/>
      <c r="Z834"/>
      <c r="AA834"/>
      <c r="AB834"/>
      <c r="AC834"/>
      <c r="AD834"/>
      <c r="AE834"/>
      <c r="AF834"/>
      <c r="AG834"/>
      <c r="AI834" s="148"/>
      <c r="AJ834" s="1"/>
      <c r="AK834" s="1"/>
      <c r="AL834" s="54"/>
      <c r="AM834" s="1"/>
      <c r="AN834" s="43"/>
      <c r="AO834" s="1"/>
      <c r="AP834" s="1"/>
      <c r="AQ834" s="19"/>
      <c r="AR834" s="54"/>
      <c r="AS834" s="43"/>
      <c r="AT834" s="1"/>
      <c r="AU834" s="1"/>
      <c r="AV834" s="1"/>
      <c r="AW834" s="54"/>
      <c r="AX834" s="57"/>
      <c r="AY834" s="54"/>
      <c r="AZ834" s="54"/>
      <c r="BA834" s="54"/>
      <c r="BB834" s="54"/>
      <c r="BC834" s="57"/>
      <c r="BD834" s="1"/>
      <c r="BE834" s="1"/>
      <c r="BF834" s="1"/>
      <c r="BG834" s="54"/>
      <c r="BH834" s="43"/>
      <c r="BI834"/>
      <c r="BJ834" s="13"/>
      <c r="BK834" s="1"/>
      <c r="BL834"/>
      <c r="BM834"/>
      <c r="BN834"/>
      <c r="DY834" s="43"/>
      <c r="DZ834"/>
      <c r="EA834" s="19"/>
      <c r="EB834" s="19"/>
      <c r="EC834" s="9"/>
      <c r="ED834" s="9"/>
      <c r="EE834" s="9"/>
      <c r="EF834" s="9"/>
      <c r="EG834" s="9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3"/>
      <c r="FD834" s="13"/>
      <c r="FE834" s="13"/>
      <c r="FF834" s="13"/>
      <c r="FG834" s="13"/>
      <c r="FH834" s="13"/>
      <c r="FI834" s="13"/>
      <c r="FJ834" s="13"/>
      <c r="FK834" s="13"/>
      <c r="FL834" s="13"/>
      <c r="FM834" s="13"/>
      <c r="FN834" s="13"/>
      <c r="FO834" s="13"/>
      <c r="FP834" s="13"/>
      <c r="FQ834" s="13"/>
      <c r="FR834" s="13"/>
      <c r="FS834" s="13"/>
      <c r="FT834" s="13"/>
      <c r="FU834" s="13"/>
      <c r="FV834" s="13"/>
      <c r="FW834" s="13"/>
      <c r="FX834" s="13"/>
      <c r="FY834" s="13"/>
      <c r="FZ834" s="13"/>
      <c r="GA834" s="13"/>
    </row>
    <row r="835" spans="1:183" s="52" customFormat="1" ht="13.2" x14ac:dyDescent="0.25">
      <c r="A835" s="2"/>
      <c r="B835" s="2"/>
      <c r="C835" s="9">
        <v>8</v>
      </c>
      <c r="D835" s="9">
        <v>22</v>
      </c>
      <c r="E835" s="9">
        <v>23</v>
      </c>
      <c r="F835" s="9">
        <v>40</v>
      </c>
      <c r="G835" s="9">
        <v>51</v>
      </c>
      <c r="H835" s="9">
        <v>89</v>
      </c>
      <c r="I835" s="43"/>
      <c r="J835" s="9">
        <v>89</v>
      </c>
      <c r="K835" s="43"/>
      <c r="L835" s="39">
        <v>44753</v>
      </c>
      <c r="M835" s="43"/>
      <c r="N835"/>
      <c r="O835"/>
      <c r="P835"/>
      <c r="Q835"/>
      <c r="R835"/>
      <c r="S835"/>
      <c r="T835"/>
      <c r="U835"/>
      <c r="V835"/>
      <c r="X835" s="43"/>
      <c r="Y835"/>
      <c r="Z835"/>
      <c r="AA835"/>
      <c r="AB835"/>
      <c r="AC835"/>
      <c r="AD835"/>
      <c r="AE835"/>
      <c r="AF835"/>
      <c r="AG835"/>
      <c r="AI835" s="148"/>
      <c r="AJ835" s="1"/>
      <c r="AK835" s="1"/>
      <c r="AL835" s="54"/>
      <c r="AM835" s="1"/>
      <c r="AN835" s="43"/>
      <c r="AO835" s="1"/>
      <c r="AP835" s="1"/>
      <c r="AQ835" s="19"/>
      <c r="AR835" s="54"/>
      <c r="AS835" s="43"/>
      <c r="AT835" s="1"/>
      <c r="AU835" s="1"/>
      <c r="AV835" s="1"/>
      <c r="AW835" s="54"/>
      <c r="AX835" s="57"/>
      <c r="AY835" s="54"/>
      <c r="AZ835" s="54"/>
      <c r="BA835" s="54"/>
      <c r="BB835" s="54"/>
      <c r="BC835" s="57"/>
      <c r="BD835" s="1"/>
      <c r="BE835" s="1"/>
      <c r="BF835" s="1"/>
      <c r="BG835" s="54"/>
      <c r="BH835" s="43"/>
      <c r="BI835"/>
      <c r="BJ835" s="13"/>
      <c r="BK835" s="1"/>
      <c r="BL835"/>
      <c r="BM835"/>
      <c r="BN835"/>
      <c r="DY835" s="43"/>
      <c r="DZ835"/>
      <c r="EA835" s="19"/>
      <c r="EB835" s="19"/>
      <c r="EC835" s="9"/>
      <c r="ED835" s="9"/>
      <c r="EE835" s="9"/>
      <c r="EF835" s="9"/>
      <c r="EG835" s="9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/>
      <c r="FK835" s="13"/>
      <c r="FL835" s="13"/>
      <c r="FM835" s="13"/>
      <c r="FN835" s="13"/>
      <c r="FO835" s="13"/>
      <c r="FP835" s="13"/>
      <c r="FQ835" s="13"/>
      <c r="FR835" s="13"/>
      <c r="FS835" s="13"/>
      <c r="FT835" s="13"/>
      <c r="FU835" s="13"/>
      <c r="FV835" s="13"/>
      <c r="FW835" s="13"/>
      <c r="FX835" s="13"/>
      <c r="FY835" s="13"/>
      <c r="FZ835" s="13"/>
      <c r="GA835" s="13"/>
    </row>
    <row r="836" spans="1:183" s="52" customFormat="1" ht="13.2" x14ac:dyDescent="0.25">
      <c r="A836" s="2"/>
      <c r="B836" s="2"/>
      <c r="C836" s="9">
        <v>15</v>
      </c>
      <c r="D836" s="9">
        <v>81</v>
      </c>
      <c r="E836" s="9">
        <v>83</v>
      </c>
      <c r="F836" s="9">
        <v>87</v>
      </c>
      <c r="G836" s="9">
        <v>88</v>
      </c>
      <c r="H836" s="9">
        <v>90</v>
      </c>
      <c r="I836" s="43"/>
      <c r="J836" s="9">
        <v>90</v>
      </c>
      <c r="K836" s="43"/>
      <c r="L836" s="39">
        <v>44751</v>
      </c>
      <c r="M836" s="43"/>
      <c r="N836"/>
      <c r="O836"/>
      <c r="P836"/>
      <c r="Q836"/>
      <c r="R836"/>
      <c r="S836"/>
      <c r="T836"/>
      <c r="U836"/>
      <c r="V836"/>
      <c r="X836" s="43"/>
      <c r="Y836"/>
      <c r="Z836"/>
      <c r="AA836"/>
      <c r="AB836"/>
      <c r="AC836"/>
      <c r="AD836"/>
      <c r="AE836"/>
      <c r="AF836"/>
      <c r="AG836"/>
      <c r="AI836" s="148"/>
      <c r="AJ836" s="1"/>
      <c r="AK836" s="1"/>
      <c r="AL836" s="54"/>
      <c r="AM836" s="1"/>
      <c r="AN836" s="43"/>
      <c r="AO836" s="1"/>
      <c r="AP836" s="1"/>
      <c r="AQ836" s="19"/>
      <c r="AR836" s="54"/>
      <c r="AS836" s="43"/>
      <c r="AT836" s="1"/>
      <c r="AU836" s="1"/>
      <c r="AV836" s="1"/>
      <c r="AW836" s="54"/>
      <c r="AX836" s="57"/>
      <c r="AY836" s="54"/>
      <c r="AZ836" s="54"/>
      <c r="BA836" s="54"/>
      <c r="BB836" s="54"/>
      <c r="BC836" s="57"/>
      <c r="BD836" s="1"/>
      <c r="BE836" s="1"/>
      <c r="BF836" s="1"/>
      <c r="BG836" s="54"/>
      <c r="BH836" s="43"/>
      <c r="BI836"/>
      <c r="BJ836" s="13"/>
      <c r="BK836" s="1"/>
      <c r="BL836"/>
      <c r="BM836"/>
      <c r="BN836"/>
      <c r="DY836" s="43"/>
      <c r="DZ836"/>
      <c r="EA836" s="19"/>
      <c r="EB836" s="19"/>
      <c r="EC836" s="9"/>
      <c r="ED836" s="9"/>
      <c r="EE836" s="9"/>
      <c r="EF836" s="9"/>
      <c r="EG836" s="9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3"/>
      <c r="FD836" s="13"/>
      <c r="FE836" s="13"/>
      <c r="FF836" s="13"/>
      <c r="FG836" s="13"/>
      <c r="FH836" s="13"/>
      <c r="FI836" s="13"/>
      <c r="FJ836" s="13"/>
      <c r="FK836" s="13"/>
      <c r="FL836" s="13"/>
      <c r="FM836" s="13"/>
      <c r="FN836" s="13"/>
      <c r="FO836" s="13"/>
      <c r="FP836" s="13"/>
      <c r="FQ836" s="13"/>
      <c r="FR836" s="13"/>
      <c r="FS836" s="13"/>
      <c r="FT836" s="13"/>
      <c r="FU836" s="13"/>
      <c r="FV836" s="13"/>
      <c r="FW836" s="13"/>
      <c r="FX836" s="13"/>
      <c r="FY836" s="13"/>
      <c r="FZ836" s="13"/>
      <c r="GA836" s="13"/>
    </row>
    <row r="837" spans="1:183" s="52" customFormat="1" ht="13.2" x14ac:dyDescent="0.25">
      <c r="A837" s="2"/>
      <c r="B837" s="2"/>
      <c r="C837" s="9">
        <v>49</v>
      </c>
      <c r="D837" s="9">
        <v>79</v>
      </c>
      <c r="E837" s="9">
        <v>81</v>
      </c>
      <c r="F837" s="9">
        <v>82</v>
      </c>
      <c r="G837" s="9">
        <v>83</v>
      </c>
      <c r="H837" s="9">
        <v>88</v>
      </c>
      <c r="I837" s="43"/>
      <c r="J837" s="9">
        <v>88</v>
      </c>
      <c r="K837" s="43"/>
      <c r="L837" s="39">
        <v>44748</v>
      </c>
      <c r="M837" s="43"/>
      <c r="N837"/>
      <c r="O837"/>
      <c r="P837"/>
      <c r="Q837"/>
      <c r="R837"/>
      <c r="S837"/>
      <c r="T837"/>
      <c r="U837"/>
      <c r="V837"/>
      <c r="X837" s="43"/>
      <c r="Y837"/>
      <c r="Z837"/>
      <c r="AA837"/>
      <c r="AB837"/>
      <c r="AC837"/>
      <c r="AD837"/>
      <c r="AE837"/>
      <c r="AF837"/>
      <c r="AG837"/>
      <c r="AI837" s="148"/>
      <c r="AJ837" s="1"/>
      <c r="AK837" s="1"/>
      <c r="AL837" s="54"/>
      <c r="AM837" s="1"/>
      <c r="AN837" s="43"/>
      <c r="AO837" s="1"/>
      <c r="AP837" s="1"/>
      <c r="AQ837" s="19"/>
      <c r="AR837" s="54"/>
      <c r="AS837" s="43"/>
      <c r="AT837" s="1"/>
      <c r="AU837" s="1"/>
      <c r="AV837" s="1"/>
      <c r="AW837" s="54"/>
      <c r="AX837" s="57"/>
      <c r="AY837" s="54"/>
      <c r="AZ837" s="54"/>
      <c r="BA837" s="54"/>
      <c r="BB837" s="54"/>
      <c r="BC837" s="57"/>
      <c r="BD837" s="1"/>
      <c r="BE837" s="1"/>
      <c r="BF837" s="1"/>
      <c r="BG837" s="54"/>
      <c r="BH837" s="43"/>
      <c r="BI837"/>
      <c r="BJ837" s="13"/>
      <c r="BK837" s="1"/>
      <c r="BL837"/>
      <c r="BM837"/>
      <c r="BN837"/>
      <c r="DY837" s="43"/>
      <c r="DZ837"/>
      <c r="EA837" s="19"/>
      <c r="EB837" s="19"/>
      <c r="EC837" s="9"/>
      <c r="ED837" s="9"/>
      <c r="EE837" s="9"/>
      <c r="EF837" s="9"/>
      <c r="EG837" s="9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  <c r="FU837" s="13"/>
      <c r="FV837" s="13"/>
      <c r="FW837" s="13"/>
      <c r="FX837" s="13"/>
      <c r="FY837" s="13"/>
      <c r="FZ837" s="13"/>
      <c r="GA837" s="13"/>
    </row>
    <row r="838" spans="1:183" s="52" customFormat="1" ht="13.2" x14ac:dyDescent="0.25">
      <c r="A838" s="2"/>
      <c r="B838" s="2"/>
      <c r="C838" s="9">
        <v>20</v>
      </c>
      <c r="D838" s="9">
        <v>21</v>
      </c>
      <c r="E838" s="9">
        <v>55</v>
      </c>
      <c r="F838" s="9">
        <v>81</v>
      </c>
      <c r="G838" s="9">
        <v>86</v>
      </c>
      <c r="H838" s="9">
        <v>88</v>
      </c>
      <c r="I838" s="43"/>
      <c r="J838" s="9">
        <v>88</v>
      </c>
      <c r="K838" s="43"/>
      <c r="L838" s="39">
        <v>44746</v>
      </c>
      <c r="M838" s="43"/>
      <c r="N838"/>
      <c r="O838"/>
      <c r="P838"/>
      <c r="Q838"/>
      <c r="R838"/>
      <c r="S838"/>
      <c r="T838"/>
      <c r="U838"/>
      <c r="V838"/>
      <c r="X838" s="43"/>
      <c r="Y838"/>
      <c r="Z838"/>
      <c r="AA838"/>
      <c r="AB838"/>
      <c r="AC838"/>
      <c r="AD838"/>
      <c r="AE838"/>
      <c r="AF838"/>
      <c r="AG838"/>
      <c r="AI838" s="148"/>
      <c r="AJ838" s="1"/>
      <c r="AK838" s="1"/>
      <c r="AL838" s="54"/>
      <c r="AM838" s="1"/>
      <c r="AN838" s="43"/>
      <c r="AO838" s="1"/>
      <c r="AP838" s="1"/>
      <c r="AQ838" s="19"/>
      <c r="AR838" s="54"/>
      <c r="AS838" s="43"/>
      <c r="AT838" s="1"/>
      <c r="AU838" s="1"/>
      <c r="AV838" s="1"/>
      <c r="AW838" s="54"/>
      <c r="AX838" s="57"/>
      <c r="AY838" s="54"/>
      <c r="AZ838" s="54"/>
      <c r="BA838" s="54"/>
      <c r="BB838" s="54"/>
      <c r="BC838" s="57"/>
      <c r="BD838" s="1"/>
      <c r="BE838" s="1"/>
      <c r="BF838" s="1"/>
      <c r="BG838" s="54"/>
      <c r="BH838" s="43"/>
      <c r="BI838"/>
      <c r="BJ838" s="13"/>
      <c r="BK838" s="1"/>
      <c r="BL838"/>
      <c r="BM838"/>
      <c r="BN838"/>
      <c r="DY838" s="43"/>
      <c r="DZ838"/>
      <c r="EA838" s="19"/>
      <c r="EB838" s="19"/>
      <c r="EC838" s="9"/>
      <c r="ED838" s="9"/>
      <c r="EE838" s="9"/>
      <c r="EF838" s="9"/>
      <c r="EG838" s="9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  <c r="FI838" s="13"/>
      <c r="FJ838" s="13"/>
      <c r="FK838" s="13"/>
      <c r="FL838" s="13"/>
      <c r="FM838" s="13"/>
      <c r="FN838" s="13"/>
      <c r="FO838" s="13"/>
      <c r="FP838" s="13"/>
      <c r="FQ838" s="13"/>
      <c r="FR838" s="13"/>
      <c r="FS838" s="13"/>
      <c r="FT838" s="13"/>
      <c r="FU838" s="13"/>
      <c r="FV838" s="13"/>
      <c r="FW838" s="13"/>
      <c r="FX838" s="13"/>
      <c r="FY838" s="13"/>
      <c r="FZ838" s="13"/>
      <c r="GA838" s="13"/>
    </row>
    <row r="839" spans="1:183" s="52" customFormat="1" ht="13.2" x14ac:dyDescent="0.25">
      <c r="A839" s="2"/>
      <c r="B839" s="2"/>
      <c r="C839" s="9">
        <v>12</v>
      </c>
      <c r="D839" s="9">
        <v>36</v>
      </c>
      <c r="E839" s="9">
        <v>42</v>
      </c>
      <c r="F839" s="9">
        <v>71</v>
      </c>
      <c r="G839" s="9">
        <v>86</v>
      </c>
      <c r="H839" s="9">
        <v>89</v>
      </c>
      <c r="I839" s="43"/>
      <c r="J839" s="9">
        <v>89</v>
      </c>
      <c r="K839" s="43"/>
      <c r="L839" s="39">
        <v>44744</v>
      </c>
      <c r="M839" s="43"/>
      <c r="N839"/>
      <c r="O839"/>
      <c r="P839"/>
      <c r="Q839"/>
      <c r="R839"/>
      <c r="S839"/>
      <c r="T839"/>
      <c r="U839"/>
      <c r="V839"/>
      <c r="X839" s="43"/>
      <c r="Y839"/>
      <c r="Z839"/>
      <c r="AA839"/>
      <c r="AB839"/>
      <c r="AC839"/>
      <c r="AD839"/>
      <c r="AE839"/>
      <c r="AF839"/>
      <c r="AG839"/>
      <c r="AI839" s="148"/>
      <c r="AJ839" s="1"/>
      <c r="AK839" s="1"/>
      <c r="AL839" s="54"/>
      <c r="AM839" s="1"/>
      <c r="AN839" s="43"/>
      <c r="AO839" s="1"/>
      <c r="AP839" s="1"/>
      <c r="AQ839" s="19"/>
      <c r="AR839" s="54"/>
      <c r="AS839" s="43"/>
      <c r="AT839" s="1"/>
      <c r="AU839" s="1"/>
      <c r="AV839" s="1"/>
      <c r="AW839" s="54"/>
      <c r="AX839" s="57"/>
      <c r="AY839" s="54"/>
      <c r="AZ839" s="54"/>
      <c r="BA839" s="54"/>
      <c r="BB839" s="54"/>
      <c r="BC839" s="57"/>
      <c r="BD839" s="1"/>
      <c r="BE839" s="1"/>
      <c r="BF839" s="1"/>
      <c r="BG839" s="54"/>
      <c r="BH839" s="43"/>
      <c r="BI839"/>
      <c r="BJ839" s="13"/>
      <c r="BK839" s="1"/>
      <c r="BL839"/>
      <c r="BM839"/>
      <c r="BN839"/>
      <c r="DY839" s="43"/>
      <c r="DZ839"/>
      <c r="EA839" s="19"/>
      <c r="EB839" s="19"/>
      <c r="EC839" s="9"/>
      <c r="ED839" s="9"/>
      <c r="EE839" s="9"/>
      <c r="EF839" s="9"/>
      <c r="EG839" s="9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3"/>
      <c r="FJ839" s="13"/>
      <c r="FK839" s="13"/>
      <c r="FL839" s="13"/>
      <c r="FM839" s="13"/>
      <c r="FN839" s="13"/>
      <c r="FO839" s="13"/>
      <c r="FP839" s="13"/>
      <c r="FQ839" s="13"/>
      <c r="FR839" s="13"/>
      <c r="FS839" s="13"/>
      <c r="FT839" s="13"/>
      <c r="FU839" s="13"/>
      <c r="FV839" s="13"/>
      <c r="FW839" s="13"/>
      <c r="FX839" s="13"/>
      <c r="FY839" s="13"/>
      <c r="FZ839" s="13"/>
      <c r="GA839" s="13"/>
    </row>
    <row r="840" spans="1:183" s="52" customFormat="1" ht="13.2" x14ac:dyDescent="0.25">
      <c r="A840" s="2"/>
      <c r="B840" s="2"/>
      <c r="C840" s="9">
        <v>1</v>
      </c>
      <c r="D840" s="9">
        <v>12</v>
      </c>
      <c r="E840" s="9">
        <v>19</v>
      </c>
      <c r="F840" s="9">
        <v>22</v>
      </c>
      <c r="G840" s="9">
        <v>53</v>
      </c>
      <c r="H840" s="9">
        <v>67</v>
      </c>
      <c r="I840" s="43"/>
      <c r="J840" s="9">
        <v>67</v>
      </c>
      <c r="K840" s="43"/>
      <c r="L840" s="39">
        <v>44741</v>
      </c>
      <c r="M840" s="43"/>
      <c r="N840"/>
      <c r="O840"/>
      <c r="P840"/>
      <c r="Q840"/>
      <c r="R840"/>
      <c r="S840"/>
      <c r="T840"/>
      <c r="U840"/>
      <c r="V840"/>
      <c r="X840" s="43"/>
      <c r="Y840"/>
      <c r="Z840"/>
      <c r="AA840"/>
      <c r="AB840"/>
      <c r="AC840"/>
      <c r="AD840"/>
      <c r="AE840"/>
      <c r="AF840"/>
      <c r="AG840"/>
      <c r="AI840" s="148"/>
      <c r="AJ840" s="1"/>
      <c r="AK840" s="1"/>
      <c r="AL840" s="54"/>
      <c r="AM840" s="1"/>
      <c r="AN840" s="43"/>
      <c r="AO840" s="1"/>
      <c r="AP840" s="1"/>
      <c r="AQ840" s="19"/>
      <c r="AR840" s="54"/>
      <c r="AS840" s="43"/>
      <c r="AT840" s="1"/>
      <c r="AU840" s="1"/>
      <c r="AV840" s="1"/>
      <c r="AW840" s="54"/>
      <c r="AX840" s="57"/>
      <c r="AY840" s="54"/>
      <c r="AZ840" s="54"/>
      <c r="BA840" s="54"/>
      <c r="BB840" s="54"/>
      <c r="BC840" s="57"/>
      <c r="BD840" s="1"/>
      <c r="BE840" s="1"/>
      <c r="BF840" s="1"/>
      <c r="BG840" s="54"/>
      <c r="BH840" s="43"/>
      <c r="BI840"/>
      <c r="BJ840" s="13"/>
      <c r="BK840" s="1"/>
      <c r="BL840"/>
      <c r="BM840"/>
      <c r="BN840"/>
      <c r="DY840" s="43"/>
      <c r="DZ840"/>
      <c r="EA840" s="19"/>
      <c r="EB840" s="19"/>
      <c r="EC840" s="9"/>
      <c r="ED840" s="9"/>
      <c r="EE840" s="9"/>
      <c r="EF840" s="9"/>
      <c r="EG840" s="9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  <c r="FI840" s="13"/>
      <c r="FJ840" s="13"/>
      <c r="FK840" s="13"/>
      <c r="FL840" s="13"/>
      <c r="FM840" s="13"/>
      <c r="FN840" s="13"/>
      <c r="FO840" s="13"/>
      <c r="FP840" s="13"/>
      <c r="FQ840" s="13"/>
      <c r="FR840" s="13"/>
      <c r="FS840" s="13"/>
      <c r="FT840" s="13"/>
      <c r="FU840" s="13"/>
      <c r="FV840" s="13"/>
      <c r="FW840" s="13"/>
      <c r="FX840" s="13"/>
      <c r="FY840" s="13"/>
      <c r="FZ840" s="13"/>
      <c r="GA840" s="13"/>
    </row>
    <row r="841" spans="1:183" s="52" customFormat="1" ht="13.2" x14ac:dyDescent="0.25">
      <c r="A841" s="2"/>
      <c r="B841" s="2"/>
      <c r="C841" s="9">
        <v>25</v>
      </c>
      <c r="D841" s="9">
        <v>45</v>
      </c>
      <c r="E841" s="9">
        <v>48</v>
      </c>
      <c r="F841" s="9">
        <v>55</v>
      </c>
      <c r="G841" s="9">
        <v>79</v>
      </c>
      <c r="H841" s="9">
        <v>82</v>
      </c>
      <c r="I841" s="43"/>
      <c r="J841" s="9">
        <v>82</v>
      </c>
      <c r="K841" s="43"/>
      <c r="L841" s="39">
        <v>44739</v>
      </c>
      <c r="M841" s="43"/>
      <c r="N841"/>
      <c r="O841"/>
      <c r="P841"/>
      <c r="Q841"/>
      <c r="R841"/>
      <c r="S841"/>
      <c r="T841"/>
      <c r="U841"/>
      <c r="V841"/>
      <c r="X841" s="43"/>
      <c r="Y841"/>
      <c r="Z841"/>
      <c r="AA841"/>
      <c r="AB841"/>
      <c r="AC841"/>
      <c r="AD841"/>
      <c r="AE841"/>
      <c r="AF841"/>
      <c r="AG841"/>
      <c r="AI841" s="148"/>
      <c r="AJ841" s="1"/>
      <c r="AK841" s="1"/>
      <c r="AL841" s="54"/>
      <c r="AM841" s="1"/>
      <c r="AN841" s="43"/>
      <c r="AO841" s="1"/>
      <c r="AP841" s="1"/>
      <c r="AQ841" s="19"/>
      <c r="AR841" s="54"/>
      <c r="AS841" s="43"/>
      <c r="AT841" s="1"/>
      <c r="AU841" s="1"/>
      <c r="AV841" s="1"/>
      <c r="AW841" s="54"/>
      <c r="AX841" s="57"/>
      <c r="AY841" s="54"/>
      <c r="AZ841" s="54"/>
      <c r="BA841" s="54"/>
      <c r="BB841" s="54"/>
      <c r="BC841" s="57"/>
      <c r="BD841" s="1"/>
      <c r="BE841" s="1"/>
      <c r="BF841" s="1"/>
      <c r="BG841" s="54"/>
      <c r="BH841" s="43"/>
      <c r="BI841"/>
      <c r="BJ841" s="13"/>
      <c r="BK841" s="1"/>
      <c r="BL841"/>
      <c r="BM841"/>
      <c r="BN841"/>
      <c r="DY841" s="43"/>
      <c r="DZ841"/>
      <c r="EA841" s="19"/>
      <c r="EB841" s="19"/>
      <c r="EC841" s="9"/>
      <c r="ED841" s="9"/>
      <c r="EE841" s="9"/>
      <c r="EF841" s="9"/>
      <c r="EG841" s="9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  <c r="FI841" s="13"/>
      <c r="FJ841" s="13"/>
      <c r="FK841" s="13"/>
      <c r="FL841" s="13"/>
      <c r="FM841" s="13"/>
      <c r="FN841" s="13"/>
      <c r="FO841" s="13"/>
      <c r="FP841" s="13"/>
      <c r="FQ841" s="13"/>
      <c r="FR841" s="13"/>
      <c r="FS841" s="13"/>
      <c r="FT841" s="13"/>
      <c r="FU841" s="13"/>
      <c r="FV841" s="13"/>
      <c r="FW841" s="13"/>
      <c r="FX841" s="13"/>
      <c r="FY841" s="13"/>
      <c r="FZ841" s="13"/>
      <c r="GA841" s="13"/>
    </row>
    <row r="842" spans="1:183" s="52" customFormat="1" ht="13.2" x14ac:dyDescent="0.25">
      <c r="A842" s="2"/>
      <c r="B842" s="2"/>
      <c r="C842" s="9">
        <v>9</v>
      </c>
      <c r="D842" s="9">
        <v>15</v>
      </c>
      <c r="E842" s="9">
        <v>25</v>
      </c>
      <c r="F842" s="9">
        <v>46</v>
      </c>
      <c r="G842" s="9">
        <v>49</v>
      </c>
      <c r="H842" s="9">
        <v>71</v>
      </c>
      <c r="I842" s="43"/>
      <c r="J842" s="9">
        <v>71</v>
      </c>
      <c r="K842" s="43"/>
      <c r="L842" s="39">
        <v>44737</v>
      </c>
      <c r="M842" s="43"/>
      <c r="N842"/>
      <c r="O842"/>
      <c r="P842"/>
      <c r="Q842"/>
      <c r="R842"/>
      <c r="S842"/>
      <c r="T842"/>
      <c r="U842"/>
      <c r="V842"/>
      <c r="X842" s="43"/>
      <c r="Y842"/>
      <c r="Z842"/>
      <c r="AA842"/>
      <c r="AB842"/>
      <c r="AC842"/>
      <c r="AD842"/>
      <c r="AE842"/>
      <c r="AF842"/>
      <c r="AG842"/>
      <c r="AI842" s="148"/>
      <c r="AJ842" s="1"/>
      <c r="AK842" s="1"/>
      <c r="AL842" s="54"/>
      <c r="AM842" s="1"/>
      <c r="AN842" s="43"/>
      <c r="AO842" s="1"/>
      <c r="AP842" s="1"/>
      <c r="AQ842" s="19"/>
      <c r="AR842" s="54"/>
      <c r="AS842" s="43"/>
      <c r="AT842" s="1"/>
      <c r="AU842" s="1"/>
      <c r="AV842" s="1"/>
      <c r="AW842" s="54"/>
      <c r="AX842" s="57"/>
      <c r="AY842" s="54"/>
      <c r="AZ842" s="54"/>
      <c r="BA842" s="54"/>
      <c r="BB842" s="54"/>
      <c r="BC842" s="57"/>
      <c r="BD842" s="1"/>
      <c r="BE842" s="1"/>
      <c r="BF842" s="1"/>
      <c r="BG842" s="54"/>
      <c r="BH842" s="43"/>
      <c r="BI842"/>
      <c r="BJ842" s="13"/>
      <c r="BK842" s="1"/>
      <c r="BL842"/>
      <c r="BM842"/>
      <c r="BN842"/>
      <c r="DY842" s="43"/>
      <c r="DZ842"/>
      <c r="EA842" s="19"/>
      <c r="EB842" s="19"/>
      <c r="EC842" s="9"/>
      <c r="ED842" s="9"/>
      <c r="EE842" s="9"/>
      <c r="EF842" s="9"/>
      <c r="EG842" s="9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3"/>
      <c r="FD842" s="13"/>
      <c r="FE842" s="13"/>
      <c r="FF842" s="13"/>
      <c r="FG842" s="13"/>
      <c r="FH842" s="13"/>
      <c r="FI842" s="13"/>
      <c r="FJ842" s="13"/>
      <c r="FK842" s="13"/>
      <c r="FL842" s="13"/>
      <c r="FM842" s="13"/>
      <c r="FN842" s="13"/>
      <c r="FO842" s="13"/>
      <c r="FP842" s="13"/>
      <c r="FQ842" s="13"/>
      <c r="FR842" s="13"/>
      <c r="FS842" s="13"/>
      <c r="FT842" s="13"/>
      <c r="FU842" s="13"/>
      <c r="FV842" s="13"/>
      <c r="FW842" s="13"/>
      <c r="FX842" s="13"/>
      <c r="FY842" s="13"/>
      <c r="FZ842" s="13"/>
      <c r="GA842" s="13"/>
    </row>
    <row r="843" spans="1:183" s="52" customFormat="1" ht="13.2" x14ac:dyDescent="0.25">
      <c r="A843" s="2"/>
      <c r="B843" s="2"/>
      <c r="C843" s="9">
        <v>16</v>
      </c>
      <c r="D843" s="9">
        <v>18</v>
      </c>
      <c r="E843" s="9">
        <v>36</v>
      </c>
      <c r="F843" s="9">
        <v>37</v>
      </c>
      <c r="G843" s="9">
        <v>69</v>
      </c>
      <c r="H843" s="9">
        <v>77</v>
      </c>
      <c r="I843" s="43"/>
      <c r="J843" s="9">
        <v>77</v>
      </c>
      <c r="K843" s="43"/>
      <c r="L843" s="39">
        <v>44734</v>
      </c>
      <c r="M843" s="43"/>
      <c r="N843"/>
      <c r="O843"/>
      <c r="P843"/>
      <c r="Q843"/>
      <c r="R843"/>
      <c r="S843"/>
      <c r="T843"/>
      <c r="U843"/>
      <c r="V843"/>
      <c r="X843" s="43"/>
      <c r="Y843"/>
      <c r="Z843"/>
      <c r="AA843"/>
      <c r="AB843"/>
      <c r="AC843"/>
      <c r="AD843"/>
      <c r="AE843"/>
      <c r="AF843"/>
      <c r="AG843"/>
      <c r="AI843" s="148"/>
      <c r="AJ843" s="1"/>
      <c r="AK843" s="1"/>
      <c r="AL843" s="54"/>
      <c r="AM843" s="1"/>
      <c r="AN843" s="43"/>
      <c r="AO843" s="1"/>
      <c r="AP843" s="1"/>
      <c r="AQ843" s="19"/>
      <c r="AR843" s="54"/>
      <c r="AS843" s="43"/>
      <c r="AT843" s="1"/>
      <c r="AU843" s="1"/>
      <c r="AV843" s="1"/>
      <c r="AW843" s="54"/>
      <c r="AX843" s="57"/>
      <c r="AY843" s="54"/>
      <c r="AZ843" s="54"/>
      <c r="BA843" s="54"/>
      <c r="BB843" s="54"/>
      <c r="BC843" s="57"/>
      <c r="BD843" s="1"/>
      <c r="BE843" s="1"/>
      <c r="BF843" s="1"/>
      <c r="BG843" s="54"/>
      <c r="BH843" s="43"/>
      <c r="BI843"/>
      <c r="BJ843" s="13"/>
      <c r="BK843" s="1"/>
      <c r="BL843"/>
      <c r="BM843"/>
      <c r="BN843"/>
      <c r="DY843" s="43"/>
      <c r="DZ843"/>
      <c r="EA843" s="19"/>
      <c r="EB843" s="19"/>
      <c r="EC843" s="9"/>
      <c r="ED843" s="9"/>
      <c r="EE843" s="9"/>
      <c r="EF843" s="9"/>
      <c r="EG843" s="9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  <c r="FI843" s="13"/>
      <c r="FJ843" s="13"/>
      <c r="FK843" s="13"/>
      <c r="FL843" s="13"/>
      <c r="FM843" s="13"/>
      <c r="FN843" s="13"/>
      <c r="FO843" s="13"/>
      <c r="FP843" s="13"/>
      <c r="FQ843" s="13"/>
      <c r="FR843" s="13"/>
      <c r="FS843" s="13"/>
      <c r="FT843" s="13"/>
      <c r="FU843" s="13"/>
      <c r="FV843" s="13"/>
      <c r="FW843" s="13"/>
      <c r="FX843" s="13"/>
      <c r="FY843" s="13"/>
      <c r="FZ843" s="13"/>
      <c r="GA843" s="13"/>
    </row>
    <row r="844" spans="1:183" s="52" customFormat="1" ht="13.2" x14ac:dyDescent="0.25">
      <c r="A844" s="2"/>
      <c r="B844" s="2"/>
      <c r="C844" s="9">
        <v>14</v>
      </c>
      <c r="D844" s="9">
        <v>31</v>
      </c>
      <c r="E844" s="9">
        <v>40</v>
      </c>
      <c r="F844" s="9">
        <v>53</v>
      </c>
      <c r="G844" s="9">
        <v>61</v>
      </c>
      <c r="H844" s="9">
        <v>88</v>
      </c>
      <c r="I844" s="43"/>
      <c r="J844" s="9">
        <v>88</v>
      </c>
      <c r="K844" s="43"/>
      <c r="L844" s="39">
        <v>44732</v>
      </c>
      <c r="M844" s="43"/>
      <c r="N844"/>
      <c r="O844"/>
      <c r="P844"/>
      <c r="Q844"/>
      <c r="R844"/>
      <c r="S844"/>
      <c r="T844"/>
      <c r="U844"/>
      <c r="V844"/>
      <c r="X844" s="43"/>
      <c r="Y844"/>
      <c r="Z844"/>
      <c r="AA844"/>
      <c r="AB844"/>
      <c r="AC844"/>
      <c r="AD844"/>
      <c r="AE844"/>
      <c r="AF844"/>
      <c r="AG844"/>
      <c r="AI844" s="148"/>
      <c r="AJ844" s="1"/>
      <c r="AK844" s="1"/>
      <c r="AL844" s="54"/>
      <c r="AM844" s="1"/>
      <c r="AN844" s="43"/>
      <c r="AO844" s="1"/>
      <c r="AP844" s="1"/>
      <c r="AQ844" s="19"/>
      <c r="AR844" s="54"/>
      <c r="AS844" s="43"/>
      <c r="AT844" s="1"/>
      <c r="AU844" s="1"/>
      <c r="AV844" s="1"/>
      <c r="AW844" s="54"/>
      <c r="AX844" s="57"/>
      <c r="AY844" s="54"/>
      <c r="AZ844" s="54"/>
      <c r="BA844" s="54"/>
      <c r="BB844" s="54"/>
      <c r="BC844" s="57"/>
      <c r="BD844" s="1"/>
      <c r="BE844" s="1"/>
      <c r="BF844" s="1"/>
      <c r="BG844" s="54"/>
      <c r="BH844" s="43"/>
      <c r="BI844"/>
      <c r="BJ844" s="13"/>
      <c r="BK844" s="1"/>
      <c r="BL844"/>
      <c r="BM844"/>
      <c r="BN844"/>
      <c r="DY844" s="43"/>
      <c r="DZ844"/>
      <c r="EA844" s="19"/>
      <c r="EB844" s="19"/>
      <c r="EC844" s="9"/>
      <c r="ED844" s="9"/>
      <c r="EE844" s="9"/>
      <c r="EF844" s="9"/>
      <c r="EG844" s="9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  <c r="FI844" s="13"/>
      <c r="FJ844" s="13"/>
      <c r="FK844" s="13"/>
      <c r="FL844" s="13"/>
      <c r="FM844" s="13"/>
      <c r="FN844" s="13"/>
      <c r="FO844" s="13"/>
      <c r="FP844" s="13"/>
      <c r="FQ844" s="13"/>
      <c r="FR844" s="13"/>
      <c r="FS844" s="13"/>
      <c r="FT844" s="13"/>
      <c r="FU844" s="13"/>
      <c r="FV844" s="13"/>
      <c r="FW844" s="13"/>
      <c r="FX844" s="13"/>
      <c r="FY844" s="13"/>
      <c r="FZ844" s="13"/>
      <c r="GA844" s="13"/>
    </row>
    <row r="845" spans="1:183" s="52" customFormat="1" ht="13.2" x14ac:dyDescent="0.25">
      <c r="A845" s="2"/>
      <c r="B845" s="2"/>
      <c r="C845" s="9">
        <v>10</v>
      </c>
      <c r="D845" s="9">
        <v>20</v>
      </c>
      <c r="E845" s="9">
        <v>36</v>
      </c>
      <c r="F845" s="9">
        <v>49</v>
      </c>
      <c r="G845" s="9">
        <v>67</v>
      </c>
      <c r="H845" s="9">
        <v>71</v>
      </c>
      <c r="I845" s="43"/>
      <c r="J845" s="9">
        <v>71</v>
      </c>
      <c r="K845" s="43"/>
      <c r="L845" s="39">
        <v>44730</v>
      </c>
      <c r="M845" s="43"/>
      <c r="N845"/>
      <c r="O845"/>
      <c r="P845"/>
      <c r="Q845"/>
      <c r="R845"/>
      <c r="S845"/>
      <c r="T845"/>
      <c r="U845"/>
      <c r="V845"/>
      <c r="X845" s="43"/>
      <c r="Y845"/>
      <c r="Z845"/>
      <c r="AA845"/>
      <c r="AB845"/>
      <c r="AC845"/>
      <c r="AD845"/>
      <c r="AE845"/>
      <c r="AF845"/>
      <c r="AG845"/>
      <c r="AI845" s="148"/>
      <c r="AJ845" s="1"/>
      <c r="AK845" s="1"/>
      <c r="AL845" s="54"/>
      <c r="AM845" s="1"/>
      <c r="AN845" s="43"/>
      <c r="AO845" s="1"/>
      <c r="AP845" s="1"/>
      <c r="AQ845" s="19"/>
      <c r="AR845" s="54"/>
      <c r="AS845" s="43"/>
      <c r="AT845" s="1"/>
      <c r="AU845" s="1"/>
      <c r="AV845" s="1"/>
      <c r="AW845" s="54"/>
      <c r="AX845" s="57"/>
      <c r="AY845" s="54"/>
      <c r="AZ845" s="54"/>
      <c r="BA845" s="54"/>
      <c r="BB845" s="54"/>
      <c r="BC845" s="57"/>
      <c r="BD845" s="1"/>
      <c r="BE845" s="1"/>
      <c r="BF845" s="1"/>
      <c r="BG845" s="54"/>
      <c r="BH845" s="43"/>
      <c r="BI845"/>
      <c r="BJ845" s="13"/>
      <c r="BK845" s="1"/>
      <c r="BL845"/>
      <c r="BM845"/>
      <c r="BN845"/>
      <c r="DY845" s="43"/>
      <c r="DZ845"/>
      <c r="EA845" s="19"/>
      <c r="EB845" s="19"/>
      <c r="EC845" s="9"/>
      <c r="ED845" s="9"/>
      <c r="EE845" s="9"/>
      <c r="EF845" s="9"/>
      <c r="EG845" s="9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3"/>
      <c r="FJ845" s="13"/>
      <c r="FK845" s="13"/>
      <c r="FL845" s="13"/>
      <c r="FM845" s="13"/>
      <c r="FN845" s="13"/>
      <c r="FO845" s="13"/>
      <c r="FP845" s="13"/>
      <c r="FQ845" s="13"/>
      <c r="FR845" s="13"/>
      <c r="FS845" s="13"/>
      <c r="FT845" s="13"/>
      <c r="FU845" s="13"/>
      <c r="FV845" s="13"/>
      <c r="FW845" s="13"/>
      <c r="FX845" s="13"/>
      <c r="FY845" s="13"/>
      <c r="FZ845" s="13"/>
      <c r="GA845" s="13"/>
    </row>
    <row r="846" spans="1:183" s="52" customFormat="1" ht="13.2" x14ac:dyDescent="0.25">
      <c r="A846" s="2"/>
      <c r="B846" s="2"/>
      <c r="C846" s="9">
        <v>7</v>
      </c>
      <c r="D846" s="9">
        <v>22</v>
      </c>
      <c r="E846" s="9">
        <v>28</v>
      </c>
      <c r="F846" s="9">
        <v>57</v>
      </c>
      <c r="G846" s="9">
        <v>86</v>
      </c>
      <c r="H846" s="9">
        <v>89</v>
      </c>
      <c r="I846" s="43"/>
      <c r="J846" s="9">
        <v>89</v>
      </c>
      <c r="K846" s="43"/>
      <c r="L846" s="39">
        <v>44727</v>
      </c>
      <c r="M846" s="43"/>
      <c r="N846"/>
      <c r="O846"/>
      <c r="P846"/>
      <c r="Q846"/>
      <c r="R846"/>
      <c r="S846"/>
      <c r="T846"/>
      <c r="U846"/>
      <c r="V846"/>
      <c r="X846" s="43"/>
      <c r="Y846"/>
      <c r="Z846"/>
      <c r="AA846"/>
      <c r="AB846"/>
      <c r="AC846"/>
      <c r="AD846"/>
      <c r="AE846"/>
      <c r="AF846"/>
      <c r="AG846"/>
      <c r="AI846" s="148"/>
      <c r="AJ846" s="1"/>
      <c r="AK846" s="1"/>
      <c r="AL846" s="54"/>
      <c r="AM846" s="1"/>
      <c r="AN846" s="43"/>
      <c r="AO846" s="1"/>
      <c r="AP846" s="1"/>
      <c r="AQ846" s="19"/>
      <c r="AR846" s="54"/>
      <c r="AS846" s="43"/>
      <c r="AT846" s="1"/>
      <c r="AU846" s="1"/>
      <c r="AV846" s="1"/>
      <c r="AW846" s="54"/>
      <c r="AX846" s="57"/>
      <c r="AY846" s="54"/>
      <c r="AZ846" s="54"/>
      <c r="BA846" s="54"/>
      <c r="BB846" s="54"/>
      <c r="BC846" s="57"/>
      <c r="BD846" s="1"/>
      <c r="BE846" s="1"/>
      <c r="BF846" s="1"/>
      <c r="BG846" s="54"/>
      <c r="BH846" s="43"/>
      <c r="BI846"/>
      <c r="BJ846" s="13"/>
      <c r="BK846" s="1"/>
      <c r="BL846"/>
      <c r="BM846"/>
      <c r="BN846"/>
      <c r="DY846" s="43"/>
      <c r="DZ846"/>
      <c r="EA846" s="19"/>
      <c r="EB846" s="19"/>
      <c r="EC846" s="9"/>
      <c r="ED846" s="9"/>
      <c r="EE846" s="9"/>
      <c r="EF846" s="9"/>
      <c r="EG846" s="9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3"/>
      <c r="FJ846" s="13"/>
      <c r="FK846" s="13"/>
      <c r="FL846" s="13"/>
      <c r="FM846" s="13"/>
      <c r="FN846" s="13"/>
      <c r="FO846" s="13"/>
      <c r="FP846" s="13"/>
      <c r="FQ846" s="13"/>
      <c r="FR846" s="13"/>
      <c r="FS846" s="13"/>
      <c r="FT846" s="13"/>
      <c r="FU846" s="13"/>
      <c r="FV846" s="13"/>
      <c r="FW846" s="13"/>
      <c r="FX846" s="13"/>
      <c r="FY846" s="13"/>
      <c r="FZ846" s="13"/>
      <c r="GA846" s="13"/>
    </row>
    <row r="847" spans="1:183" s="52" customFormat="1" ht="13.2" x14ac:dyDescent="0.25">
      <c r="A847" s="2"/>
      <c r="B847" s="2"/>
      <c r="C847" s="9">
        <v>2</v>
      </c>
      <c r="D847" s="9">
        <v>3</v>
      </c>
      <c r="E847" s="9">
        <v>25</v>
      </c>
      <c r="F847" s="9">
        <v>57</v>
      </c>
      <c r="G847" s="9">
        <v>60</v>
      </c>
      <c r="H847" s="9">
        <v>86</v>
      </c>
      <c r="I847" s="43"/>
      <c r="J847" s="9">
        <v>86</v>
      </c>
      <c r="K847" s="43"/>
      <c r="L847" s="39">
        <v>44725</v>
      </c>
      <c r="M847" s="43"/>
      <c r="N847"/>
      <c r="O847"/>
      <c r="P847"/>
      <c r="Q847"/>
      <c r="R847"/>
      <c r="S847"/>
      <c r="T847"/>
      <c r="U847"/>
      <c r="V847"/>
      <c r="X847" s="43"/>
      <c r="Y847"/>
      <c r="Z847"/>
      <c r="AA847"/>
      <c r="AB847"/>
      <c r="AC847"/>
      <c r="AD847"/>
      <c r="AE847"/>
      <c r="AF847"/>
      <c r="AG847"/>
      <c r="AI847" s="148"/>
      <c r="AJ847" s="1"/>
      <c r="AK847" s="1"/>
      <c r="AL847" s="54"/>
      <c r="AM847" s="1"/>
      <c r="AN847" s="43"/>
      <c r="AO847" s="1"/>
      <c r="AP847" s="1"/>
      <c r="AQ847" s="19"/>
      <c r="AR847" s="54"/>
      <c r="AS847" s="43"/>
      <c r="AT847" s="1"/>
      <c r="AU847" s="1"/>
      <c r="AV847" s="1"/>
      <c r="AW847" s="54"/>
      <c r="AX847" s="57"/>
      <c r="AY847" s="54"/>
      <c r="AZ847" s="54"/>
      <c r="BA847" s="54"/>
      <c r="BB847" s="54"/>
      <c r="BC847" s="57"/>
      <c r="BD847" s="1"/>
      <c r="BE847" s="1"/>
      <c r="BF847" s="1"/>
      <c r="BG847" s="54"/>
      <c r="BH847" s="43"/>
      <c r="BI847"/>
      <c r="BJ847" s="13"/>
      <c r="BK847" s="1"/>
      <c r="BL847"/>
      <c r="BM847"/>
      <c r="BN847"/>
      <c r="DY847" s="43"/>
      <c r="DZ847"/>
      <c r="EA847" s="19"/>
      <c r="EB847" s="19"/>
      <c r="EC847" s="9"/>
      <c r="ED847" s="9"/>
      <c r="EE847" s="9"/>
      <c r="EF847" s="9"/>
      <c r="EG847" s="9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3"/>
      <c r="FD847" s="13"/>
      <c r="FE847" s="13"/>
      <c r="FF847" s="13"/>
      <c r="FG847" s="13"/>
      <c r="FH847" s="13"/>
      <c r="FI847" s="13"/>
      <c r="FJ847" s="13"/>
      <c r="FK847" s="13"/>
      <c r="FL847" s="13"/>
      <c r="FM847" s="13"/>
      <c r="FN847" s="13"/>
      <c r="FO847" s="13"/>
      <c r="FP847" s="13"/>
      <c r="FQ847" s="13"/>
      <c r="FR847" s="13"/>
      <c r="FS847" s="13"/>
      <c r="FT847" s="13"/>
      <c r="FU847" s="13"/>
      <c r="FV847" s="13"/>
      <c r="FW847" s="13"/>
      <c r="FX847" s="13"/>
      <c r="FY847" s="13"/>
      <c r="FZ847" s="13"/>
      <c r="GA847" s="13"/>
    </row>
    <row r="848" spans="1:183" s="52" customFormat="1" ht="13.2" x14ac:dyDescent="0.25">
      <c r="A848" s="2"/>
      <c r="B848" s="2"/>
      <c r="C848" s="9">
        <v>4</v>
      </c>
      <c r="D848" s="9">
        <v>29</v>
      </c>
      <c r="E848" s="9">
        <v>55</v>
      </c>
      <c r="F848" s="9">
        <v>64</v>
      </c>
      <c r="G848" s="9">
        <v>72</v>
      </c>
      <c r="H848" s="9">
        <v>83</v>
      </c>
      <c r="I848" s="43"/>
      <c r="J848" s="9">
        <v>83</v>
      </c>
      <c r="K848" s="43"/>
      <c r="L848" s="39">
        <v>44723</v>
      </c>
      <c r="M848" s="43"/>
      <c r="N848"/>
      <c r="O848"/>
      <c r="P848"/>
      <c r="Q848"/>
      <c r="R848"/>
      <c r="S848"/>
      <c r="T848"/>
      <c r="U848"/>
      <c r="V848"/>
      <c r="X848" s="43"/>
      <c r="Y848"/>
      <c r="Z848"/>
      <c r="AA848"/>
      <c r="AB848"/>
      <c r="AC848"/>
      <c r="AD848"/>
      <c r="AE848"/>
      <c r="AF848"/>
      <c r="AG848"/>
      <c r="AI848" s="148"/>
      <c r="AJ848" s="1"/>
      <c r="AK848" s="1"/>
      <c r="AL848" s="54"/>
      <c r="AM848" s="1"/>
      <c r="AN848" s="43"/>
      <c r="AO848" s="1"/>
      <c r="AP848" s="1"/>
      <c r="AQ848" s="19"/>
      <c r="AR848" s="54"/>
      <c r="AS848" s="43"/>
      <c r="AT848" s="1"/>
      <c r="AU848" s="1"/>
      <c r="AV848" s="1"/>
      <c r="AW848" s="54"/>
      <c r="AX848" s="57"/>
      <c r="AY848" s="54"/>
      <c r="AZ848" s="54"/>
      <c r="BA848" s="54"/>
      <c r="BB848" s="54"/>
      <c r="BC848" s="57"/>
      <c r="BD848" s="1"/>
      <c r="BE848" s="1"/>
      <c r="BF848" s="1"/>
      <c r="BG848" s="54"/>
      <c r="BH848" s="43"/>
      <c r="BI848"/>
      <c r="BJ848" s="13"/>
      <c r="BK848" s="1"/>
      <c r="BL848"/>
      <c r="BM848"/>
      <c r="BN848"/>
      <c r="DY848" s="43"/>
      <c r="DZ848"/>
      <c r="EA848" s="19"/>
      <c r="EB848" s="19"/>
      <c r="EC848" s="9"/>
      <c r="ED848" s="9"/>
      <c r="EE848" s="9"/>
      <c r="EF848" s="9"/>
      <c r="EG848" s="9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3"/>
      <c r="FD848" s="13"/>
      <c r="FE848" s="13"/>
      <c r="FF848" s="13"/>
      <c r="FG848" s="13"/>
      <c r="FH848" s="13"/>
      <c r="FI848" s="13"/>
      <c r="FJ848" s="13"/>
      <c r="FK848" s="13"/>
      <c r="FL848" s="13"/>
      <c r="FM848" s="13"/>
      <c r="FN848" s="13"/>
      <c r="FO848" s="13"/>
      <c r="FP848" s="13"/>
      <c r="FQ848" s="13"/>
      <c r="FR848" s="13"/>
      <c r="FS848" s="13"/>
      <c r="FT848" s="13"/>
      <c r="FU848" s="13"/>
      <c r="FV848" s="13"/>
      <c r="FW848" s="13"/>
      <c r="FX848" s="13"/>
      <c r="FY848" s="13"/>
      <c r="FZ848" s="13"/>
      <c r="GA848" s="13"/>
    </row>
    <row r="849" spans="1:183" s="52" customFormat="1" ht="13.2" x14ac:dyDescent="0.25">
      <c r="A849" s="2"/>
      <c r="B849" s="2"/>
      <c r="C849" s="9">
        <v>26</v>
      </c>
      <c r="D849" s="9">
        <v>50</v>
      </c>
      <c r="E849" s="9">
        <v>58</v>
      </c>
      <c r="F849" s="9">
        <v>69</v>
      </c>
      <c r="G849" s="9">
        <v>73</v>
      </c>
      <c r="H849" s="9">
        <v>88</v>
      </c>
      <c r="I849" s="43"/>
      <c r="J849" s="9">
        <v>88</v>
      </c>
      <c r="K849" s="43"/>
      <c r="L849" s="39">
        <v>44720</v>
      </c>
      <c r="M849" s="43"/>
      <c r="N849"/>
      <c r="O849"/>
      <c r="P849"/>
      <c r="Q849"/>
      <c r="R849"/>
      <c r="S849"/>
      <c r="T849"/>
      <c r="U849"/>
      <c r="V849"/>
      <c r="X849" s="43"/>
      <c r="Y849"/>
      <c r="Z849"/>
      <c r="AA849"/>
      <c r="AB849"/>
      <c r="AC849"/>
      <c r="AD849"/>
      <c r="AE849"/>
      <c r="AF849"/>
      <c r="AG849"/>
      <c r="AI849" s="148"/>
      <c r="AJ849" s="1"/>
      <c r="AK849" s="1"/>
      <c r="AL849" s="54"/>
      <c r="AM849" s="1"/>
      <c r="AN849" s="43"/>
      <c r="AO849" s="1"/>
      <c r="AP849" s="1"/>
      <c r="AQ849" s="19"/>
      <c r="AR849" s="54"/>
      <c r="AS849" s="43"/>
      <c r="AT849" s="1"/>
      <c r="AU849" s="1"/>
      <c r="AV849" s="1"/>
      <c r="AW849" s="54"/>
      <c r="AX849" s="57"/>
      <c r="AY849" s="54"/>
      <c r="AZ849" s="54"/>
      <c r="BA849" s="54"/>
      <c r="BB849" s="54"/>
      <c r="BC849" s="57"/>
      <c r="BD849" s="1"/>
      <c r="BE849" s="1"/>
      <c r="BF849" s="1"/>
      <c r="BG849" s="54"/>
      <c r="BH849" s="43"/>
      <c r="BI849"/>
      <c r="BJ849" s="13"/>
      <c r="BK849" s="1"/>
      <c r="BL849"/>
      <c r="BM849"/>
      <c r="BN849"/>
      <c r="DY849" s="43"/>
      <c r="DZ849"/>
      <c r="EA849" s="19"/>
      <c r="EB849" s="19"/>
      <c r="EC849" s="9"/>
      <c r="ED849" s="9"/>
      <c r="EE849" s="9"/>
      <c r="EF849" s="9"/>
      <c r="EG849" s="9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  <c r="FI849" s="13"/>
      <c r="FJ849" s="13"/>
      <c r="FK849" s="13"/>
      <c r="FL849" s="13"/>
      <c r="FM849" s="13"/>
      <c r="FN849" s="13"/>
      <c r="FO849" s="13"/>
      <c r="FP849" s="13"/>
      <c r="FQ849" s="13"/>
      <c r="FR849" s="13"/>
      <c r="FS849" s="13"/>
      <c r="FT849" s="13"/>
      <c r="FU849" s="13"/>
      <c r="FV849" s="13"/>
      <c r="FW849" s="13"/>
      <c r="FX849" s="13"/>
      <c r="FY849" s="13"/>
      <c r="FZ849" s="13"/>
      <c r="GA849" s="13"/>
    </row>
    <row r="850" spans="1:183" s="52" customFormat="1" ht="13.2" x14ac:dyDescent="0.25">
      <c r="A850" s="2"/>
      <c r="B850" s="2"/>
      <c r="C850" s="9">
        <v>9</v>
      </c>
      <c r="D850" s="9">
        <v>24</v>
      </c>
      <c r="E850" s="9">
        <v>33</v>
      </c>
      <c r="F850" s="9">
        <v>37</v>
      </c>
      <c r="G850" s="9">
        <v>62</v>
      </c>
      <c r="H850" s="9">
        <v>65</v>
      </c>
      <c r="I850" s="43"/>
      <c r="J850" s="9">
        <v>65</v>
      </c>
      <c r="K850" s="43"/>
      <c r="L850" s="39">
        <v>44718</v>
      </c>
      <c r="M850" s="43"/>
      <c r="N850"/>
      <c r="O850"/>
      <c r="P850"/>
      <c r="Q850"/>
      <c r="R850"/>
      <c r="S850"/>
      <c r="T850"/>
      <c r="U850"/>
      <c r="V850"/>
      <c r="X850" s="43"/>
      <c r="Y850"/>
      <c r="Z850"/>
      <c r="AA850"/>
      <c r="AB850"/>
      <c r="AC850"/>
      <c r="AD850"/>
      <c r="AE850"/>
      <c r="AF850"/>
      <c r="AG850"/>
      <c r="AI850" s="148"/>
      <c r="AJ850" s="1"/>
      <c r="AK850" s="1"/>
      <c r="AL850" s="54"/>
      <c r="AM850" s="1"/>
      <c r="AN850" s="43"/>
      <c r="AO850" s="1"/>
      <c r="AP850" s="1"/>
      <c r="AQ850" s="19"/>
      <c r="AR850" s="54"/>
      <c r="AS850" s="43"/>
      <c r="AT850" s="1"/>
      <c r="AU850" s="1"/>
      <c r="AV850" s="1"/>
      <c r="AW850" s="54"/>
      <c r="AX850" s="57"/>
      <c r="AY850" s="54"/>
      <c r="AZ850" s="54"/>
      <c r="BA850" s="54"/>
      <c r="BB850" s="54"/>
      <c r="BC850" s="57"/>
      <c r="BD850" s="1"/>
      <c r="BE850" s="1"/>
      <c r="BF850" s="1"/>
      <c r="BG850" s="54"/>
      <c r="BH850" s="43"/>
      <c r="BI850"/>
      <c r="BJ850" s="13"/>
      <c r="BK850" s="1"/>
      <c r="BL850"/>
      <c r="BM850"/>
      <c r="BN850"/>
      <c r="DY850" s="43"/>
      <c r="DZ850"/>
      <c r="EA850" s="19"/>
      <c r="EB850" s="19"/>
      <c r="EC850" s="9"/>
      <c r="ED850" s="9"/>
      <c r="EE850" s="9"/>
      <c r="EF850" s="9"/>
      <c r="EG850" s="9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3"/>
      <c r="FJ850" s="13"/>
      <c r="FK850" s="13"/>
      <c r="FL850" s="13"/>
      <c r="FM850" s="13"/>
      <c r="FN850" s="13"/>
      <c r="FO850" s="13"/>
      <c r="FP850" s="13"/>
      <c r="FQ850" s="13"/>
      <c r="FR850" s="13"/>
      <c r="FS850" s="13"/>
      <c r="FT850" s="13"/>
      <c r="FU850" s="13"/>
      <c r="FV850" s="13"/>
      <c r="FW850" s="13"/>
      <c r="FX850" s="13"/>
      <c r="FY850" s="13"/>
      <c r="FZ850" s="13"/>
      <c r="GA850" s="13"/>
    </row>
    <row r="851" spans="1:183" s="52" customFormat="1" ht="13.2" x14ac:dyDescent="0.25">
      <c r="A851" s="2"/>
      <c r="B851" s="2"/>
      <c r="C851" s="9">
        <v>23</v>
      </c>
      <c r="D851" s="9">
        <v>42</v>
      </c>
      <c r="E851" s="9">
        <v>57</v>
      </c>
      <c r="F851" s="9">
        <v>71</v>
      </c>
      <c r="G851" s="9">
        <v>79</v>
      </c>
      <c r="H851" s="9">
        <v>89</v>
      </c>
      <c r="I851" s="43"/>
      <c r="J851" s="9">
        <v>89</v>
      </c>
      <c r="K851" s="43"/>
      <c r="L851" s="39">
        <v>44716</v>
      </c>
      <c r="M851" s="43"/>
      <c r="N851"/>
      <c r="O851"/>
      <c r="P851"/>
      <c r="Q851"/>
      <c r="R851"/>
      <c r="S851"/>
      <c r="T851"/>
      <c r="U851"/>
      <c r="V851"/>
      <c r="X851" s="43"/>
      <c r="Y851"/>
      <c r="Z851"/>
      <c r="AA851"/>
      <c r="AB851"/>
      <c r="AC851"/>
      <c r="AD851"/>
      <c r="AE851"/>
      <c r="AF851"/>
      <c r="AG851"/>
      <c r="AI851" s="148"/>
      <c r="AJ851" s="1"/>
      <c r="AK851" s="1"/>
      <c r="AL851" s="54"/>
      <c r="AM851" s="1"/>
      <c r="AN851" s="43"/>
      <c r="AO851" s="1"/>
      <c r="AP851" s="1"/>
      <c r="AQ851" s="19"/>
      <c r="AR851" s="54"/>
      <c r="AS851" s="43"/>
      <c r="AT851" s="1"/>
      <c r="AU851" s="1"/>
      <c r="AV851" s="1"/>
      <c r="AW851" s="54"/>
      <c r="AX851" s="57"/>
      <c r="AY851" s="54"/>
      <c r="AZ851" s="54"/>
      <c r="BA851" s="54"/>
      <c r="BB851" s="54"/>
      <c r="BC851" s="57"/>
      <c r="BD851" s="1"/>
      <c r="BE851" s="1"/>
      <c r="BF851" s="1"/>
      <c r="BG851" s="54"/>
      <c r="BH851" s="43"/>
      <c r="BI851"/>
      <c r="BJ851" s="13"/>
      <c r="BK851" s="1"/>
      <c r="BL851"/>
      <c r="BM851"/>
      <c r="BN851"/>
      <c r="DY851" s="43"/>
      <c r="DZ851"/>
      <c r="EA851" s="19"/>
      <c r="EB851" s="19"/>
      <c r="EC851" s="9"/>
      <c r="ED851" s="9"/>
      <c r="EE851" s="9"/>
      <c r="EF851" s="9"/>
      <c r="EG851" s="9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3"/>
      <c r="FD851" s="13"/>
      <c r="FE851" s="13"/>
      <c r="FF851" s="13"/>
      <c r="FG851" s="13"/>
      <c r="FH851" s="13"/>
      <c r="FI851" s="13"/>
      <c r="FJ851" s="13"/>
      <c r="FK851" s="13"/>
      <c r="FL851" s="13"/>
      <c r="FM851" s="13"/>
      <c r="FN851" s="13"/>
      <c r="FO851" s="13"/>
      <c r="FP851" s="13"/>
      <c r="FQ851" s="13"/>
      <c r="FR851" s="13"/>
      <c r="FS851" s="13"/>
      <c r="FT851" s="13"/>
      <c r="FU851" s="13"/>
      <c r="FV851" s="13"/>
      <c r="FW851" s="13"/>
      <c r="FX851" s="13"/>
      <c r="FY851" s="13"/>
      <c r="FZ851" s="13"/>
      <c r="GA851" s="13"/>
    </row>
    <row r="852" spans="1:183" s="52" customFormat="1" ht="13.2" x14ac:dyDescent="0.25">
      <c r="A852" s="2"/>
      <c r="B852" s="2"/>
      <c r="C852" s="9">
        <v>20</v>
      </c>
      <c r="D852" s="9">
        <v>53</v>
      </c>
      <c r="E852" s="9">
        <v>59</v>
      </c>
      <c r="F852" s="9">
        <v>66</v>
      </c>
      <c r="G852" s="9">
        <v>76</v>
      </c>
      <c r="H852" s="9">
        <v>79</v>
      </c>
      <c r="I852" s="43"/>
      <c r="J852" s="9">
        <v>79</v>
      </c>
      <c r="K852" s="43"/>
      <c r="L852" s="39">
        <v>44713</v>
      </c>
      <c r="M852" s="43"/>
      <c r="N852"/>
      <c r="O852"/>
      <c r="P852"/>
      <c r="Q852"/>
      <c r="R852"/>
      <c r="S852"/>
      <c r="T852"/>
      <c r="U852"/>
      <c r="V852"/>
      <c r="X852" s="43"/>
      <c r="Y852"/>
      <c r="Z852"/>
      <c r="AA852"/>
      <c r="AB852"/>
      <c r="AC852"/>
      <c r="AD852"/>
      <c r="AE852"/>
      <c r="AF852"/>
      <c r="AG852"/>
      <c r="AI852" s="148"/>
      <c r="AJ852" s="1"/>
      <c r="AK852" s="1"/>
      <c r="AL852" s="54"/>
      <c r="AM852" s="1"/>
      <c r="AN852" s="43"/>
      <c r="AO852" s="1"/>
      <c r="AP852" s="1"/>
      <c r="AQ852" s="19"/>
      <c r="AR852" s="54"/>
      <c r="AS852" s="43"/>
      <c r="AT852" s="1"/>
      <c r="AU852" s="1"/>
      <c r="AV852" s="1"/>
      <c r="AW852" s="54"/>
      <c r="AX852" s="57"/>
      <c r="AY852" s="54"/>
      <c r="AZ852" s="54"/>
      <c r="BA852" s="54"/>
      <c r="BB852" s="54"/>
      <c r="BC852" s="57"/>
      <c r="BD852" s="1"/>
      <c r="BE852" s="1"/>
      <c r="BF852" s="1"/>
      <c r="BG852" s="54"/>
      <c r="BH852" s="43"/>
      <c r="BI852"/>
      <c r="BJ852" s="13"/>
      <c r="BK852" s="1"/>
      <c r="BL852"/>
      <c r="BM852"/>
      <c r="BN852"/>
      <c r="DY852" s="43"/>
      <c r="DZ852"/>
      <c r="EA852" s="19"/>
      <c r="EB852" s="19"/>
      <c r="EC852" s="9"/>
      <c r="ED852" s="9"/>
      <c r="EE852" s="9"/>
      <c r="EF852" s="9"/>
      <c r="EG852" s="9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3"/>
      <c r="FD852" s="13"/>
      <c r="FE852" s="13"/>
      <c r="FF852" s="13"/>
      <c r="FG852" s="13"/>
      <c r="FH852" s="13"/>
      <c r="FI852" s="13"/>
      <c r="FJ852" s="13"/>
      <c r="FK852" s="13"/>
      <c r="FL852" s="13"/>
      <c r="FM852" s="13"/>
      <c r="FN852" s="13"/>
      <c r="FO852" s="13"/>
      <c r="FP852" s="13"/>
      <c r="FQ852" s="13"/>
      <c r="FR852" s="13"/>
      <c r="FS852" s="13"/>
      <c r="FT852" s="13"/>
      <c r="FU852" s="13"/>
      <c r="FV852" s="13"/>
      <c r="FW852" s="13"/>
      <c r="FX852" s="13"/>
      <c r="FY852" s="13"/>
      <c r="FZ852" s="13"/>
      <c r="GA852" s="13"/>
    </row>
    <row r="853" spans="1:183" s="52" customFormat="1" ht="13.2" x14ac:dyDescent="0.25">
      <c r="A853" s="2"/>
      <c r="B853" s="2"/>
      <c r="C853" s="9">
        <v>7</v>
      </c>
      <c r="D853" s="9">
        <v>20</v>
      </c>
      <c r="E853" s="9">
        <v>28</v>
      </c>
      <c r="F853" s="9">
        <v>34</v>
      </c>
      <c r="G853" s="9">
        <v>46</v>
      </c>
      <c r="H853" s="9">
        <v>86</v>
      </c>
      <c r="I853" s="43"/>
      <c r="J853" s="9">
        <v>86</v>
      </c>
      <c r="K853" s="43"/>
      <c r="L853" s="39">
        <v>44711</v>
      </c>
      <c r="M853" s="43"/>
      <c r="N853"/>
      <c r="O853"/>
      <c r="P853"/>
      <c r="Q853"/>
      <c r="R853"/>
      <c r="S853"/>
      <c r="T853"/>
      <c r="U853"/>
      <c r="V853"/>
      <c r="X853" s="43"/>
      <c r="Y853"/>
      <c r="Z853"/>
      <c r="AA853"/>
      <c r="AB853"/>
      <c r="AC853"/>
      <c r="AD853"/>
      <c r="AE853"/>
      <c r="AF853"/>
      <c r="AG853"/>
      <c r="AI853" s="148"/>
      <c r="AJ853" s="1"/>
      <c r="AK853" s="1"/>
      <c r="AL853" s="54"/>
      <c r="AM853" s="1"/>
      <c r="AN853" s="43"/>
      <c r="AO853" s="1"/>
      <c r="AP853" s="1"/>
      <c r="AQ853" s="19"/>
      <c r="AR853" s="54"/>
      <c r="AS853" s="43"/>
      <c r="AT853" s="1"/>
      <c r="AU853" s="1"/>
      <c r="AV853" s="1"/>
      <c r="AW853" s="54"/>
      <c r="AX853" s="57"/>
      <c r="AY853" s="54"/>
      <c r="AZ853" s="54"/>
      <c r="BA853" s="54"/>
      <c r="BB853" s="54"/>
      <c r="BC853" s="57"/>
      <c r="BD853" s="1"/>
      <c r="BE853" s="1"/>
      <c r="BF853" s="1"/>
      <c r="BG853" s="54"/>
      <c r="BH853" s="43"/>
      <c r="BI853"/>
      <c r="BJ853" s="13"/>
      <c r="BK853" s="1"/>
      <c r="BL853"/>
      <c r="BM853"/>
      <c r="BN853"/>
      <c r="DY853" s="43"/>
      <c r="DZ853"/>
      <c r="EA853" s="19"/>
      <c r="EB853" s="19"/>
      <c r="EC853" s="9"/>
      <c r="ED853" s="9"/>
      <c r="EE853" s="9"/>
      <c r="EF853" s="9"/>
      <c r="EG853" s="9"/>
      <c r="EH853" s="13"/>
      <c r="EI853" s="13"/>
      <c r="EJ853" s="13"/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3"/>
      <c r="FD853" s="13"/>
      <c r="FE853" s="13"/>
      <c r="FF853" s="13"/>
      <c r="FG853" s="13"/>
      <c r="FH853" s="13"/>
      <c r="FI853" s="13"/>
      <c r="FJ853" s="13"/>
      <c r="FK853" s="13"/>
      <c r="FL853" s="13"/>
      <c r="FM853" s="13"/>
      <c r="FN853" s="13"/>
      <c r="FO853" s="13"/>
      <c r="FP853" s="13"/>
      <c r="FQ853" s="13"/>
      <c r="FR853" s="13"/>
      <c r="FS853" s="13"/>
      <c r="FT853" s="13"/>
      <c r="FU853" s="13"/>
      <c r="FV853" s="13"/>
      <c r="FW853" s="13"/>
      <c r="FX853" s="13"/>
      <c r="FY853" s="13"/>
      <c r="FZ853" s="13"/>
      <c r="GA853" s="13"/>
    </row>
    <row r="854" spans="1:183" s="52" customFormat="1" ht="13.2" x14ac:dyDescent="0.25">
      <c r="A854" s="2"/>
      <c r="B854" s="2"/>
      <c r="C854" s="9">
        <v>9</v>
      </c>
      <c r="D854" s="9">
        <v>20</v>
      </c>
      <c r="E854" s="9">
        <v>26</v>
      </c>
      <c r="F854" s="9">
        <v>35</v>
      </c>
      <c r="G854" s="9">
        <v>38</v>
      </c>
      <c r="H854" s="9">
        <v>78</v>
      </c>
      <c r="I854" s="43"/>
      <c r="J854" s="9">
        <v>78</v>
      </c>
      <c r="K854" s="43"/>
      <c r="L854" s="39">
        <v>44709</v>
      </c>
      <c r="M854" s="43"/>
      <c r="N854"/>
      <c r="O854"/>
      <c r="P854"/>
      <c r="Q854"/>
      <c r="R854"/>
      <c r="S854"/>
      <c r="T854"/>
      <c r="U854"/>
      <c r="V854"/>
      <c r="X854" s="43"/>
      <c r="Y854"/>
      <c r="Z854"/>
      <c r="AA854"/>
      <c r="AB854"/>
      <c r="AC854"/>
      <c r="AD854"/>
      <c r="AE854"/>
      <c r="AF854"/>
      <c r="AG854"/>
      <c r="AI854" s="148"/>
      <c r="AJ854" s="1"/>
      <c r="AK854" s="1"/>
      <c r="AL854" s="54"/>
      <c r="AM854" s="1"/>
      <c r="AN854" s="43"/>
      <c r="AO854" s="1"/>
      <c r="AP854" s="1"/>
      <c r="AQ854" s="19"/>
      <c r="AR854" s="54"/>
      <c r="AS854" s="43"/>
      <c r="AT854" s="1"/>
      <c r="AU854" s="1"/>
      <c r="AV854" s="1"/>
      <c r="AW854" s="54"/>
      <c r="AX854" s="57"/>
      <c r="AY854" s="54"/>
      <c r="AZ854" s="54"/>
      <c r="BA854" s="54"/>
      <c r="BB854" s="54"/>
      <c r="BC854" s="57"/>
      <c r="BD854" s="1"/>
      <c r="BE854" s="1"/>
      <c r="BF854" s="1"/>
      <c r="BG854" s="54"/>
      <c r="BH854" s="43"/>
      <c r="BI854"/>
      <c r="BJ854" s="13"/>
      <c r="BK854" s="1"/>
      <c r="BL854"/>
      <c r="BM854"/>
      <c r="BN854"/>
      <c r="DY854" s="43"/>
      <c r="DZ854"/>
      <c r="EA854" s="19"/>
      <c r="EB854" s="19"/>
      <c r="EC854" s="9"/>
      <c r="ED854" s="9"/>
      <c r="EE854" s="9"/>
      <c r="EF854" s="9"/>
      <c r="EG854" s="9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  <c r="FI854" s="13"/>
      <c r="FJ854" s="13"/>
      <c r="FK854" s="13"/>
      <c r="FL854" s="13"/>
      <c r="FM854" s="13"/>
      <c r="FN854" s="13"/>
      <c r="FO854" s="13"/>
      <c r="FP854" s="13"/>
      <c r="FQ854" s="13"/>
      <c r="FR854" s="13"/>
      <c r="FS854" s="13"/>
      <c r="FT854" s="13"/>
      <c r="FU854" s="13"/>
      <c r="FV854" s="13"/>
      <c r="FW854" s="13"/>
      <c r="FX854" s="13"/>
      <c r="FY854" s="13"/>
      <c r="FZ854" s="13"/>
      <c r="GA854" s="13"/>
    </row>
    <row r="855" spans="1:183" s="52" customFormat="1" ht="13.2" x14ac:dyDescent="0.25">
      <c r="A855" s="2"/>
      <c r="B855" s="2"/>
      <c r="C855" s="9">
        <v>4</v>
      </c>
      <c r="D855" s="9">
        <v>18</v>
      </c>
      <c r="E855" s="9">
        <v>24</v>
      </c>
      <c r="F855" s="9">
        <v>34</v>
      </c>
      <c r="G855" s="9">
        <v>60</v>
      </c>
      <c r="H855" s="9">
        <v>86</v>
      </c>
      <c r="I855" s="43"/>
      <c r="J855" s="9">
        <v>86</v>
      </c>
      <c r="K855" s="43"/>
      <c r="L855" s="39">
        <v>44696</v>
      </c>
      <c r="M855" s="43"/>
      <c r="N855"/>
      <c r="O855"/>
      <c r="P855"/>
      <c r="Q855"/>
      <c r="R855"/>
      <c r="S855"/>
      <c r="T855"/>
      <c r="U855"/>
      <c r="V855"/>
      <c r="X855" s="43"/>
      <c r="Y855"/>
      <c r="Z855"/>
      <c r="AA855"/>
      <c r="AB855"/>
      <c r="AC855"/>
      <c r="AD855"/>
      <c r="AE855"/>
      <c r="AF855"/>
      <c r="AG855"/>
      <c r="AI855" s="148"/>
      <c r="AJ855" s="1"/>
      <c r="AK855" s="1"/>
      <c r="AL855" s="54"/>
      <c r="AM855" s="1"/>
      <c r="AN855" s="43"/>
      <c r="AO855" s="1"/>
      <c r="AP855" s="1"/>
      <c r="AQ855" s="19"/>
      <c r="AR855" s="54"/>
      <c r="AS855" s="43"/>
      <c r="AT855" s="1"/>
      <c r="AU855" s="1"/>
      <c r="AV855" s="1"/>
      <c r="AW855" s="54"/>
      <c r="AX855" s="57"/>
      <c r="AY855" s="54"/>
      <c r="AZ855" s="54"/>
      <c r="BA855" s="54"/>
      <c r="BB855" s="54"/>
      <c r="BC855" s="57"/>
      <c r="BD855" s="1"/>
      <c r="BE855" s="1"/>
      <c r="BF855" s="1"/>
      <c r="BG855" s="54"/>
      <c r="BH855" s="43"/>
      <c r="BI855"/>
      <c r="BJ855" s="13"/>
      <c r="BK855" s="1"/>
      <c r="BL855"/>
      <c r="BM855"/>
      <c r="BN855"/>
      <c r="DY855" s="43"/>
      <c r="DZ855"/>
      <c r="EA855" s="19"/>
      <c r="EB855" s="19"/>
      <c r="EC855" s="9"/>
      <c r="ED855" s="9"/>
      <c r="EE855" s="9"/>
      <c r="EF855" s="9"/>
      <c r="EG855" s="9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3"/>
      <c r="FD855" s="13"/>
      <c r="FE855" s="13"/>
      <c r="FF855" s="13"/>
      <c r="FG855" s="13"/>
      <c r="FH855" s="13"/>
      <c r="FI855" s="13"/>
      <c r="FJ855" s="13"/>
      <c r="FK855" s="13"/>
      <c r="FL855" s="13"/>
      <c r="FM855" s="13"/>
      <c r="FN855" s="13"/>
      <c r="FO855" s="13"/>
      <c r="FP855" s="13"/>
      <c r="FQ855" s="13"/>
      <c r="FR855" s="13"/>
      <c r="FS855" s="13"/>
      <c r="FT855" s="13"/>
      <c r="FU855" s="13"/>
      <c r="FV855" s="13"/>
      <c r="FW855" s="13"/>
      <c r="FX855" s="13"/>
      <c r="FY855" s="13"/>
      <c r="FZ855" s="13"/>
      <c r="GA855" s="13"/>
    </row>
    <row r="856" spans="1:183" s="52" customFormat="1" ht="13.2" x14ac:dyDescent="0.25">
      <c r="A856" s="2"/>
      <c r="B856" s="2"/>
      <c r="C856" s="9">
        <v>9</v>
      </c>
      <c r="D856" s="9">
        <v>11</v>
      </c>
      <c r="E856" s="9">
        <v>25</v>
      </c>
      <c r="F856" s="9">
        <v>26</v>
      </c>
      <c r="G856" s="9">
        <v>66</v>
      </c>
      <c r="H856" s="9">
        <v>85</v>
      </c>
      <c r="I856" s="43"/>
      <c r="J856" s="9">
        <v>85</v>
      </c>
      <c r="K856" s="43"/>
      <c r="L856" s="39">
        <v>44704</v>
      </c>
      <c r="M856" s="43"/>
      <c r="N856"/>
      <c r="O856"/>
      <c r="P856"/>
      <c r="Q856"/>
      <c r="R856"/>
      <c r="S856"/>
      <c r="T856"/>
      <c r="U856"/>
      <c r="V856"/>
      <c r="X856" s="43"/>
      <c r="Y856"/>
      <c r="Z856"/>
      <c r="AA856"/>
      <c r="AB856"/>
      <c r="AC856"/>
      <c r="AD856"/>
      <c r="AE856"/>
      <c r="AF856"/>
      <c r="AG856"/>
      <c r="AI856" s="148"/>
      <c r="AJ856" s="1"/>
      <c r="AK856" s="1"/>
      <c r="AL856" s="54"/>
      <c r="AM856" s="1"/>
      <c r="AN856" s="43"/>
      <c r="AO856" s="1"/>
      <c r="AP856" s="1"/>
      <c r="AQ856" s="19"/>
      <c r="AR856" s="54"/>
      <c r="AS856" s="43"/>
      <c r="AT856" s="1"/>
      <c r="AU856" s="1"/>
      <c r="AV856" s="1"/>
      <c r="AW856" s="54"/>
      <c r="AX856" s="57"/>
      <c r="AY856" s="54"/>
      <c r="AZ856" s="54"/>
      <c r="BA856" s="54"/>
      <c r="BB856" s="54"/>
      <c r="BC856" s="57"/>
      <c r="BD856" s="1"/>
      <c r="BE856" s="1"/>
      <c r="BF856" s="1"/>
      <c r="BG856" s="54"/>
      <c r="BH856" s="43"/>
      <c r="BI856"/>
      <c r="BJ856" s="13"/>
      <c r="BK856" s="1"/>
      <c r="BL856"/>
      <c r="BM856"/>
      <c r="BN856"/>
      <c r="DY856" s="43"/>
      <c r="DZ856"/>
      <c r="EA856" s="19"/>
      <c r="EB856" s="19"/>
      <c r="EC856" s="9"/>
      <c r="ED856" s="9"/>
      <c r="EE856" s="9"/>
      <c r="EF856" s="9"/>
      <c r="EG856" s="9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3"/>
      <c r="FJ856" s="13"/>
      <c r="FK856" s="13"/>
      <c r="FL856" s="13"/>
      <c r="FM856" s="13"/>
      <c r="FN856" s="13"/>
      <c r="FO856" s="13"/>
      <c r="FP856" s="13"/>
      <c r="FQ856" s="13"/>
      <c r="FR856" s="13"/>
      <c r="FS856" s="13"/>
      <c r="FT856" s="13"/>
      <c r="FU856" s="13"/>
      <c r="FV856" s="13"/>
      <c r="FW856" s="13"/>
      <c r="FX856" s="13"/>
      <c r="FY856" s="13"/>
      <c r="FZ856" s="13"/>
      <c r="GA856" s="13"/>
    </row>
    <row r="857" spans="1:183" s="52" customFormat="1" ht="13.2" x14ac:dyDescent="0.25">
      <c r="A857" s="2"/>
      <c r="B857" s="2"/>
      <c r="C857" s="9">
        <v>21</v>
      </c>
      <c r="D857" s="9">
        <v>46</v>
      </c>
      <c r="E857" s="9">
        <v>62</v>
      </c>
      <c r="F857" s="9">
        <v>73</v>
      </c>
      <c r="G857" s="9">
        <v>87</v>
      </c>
      <c r="H857" s="9">
        <v>90</v>
      </c>
      <c r="I857" s="43"/>
      <c r="J857" s="9">
        <v>90</v>
      </c>
      <c r="K857" s="43"/>
      <c r="L857" s="39">
        <v>44702</v>
      </c>
      <c r="M857" s="43"/>
      <c r="N857"/>
      <c r="O857"/>
      <c r="P857"/>
      <c r="Q857"/>
      <c r="R857"/>
      <c r="S857"/>
      <c r="T857"/>
      <c r="U857"/>
      <c r="V857"/>
      <c r="X857" s="43"/>
      <c r="Y857"/>
      <c r="Z857"/>
      <c r="AA857"/>
      <c r="AB857"/>
      <c r="AC857"/>
      <c r="AD857"/>
      <c r="AE857"/>
      <c r="AF857"/>
      <c r="AG857"/>
      <c r="AI857" s="148"/>
      <c r="AJ857" s="1"/>
      <c r="AK857" s="1"/>
      <c r="AL857" s="54"/>
      <c r="AM857" s="1"/>
      <c r="AN857" s="43"/>
      <c r="AO857" s="1"/>
      <c r="AP857" s="1"/>
      <c r="AQ857" s="19"/>
      <c r="AR857" s="54"/>
      <c r="AS857" s="43"/>
      <c r="AT857" s="1"/>
      <c r="AU857" s="1"/>
      <c r="AV857" s="1"/>
      <c r="AW857" s="54"/>
      <c r="AX857" s="57"/>
      <c r="AY857" s="54"/>
      <c r="AZ857" s="54"/>
      <c r="BA857" s="54"/>
      <c r="BB857" s="54"/>
      <c r="BC857" s="57"/>
      <c r="BD857" s="1"/>
      <c r="BE857" s="1"/>
      <c r="BF857" s="1"/>
      <c r="BG857" s="54"/>
      <c r="BH857" s="43"/>
      <c r="BI857"/>
      <c r="BJ857" s="13"/>
      <c r="BK857" s="1"/>
      <c r="BL857"/>
      <c r="BM857"/>
      <c r="BN857"/>
      <c r="DY857" s="43"/>
      <c r="DZ857"/>
      <c r="EA857" s="19"/>
      <c r="EB857" s="19"/>
      <c r="EC857" s="9"/>
      <c r="ED857" s="9"/>
      <c r="EE857" s="9"/>
      <c r="EF857" s="9"/>
      <c r="EG857" s="9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3"/>
      <c r="FD857" s="13"/>
      <c r="FE857" s="13"/>
      <c r="FF857" s="13"/>
      <c r="FG857" s="13"/>
      <c r="FH857" s="13"/>
      <c r="FI857" s="13"/>
      <c r="FJ857" s="13"/>
      <c r="FK857" s="13"/>
      <c r="FL857" s="13"/>
      <c r="FM857" s="13"/>
      <c r="FN857" s="13"/>
      <c r="FO857" s="13"/>
      <c r="FP857" s="13"/>
      <c r="FQ857" s="13"/>
      <c r="FR857" s="13"/>
      <c r="FS857" s="13"/>
      <c r="FT857" s="13"/>
      <c r="FU857" s="13"/>
      <c r="FV857" s="13"/>
      <c r="FW857" s="13"/>
      <c r="FX857" s="13"/>
      <c r="FY857" s="13"/>
      <c r="FZ857" s="13"/>
      <c r="GA857" s="13"/>
    </row>
    <row r="858" spans="1:183" s="52" customFormat="1" ht="13.2" x14ac:dyDescent="0.25">
      <c r="A858" s="2"/>
      <c r="B858" s="2"/>
      <c r="C858" s="9">
        <v>14</v>
      </c>
      <c r="D858" s="9">
        <v>23</v>
      </c>
      <c r="E858" s="9">
        <v>43</v>
      </c>
      <c r="F858" s="9">
        <v>57</v>
      </c>
      <c r="G858" s="9">
        <v>74</v>
      </c>
      <c r="H858" s="9">
        <v>88</v>
      </c>
      <c r="I858" s="43"/>
      <c r="J858" s="9">
        <v>88</v>
      </c>
      <c r="K858" s="43"/>
      <c r="L858" s="39">
        <v>44699</v>
      </c>
      <c r="M858" s="43"/>
      <c r="N858"/>
      <c r="O858"/>
      <c r="P858"/>
      <c r="Q858"/>
      <c r="R858"/>
      <c r="S858"/>
      <c r="T858"/>
      <c r="U858"/>
      <c r="V858"/>
      <c r="X858" s="43"/>
      <c r="Y858"/>
      <c r="Z858"/>
      <c r="AA858"/>
      <c r="AB858"/>
      <c r="AC858"/>
      <c r="AD858"/>
      <c r="AE858"/>
      <c r="AF858"/>
      <c r="AG858"/>
      <c r="AI858" s="148"/>
      <c r="AJ858" s="1"/>
      <c r="AK858" s="1"/>
      <c r="AL858" s="54"/>
      <c r="AM858" s="1"/>
      <c r="AN858" s="43"/>
      <c r="AO858" s="1"/>
      <c r="AP858" s="1"/>
      <c r="AQ858" s="19"/>
      <c r="AR858" s="54"/>
      <c r="AS858" s="43"/>
      <c r="AT858" s="1"/>
      <c r="AU858" s="1"/>
      <c r="AV858" s="1"/>
      <c r="AW858" s="54"/>
      <c r="AX858" s="57"/>
      <c r="AY858" s="54"/>
      <c r="AZ858" s="54"/>
      <c r="BA858" s="54"/>
      <c r="BB858" s="54"/>
      <c r="BC858" s="57"/>
      <c r="BD858" s="1"/>
      <c r="BE858" s="1"/>
      <c r="BF858" s="1"/>
      <c r="BG858" s="54"/>
      <c r="BH858" s="43"/>
      <c r="BI858"/>
      <c r="BJ858" s="13"/>
      <c r="BK858" s="1"/>
      <c r="BL858"/>
      <c r="BM858"/>
      <c r="BN858"/>
      <c r="DY858" s="43"/>
      <c r="DZ858"/>
      <c r="EA858" s="19"/>
      <c r="EB858" s="19"/>
      <c r="EC858" s="9"/>
      <c r="ED858" s="9"/>
      <c r="EE858" s="9"/>
      <c r="EF858" s="9"/>
      <c r="EG858" s="9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3"/>
      <c r="FD858" s="13"/>
      <c r="FE858" s="13"/>
      <c r="FF858" s="13"/>
      <c r="FG858" s="13"/>
      <c r="FH858" s="13"/>
      <c r="FI858" s="13"/>
      <c r="FJ858" s="13"/>
      <c r="FK858" s="13"/>
      <c r="FL858" s="13"/>
      <c r="FM858" s="13"/>
      <c r="FN858" s="13"/>
      <c r="FO858" s="13"/>
      <c r="FP858" s="13"/>
      <c r="FQ858" s="13"/>
      <c r="FR858" s="13"/>
      <c r="FS858" s="13"/>
      <c r="FT858" s="13"/>
      <c r="FU858" s="13"/>
      <c r="FV858" s="13"/>
      <c r="FW858" s="13"/>
      <c r="FX858" s="13"/>
      <c r="FY858" s="13"/>
      <c r="FZ858" s="13"/>
      <c r="GA858" s="13"/>
    </row>
    <row r="859" spans="1:183" s="52" customFormat="1" ht="13.2" x14ac:dyDescent="0.25">
      <c r="A859" s="2"/>
      <c r="B859" s="2"/>
      <c r="C859" s="9">
        <v>26</v>
      </c>
      <c r="D859" s="9">
        <v>53</v>
      </c>
      <c r="E859" s="9">
        <v>56</v>
      </c>
      <c r="F859" s="9">
        <v>57</v>
      </c>
      <c r="G859" s="9">
        <v>67</v>
      </c>
      <c r="H859" s="9">
        <v>80</v>
      </c>
      <c r="I859" s="43"/>
      <c r="J859" s="9">
        <v>80</v>
      </c>
      <c r="K859" s="43"/>
      <c r="L859" s="39">
        <v>44697</v>
      </c>
      <c r="M859" s="43"/>
      <c r="N859"/>
      <c r="O859"/>
      <c r="P859"/>
      <c r="Q859"/>
      <c r="R859"/>
      <c r="S859"/>
      <c r="T859"/>
      <c r="U859"/>
      <c r="V859"/>
      <c r="X859" s="43"/>
      <c r="Y859"/>
      <c r="Z859"/>
      <c r="AA859"/>
      <c r="AB859"/>
      <c r="AC859"/>
      <c r="AD859"/>
      <c r="AE859"/>
      <c r="AF859"/>
      <c r="AG859"/>
      <c r="AI859" s="148"/>
      <c r="AJ859" s="1"/>
      <c r="AK859" s="1"/>
      <c r="AL859" s="54"/>
      <c r="AM859" s="1"/>
      <c r="AN859" s="43"/>
      <c r="AO859" s="1"/>
      <c r="AP859" s="1"/>
      <c r="AQ859" s="19"/>
      <c r="AR859" s="54"/>
      <c r="AS859" s="43"/>
      <c r="AT859" s="1"/>
      <c r="AU859" s="1"/>
      <c r="AV859" s="1"/>
      <c r="AW859" s="54"/>
      <c r="AX859" s="57"/>
      <c r="AY859" s="54"/>
      <c r="AZ859" s="54"/>
      <c r="BA859" s="54"/>
      <c r="BB859" s="54"/>
      <c r="BC859" s="57"/>
      <c r="BD859" s="1"/>
      <c r="BE859" s="1"/>
      <c r="BF859" s="1"/>
      <c r="BG859" s="54"/>
      <c r="BH859" s="43"/>
      <c r="BI859"/>
      <c r="BJ859" s="13"/>
      <c r="BK859" s="1"/>
      <c r="BL859"/>
      <c r="BM859"/>
      <c r="BN859"/>
      <c r="DY859" s="43"/>
      <c r="DZ859"/>
      <c r="EA859" s="19"/>
      <c r="EB859" s="19"/>
      <c r="EC859" s="9"/>
      <c r="ED859" s="9"/>
      <c r="EE859" s="9"/>
      <c r="EF859" s="9"/>
      <c r="EG859" s="9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3"/>
      <c r="FD859" s="13"/>
      <c r="FE859" s="13"/>
      <c r="FF859" s="13"/>
      <c r="FG859" s="13"/>
      <c r="FH859" s="13"/>
      <c r="FI859" s="13"/>
      <c r="FJ859" s="13"/>
      <c r="FK859" s="13"/>
      <c r="FL859" s="13"/>
      <c r="FM859" s="13"/>
      <c r="FN859" s="13"/>
      <c r="FO859" s="13"/>
      <c r="FP859" s="13"/>
      <c r="FQ859" s="13"/>
      <c r="FR859" s="13"/>
      <c r="FS859" s="13"/>
      <c r="FT859" s="13"/>
      <c r="FU859" s="13"/>
      <c r="FV859" s="13"/>
      <c r="FW859" s="13"/>
      <c r="FX859" s="13"/>
      <c r="FY859" s="13"/>
      <c r="FZ859" s="13"/>
      <c r="GA859" s="13"/>
    </row>
    <row r="860" spans="1:183" s="52" customFormat="1" ht="13.2" x14ac:dyDescent="0.25">
      <c r="A860" s="2"/>
      <c r="B860" s="2"/>
      <c r="C860" s="9">
        <v>1</v>
      </c>
      <c r="D860" s="9">
        <v>14</v>
      </c>
      <c r="E860" s="9">
        <v>38</v>
      </c>
      <c r="F860" s="9">
        <v>56</v>
      </c>
      <c r="G860" s="9">
        <v>66</v>
      </c>
      <c r="H860" s="9">
        <v>71</v>
      </c>
      <c r="I860" s="43"/>
      <c r="J860" s="9">
        <v>71</v>
      </c>
      <c r="K860" s="43"/>
      <c r="L860" s="39">
        <v>44695</v>
      </c>
      <c r="M860" s="43"/>
      <c r="N860"/>
      <c r="O860"/>
      <c r="P860"/>
      <c r="Q860"/>
      <c r="R860"/>
      <c r="S860"/>
      <c r="T860"/>
      <c r="U860"/>
      <c r="V860"/>
      <c r="X860" s="43"/>
      <c r="Y860"/>
      <c r="Z860"/>
      <c r="AA860"/>
      <c r="AB860"/>
      <c r="AC860"/>
      <c r="AD860"/>
      <c r="AE860"/>
      <c r="AF860"/>
      <c r="AG860"/>
      <c r="AI860" s="148"/>
      <c r="AJ860" s="1"/>
      <c r="AK860" s="1"/>
      <c r="AL860" s="54"/>
      <c r="AM860" s="1"/>
      <c r="AN860" s="43"/>
      <c r="AO860" s="1"/>
      <c r="AP860" s="1"/>
      <c r="AQ860" s="19"/>
      <c r="AR860" s="54"/>
      <c r="AS860" s="43"/>
      <c r="AT860" s="1"/>
      <c r="AU860" s="1"/>
      <c r="AV860" s="1"/>
      <c r="AW860" s="54"/>
      <c r="AX860" s="57"/>
      <c r="AY860" s="54"/>
      <c r="AZ860" s="54"/>
      <c r="BA860" s="54"/>
      <c r="BB860" s="54"/>
      <c r="BC860" s="57"/>
      <c r="BD860" s="1"/>
      <c r="BE860" s="1"/>
      <c r="BF860" s="1"/>
      <c r="BG860" s="54"/>
      <c r="BH860" s="43"/>
      <c r="BI860"/>
      <c r="BJ860" s="13"/>
      <c r="BK860" s="1"/>
      <c r="BL860"/>
      <c r="BM860"/>
      <c r="BN860"/>
      <c r="DY860" s="43"/>
      <c r="DZ860"/>
      <c r="EA860" s="19"/>
      <c r="EB860" s="19"/>
      <c r="EC860" s="9"/>
      <c r="ED860" s="9"/>
      <c r="EE860" s="9"/>
      <c r="EF860" s="9"/>
      <c r="EG860" s="9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3"/>
      <c r="FD860" s="13"/>
      <c r="FE860" s="13"/>
      <c r="FF860" s="13"/>
      <c r="FG860" s="13"/>
      <c r="FH860" s="13"/>
      <c r="FI860" s="13"/>
      <c r="FJ860" s="13"/>
      <c r="FK860" s="13"/>
      <c r="FL860" s="13"/>
      <c r="FM860" s="13"/>
      <c r="FN860" s="13"/>
      <c r="FO860" s="13"/>
      <c r="FP860" s="13"/>
      <c r="FQ860" s="13"/>
      <c r="FR860" s="13"/>
      <c r="FS860" s="13"/>
      <c r="FT860" s="13"/>
      <c r="FU860" s="13"/>
      <c r="FV860" s="13"/>
      <c r="FW860" s="13"/>
      <c r="FX860" s="13"/>
      <c r="FY860" s="13"/>
      <c r="FZ860" s="13"/>
      <c r="GA860" s="13"/>
    </row>
    <row r="861" spans="1:183" s="52" customFormat="1" ht="13.2" x14ac:dyDescent="0.25">
      <c r="A861" s="2"/>
      <c r="B861" s="2"/>
      <c r="C861" s="9">
        <v>11</v>
      </c>
      <c r="D861" s="9">
        <v>27</v>
      </c>
      <c r="E861" s="9">
        <v>54</v>
      </c>
      <c r="F861" s="9">
        <v>57</v>
      </c>
      <c r="G861" s="9">
        <v>65</v>
      </c>
      <c r="H861" s="9">
        <v>82</v>
      </c>
      <c r="I861" s="43"/>
      <c r="J861" s="9">
        <v>82</v>
      </c>
      <c r="K861" s="43"/>
      <c r="L861" s="39">
        <v>44692</v>
      </c>
      <c r="M861" s="43"/>
      <c r="N861"/>
      <c r="O861"/>
      <c r="P861"/>
      <c r="Q861"/>
      <c r="R861"/>
      <c r="S861"/>
      <c r="T861"/>
      <c r="U861"/>
      <c r="V861"/>
      <c r="X861" s="43"/>
      <c r="Y861"/>
      <c r="Z861"/>
      <c r="AA861"/>
      <c r="AB861"/>
      <c r="AC861"/>
      <c r="AD861"/>
      <c r="AE861"/>
      <c r="AF861"/>
      <c r="AG861"/>
      <c r="AI861" s="148"/>
      <c r="AJ861" s="1"/>
      <c r="AK861" s="1"/>
      <c r="AL861" s="54"/>
      <c r="AM861" s="1"/>
      <c r="AN861" s="43"/>
      <c r="AO861" s="1"/>
      <c r="AP861" s="1"/>
      <c r="AQ861" s="19"/>
      <c r="AR861" s="54"/>
      <c r="AS861" s="43"/>
      <c r="AT861" s="1"/>
      <c r="AU861" s="1"/>
      <c r="AV861" s="1"/>
      <c r="AW861" s="54"/>
      <c r="AX861" s="57"/>
      <c r="AY861" s="54"/>
      <c r="AZ861" s="54"/>
      <c r="BA861" s="54"/>
      <c r="BB861" s="54"/>
      <c r="BC861" s="57"/>
      <c r="BD861" s="1"/>
      <c r="BE861" s="1"/>
      <c r="BF861" s="1"/>
      <c r="BG861" s="54"/>
      <c r="BH861" s="43"/>
      <c r="BI861"/>
      <c r="BJ861" s="13"/>
      <c r="BK861" s="1"/>
      <c r="BL861"/>
      <c r="BM861"/>
      <c r="BN861"/>
      <c r="DY861" s="43"/>
      <c r="DZ861"/>
      <c r="EA861" s="19"/>
      <c r="EB861" s="19"/>
      <c r="EC861" s="9"/>
      <c r="ED861" s="9"/>
      <c r="EE861" s="9"/>
      <c r="EF861" s="9"/>
      <c r="EG861" s="9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3"/>
      <c r="FD861" s="13"/>
      <c r="FE861" s="13"/>
      <c r="FF861" s="13"/>
      <c r="FG861" s="13"/>
      <c r="FH861" s="13"/>
      <c r="FI861" s="13"/>
      <c r="FJ861" s="13"/>
      <c r="FK861" s="13"/>
      <c r="FL861" s="13"/>
      <c r="FM861" s="13"/>
      <c r="FN861" s="13"/>
      <c r="FO861" s="13"/>
      <c r="FP861" s="13"/>
      <c r="FQ861" s="13"/>
      <c r="FR861" s="13"/>
      <c r="FS861" s="13"/>
      <c r="FT861" s="13"/>
      <c r="FU861" s="13"/>
      <c r="FV861" s="13"/>
      <c r="FW861" s="13"/>
      <c r="FX861" s="13"/>
      <c r="FY861" s="13"/>
      <c r="FZ861" s="13"/>
      <c r="GA861" s="13"/>
    </row>
    <row r="862" spans="1:183" s="52" customFormat="1" ht="13.2" x14ac:dyDescent="0.25">
      <c r="A862" s="2"/>
      <c r="B862" s="2"/>
      <c r="C862" s="9">
        <v>7</v>
      </c>
      <c r="D862" s="9">
        <v>10</v>
      </c>
      <c r="E862" s="9">
        <v>32</v>
      </c>
      <c r="F862" s="9">
        <v>53</v>
      </c>
      <c r="G862" s="9">
        <v>63</v>
      </c>
      <c r="H862" s="9">
        <v>75</v>
      </c>
      <c r="I862" s="43"/>
      <c r="J862" s="9">
        <v>75</v>
      </c>
      <c r="K862" s="43"/>
      <c r="L862" s="39">
        <v>44686</v>
      </c>
      <c r="M862" s="43"/>
      <c r="N862"/>
      <c r="O862"/>
      <c r="P862"/>
      <c r="Q862"/>
      <c r="R862"/>
      <c r="S862"/>
      <c r="T862"/>
      <c r="U862"/>
      <c r="V862"/>
      <c r="X862" s="43"/>
      <c r="Y862"/>
      <c r="Z862"/>
      <c r="AA862"/>
      <c r="AB862"/>
      <c r="AC862"/>
      <c r="AD862"/>
      <c r="AE862"/>
      <c r="AF862"/>
      <c r="AG862"/>
      <c r="AI862" s="148"/>
      <c r="AJ862" s="1"/>
      <c r="AK862" s="1"/>
      <c r="AL862" s="54"/>
      <c r="AM862" s="1"/>
      <c r="AN862" s="43"/>
      <c r="AO862" s="1"/>
      <c r="AP862" s="1"/>
      <c r="AQ862" s="19"/>
      <c r="AR862" s="54"/>
      <c r="AS862" s="43"/>
      <c r="AT862" s="1"/>
      <c r="AU862" s="1"/>
      <c r="AV862" s="1"/>
      <c r="AW862" s="54"/>
      <c r="AX862" s="57"/>
      <c r="AY862" s="54"/>
      <c r="AZ862" s="54"/>
      <c r="BA862" s="54"/>
      <c r="BB862" s="54"/>
      <c r="BC862" s="57"/>
      <c r="BD862" s="1"/>
      <c r="BE862" s="1"/>
      <c r="BF862" s="1"/>
      <c r="BG862" s="54"/>
      <c r="BH862" s="43"/>
      <c r="BI862"/>
      <c r="BJ862" s="13"/>
      <c r="BK862" s="1"/>
      <c r="BL862"/>
      <c r="BM862"/>
      <c r="BN862"/>
      <c r="DY862" s="43"/>
      <c r="DZ862"/>
      <c r="EA862" s="19"/>
      <c r="EB862" s="19"/>
      <c r="EC862" s="9"/>
      <c r="ED862" s="9"/>
      <c r="EE862" s="9"/>
      <c r="EF862" s="9"/>
      <c r="EG862" s="9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  <c r="FI862" s="13"/>
      <c r="FJ862" s="13"/>
      <c r="FK862" s="13"/>
      <c r="FL862" s="13"/>
      <c r="FM862" s="13"/>
      <c r="FN862" s="13"/>
      <c r="FO862" s="13"/>
      <c r="FP862" s="13"/>
      <c r="FQ862" s="13"/>
      <c r="FR862" s="13"/>
      <c r="FS862" s="13"/>
      <c r="FT862" s="13"/>
      <c r="FU862" s="13"/>
      <c r="FV862" s="13"/>
      <c r="FW862" s="13"/>
      <c r="FX862" s="13"/>
      <c r="FY862" s="13"/>
      <c r="FZ862" s="13"/>
      <c r="GA862" s="13"/>
    </row>
    <row r="863" spans="1:183" s="52" customFormat="1" ht="13.2" x14ac:dyDescent="0.25">
      <c r="A863" s="2"/>
      <c r="B863" s="2"/>
      <c r="C863" s="9">
        <v>7</v>
      </c>
      <c r="D863" s="9">
        <v>8</v>
      </c>
      <c r="E863" s="9">
        <v>12</v>
      </c>
      <c r="F863" s="9">
        <v>35</v>
      </c>
      <c r="G863" s="9">
        <v>68</v>
      </c>
      <c r="H863" s="9">
        <v>73</v>
      </c>
      <c r="I863" s="43"/>
      <c r="J863" s="9">
        <v>73</v>
      </c>
      <c r="K863" s="43"/>
      <c r="L863" s="39">
        <v>44688</v>
      </c>
      <c r="M863" s="43"/>
      <c r="N863"/>
      <c r="O863"/>
      <c r="P863"/>
      <c r="Q863"/>
      <c r="R863"/>
      <c r="S863"/>
      <c r="T863"/>
      <c r="U863"/>
      <c r="V863"/>
      <c r="X863" s="43"/>
      <c r="Y863"/>
      <c r="Z863"/>
      <c r="AA863"/>
      <c r="AB863"/>
      <c r="AC863"/>
      <c r="AD863"/>
      <c r="AE863"/>
      <c r="AF863"/>
      <c r="AG863"/>
      <c r="AI863" s="148"/>
      <c r="AJ863" s="1"/>
      <c r="AK863" s="1"/>
      <c r="AL863" s="54"/>
      <c r="AM863" s="1"/>
      <c r="AN863" s="43"/>
      <c r="AO863" s="1"/>
      <c r="AP863" s="1"/>
      <c r="AQ863" s="19"/>
      <c r="AR863" s="54"/>
      <c r="AS863" s="43"/>
      <c r="AT863" s="1"/>
      <c r="AU863" s="1"/>
      <c r="AV863" s="1"/>
      <c r="AW863" s="54"/>
      <c r="AX863" s="57"/>
      <c r="AY863" s="54"/>
      <c r="AZ863" s="54"/>
      <c r="BA863" s="54"/>
      <c r="BB863" s="54"/>
      <c r="BC863" s="57"/>
      <c r="BD863" s="1"/>
      <c r="BE863" s="1"/>
      <c r="BF863" s="1"/>
      <c r="BG863" s="54"/>
      <c r="BH863" s="43"/>
      <c r="BI863"/>
      <c r="BJ863" s="13"/>
      <c r="BK863" s="1"/>
      <c r="BL863"/>
      <c r="BM863"/>
      <c r="BN863"/>
      <c r="DY863" s="43"/>
      <c r="DZ863"/>
      <c r="EA863" s="19"/>
      <c r="EB863" s="19"/>
      <c r="EC863" s="9"/>
      <c r="ED863" s="9"/>
      <c r="EE863" s="9"/>
      <c r="EF863" s="9"/>
      <c r="EG863" s="9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3"/>
      <c r="FJ863" s="13"/>
      <c r="FK863" s="13"/>
      <c r="FL863" s="13"/>
      <c r="FM863" s="13"/>
      <c r="FN863" s="13"/>
      <c r="FO863" s="13"/>
      <c r="FP863" s="13"/>
      <c r="FQ863" s="13"/>
      <c r="FR863" s="13"/>
      <c r="FS863" s="13"/>
      <c r="FT863" s="13"/>
      <c r="FU863" s="13"/>
      <c r="FV863" s="13"/>
      <c r="FW863" s="13"/>
      <c r="FX863" s="13"/>
      <c r="FY863" s="13"/>
      <c r="FZ863" s="13"/>
      <c r="GA863" s="13"/>
    </row>
    <row r="864" spans="1:183" s="52" customFormat="1" ht="13.2" x14ac:dyDescent="0.25">
      <c r="A864" s="2"/>
      <c r="B864" s="2"/>
      <c r="C864" s="9">
        <v>26</v>
      </c>
      <c r="D864" s="9">
        <v>35</v>
      </c>
      <c r="E864" s="9">
        <v>39</v>
      </c>
      <c r="F864" s="9">
        <v>43</v>
      </c>
      <c r="G864" s="9">
        <v>48</v>
      </c>
      <c r="H864" s="9">
        <v>51</v>
      </c>
      <c r="I864" s="43"/>
      <c r="J864" s="9">
        <v>51</v>
      </c>
      <c r="K864" s="43"/>
      <c r="L864" s="39">
        <v>44685</v>
      </c>
      <c r="M864" s="43"/>
      <c r="N864"/>
      <c r="O864"/>
      <c r="P864"/>
      <c r="Q864"/>
      <c r="R864"/>
      <c r="S864"/>
      <c r="T864"/>
      <c r="U864"/>
      <c r="V864"/>
      <c r="X864" s="43"/>
      <c r="Y864"/>
      <c r="Z864"/>
      <c r="AA864"/>
      <c r="AB864"/>
      <c r="AC864"/>
      <c r="AD864"/>
      <c r="AE864"/>
      <c r="AF864"/>
      <c r="AG864"/>
      <c r="AI864" s="148"/>
      <c r="AJ864" s="1"/>
      <c r="AK864" s="1"/>
      <c r="AL864" s="54"/>
      <c r="AM864" s="1"/>
      <c r="AN864" s="43"/>
      <c r="AO864" s="1"/>
      <c r="AP864" s="1"/>
      <c r="AQ864" s="19"/>
      <c r="AR864" s="54"/>
      <c r="AS864" s="43"/>
      <c r="AT864" s="1"/>
      <c r="AU864" s="1"/>
      <c r="AV864" s="1"/>
      <c r="AW864" s="54"/>
      <c r="AX864" s="57"/>
      <c r="AY864" s="54"/>
      <c r="AZ864" s="54"/>
      <c r="BA864" s="54"/>
      <c r="BB864" s="54"/>
      <c r="BC864" s="57"/>
      <c r="BD864" s="1"/>
      <c r="BE864" s="1"/>
      <c r="BF864" s="1"/>
      <c r="BG864" s="54"/>
      <c r="BH864" s="43"/>
      <c r="BI864"/>
      <c r="BJ864" s="13"/>
      <c r="BK864" s="1"/>
      <c r="BL864"/>
      <c r="BM864"/>
      <c r="BN864"/>
      <c r="DY864" s="43"/>
      <c r="DZ864"/>
      <c r="EA864" s="19"/>
      <c r="EB864" s="19"/>
      <c r="EC864" s="9"/>
      <c r="ED864" s="9"/>
      <c r="EE864" s="9"/>
      <c r="EF864" s="9"/>
      <c r="EG864" s="9"/>
      <c r="EH864" s="13"/>
      <c r="EI864" s="13"/>
      <c r="EJ864" s="13"/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/>
      <c r="FB864" s="13"/>
      <c r="FC864" s="13"/>
      <c r="FD864" s="13"/>
      <c r="FE864" s="13"/>
      <c r="FF864" s="13"/>
      <c r="FG864" s="13"/>
      <c r="FH864" s="13"/>
      <c r="FI864" s="13"/>
      <c r="FJ864" s="13"/>
      <c r="FK864" s="13"/>
      <c r="FL864" s="13"/>
      <c r="FM864" s="13"/>
      <c r="FN864" s="13"/>
      <c r="FO864" s="13"/>
      <c r="FP864" s="13"/>
      <c r="FQ864" s="13"/>
      <c r="FR864" s="13"/>
      <c r="FS864" s="13"/>
      <c r="FT864" s="13"/>
      <c r="FU864" s="13"/>
      <c r="FV864" s="13"/>
      <c r="FW864" s="13"/>
      <c r="FX864" s="13"/>
      <c r="FY864" s="13"/>
      <c r="FZ864" s="13"/>
      <c r="GA864" s="13"/>
    </row>
    <row r="865" spans="1:183" s="52" customFormat="1" ht="13.2" x14ac:dyDescent="0.25">
      <c r="A865" s="2"/>
      <c r="B865" s="2"/>
      <c r="C865" s="9">
        <v>12</v>
      </c>
      <c r="D865" s="9">
        <v>23</v>
      </c>
      <c r="E865" s="9">
        <v>41</v>
      </c>
      <c r="F865" s="9">
        <v>45</v>
      </c>
      <c r="G865" s="9">
        <v>53</v>
      </c>
      <c r="H865" s="9">
        <v>77</v>
      </c>
      <c r="I865" s="43"/>
      <c r="J865" s="9">
        <v>77</v>
      </c>
      <c r="K865" s="43"/>
      <c r="L865" s="39">
        <v>44683</v>
      </c>
      <c r="M865" s="43"/>
      <c r="N865"/>
      <c r="O865"/>
      <c r="P865"/>
      <c r="Q865"/>
      <c r="R865"/>
      <c r="S865"/>
      <c r="T865"/>
      <c r="U865"/>
      <c r="V865"/>
      <c r="X865" s="43"/>
      <c r="Y865"/>
      <c r="Z865"/>
      <c r="AA865"/>
      <c r="AB865"/>
      <c r="AC865"/>
      <c r="AD865"/>
      <c r="AE865"/>
      <c r="AF865"/>
      <c r="AG865"/>
      <c r="AI865" s="148"/>
      <c r="AJ865" s="1"/>
      <c r="AK865" s="1"/>
      <c r="AL865" s="54"/>
      <c r="AM865" s="1"/>
      <c r="AN865" s="43"/>
      <c r="AO865" s="1"/>
      <c r="AP865" s="1"/>
      <c r="AQ865" s="19"/>
      <c r="AR865" s="54"/>
      <c r="AS865" s="43"/>
      <c r="AT865" s="1"/>
      <c r="AU865" s="1"/>
      <c r="AV865" s="1"/>
      <c r="AW865" s="54"/>
      <c r="AX865" s="57"/>
      <c r="AY865" s="54"/>
      <c r="AZ865" s="54"/>
      <c r="BA865" s="54"/>
      <c r="BB865" s="54"/>
      <c r="BC865" s="57"/>
      <c r="BD865" s="1"/>
      <c r="BE865" s="1"/>
      <c r="BF865" s="1"/>
      <c r="BG865" s="54"/>
      <c r="BH865" s="43"/>
      <c r="BI865"/>
      <c r="BJ865" s="13"/>
      <c r="BK865" s="1"/>
      <c r="BL865"/>
      <c r="BM865"/>
      <c r="BN865"/>
      <c r="DY865" s="43"/>
      <c r="DZ865"/>
      <c r="EA865" s="19"/>
      <c r="EB865" s="19"/>
      <c r="EC865" s="9"/>
      <c r="ED865" s="9"/>
      <c r="EE865" s="9"/>
      <c r="EF865" s="9"/>
      <c r="EG865" s="9"/>
      <c r="EH865" s="13"/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3"/>
      <c r="FD865" s="13"/>
      <c r="FE865" s="13"/>
      <c r="FF865" s="13"/>
      <c r="FG865" s="13"/>
      <c r="FH865" s="13"/>
      <c r="FI865" s="13"/>
      <c r="FJ865" s="13"/>
      <c r="FK865" s="13"/>
      <c r="FL865" s="13"/>
      <c r="FM865" s="13"/>
      <c r="FN865" s="13"/>
      <c r="FO865" s="13"/>
      <c r="FP865" s="13"/>
      <c r="FQ865" s="13"/>
      <c r="FR865" s="13"/>
      <c r="FS865" s="13"/>
      <c r="FT865" s="13"/>
      <c r="FU865" s="13"/>
      <c r="FV865" s="13"/>
      <c r="FW865" s="13"/>
      <c r="FX865" s="13"/>
      <c r="FY865" s="13"/>
      <c r="FZ865" s="13"/>
      <c r="GA865" s="13"/>
    </row>
    <row r="866" spans="1:183" s="52" customFormat="1" ht="13.2" x14ac:dyDescent="0.25">
      <c r="A866" s="2"/>
      <c r="B866" s="2"/>
      <c r="C866" s="9">
        <v>9</v>
      </c>
      <c r="D866" s="9">
        <v>12</v>
      </c>
      <c r="E866" s="9">
        <v>36</v>
      </c>
      <c r="F866" s="9">
        <v>39</v>
      </c>
      <c r="G866" s="9">
        <v>57</v>
      </c>
      <c r="H866" s="9">
        <v>72</v>
      </c>
      <c r="I866" s="43"/>
      <c r="J866" s="9">
        <v>72</v>
      </c>
      <c r="K866" s="43"/>
      <c r="L866" s="39">
        <v>44681</v>
      </c>
      <c r="M866" s="43"/>
      <c r="N866"/>
      <c r="O866"/>
      <c r="P866"/>
      <c r="Q866"/>
      <c r="R866"/>
      <c r="S866"/>
      <c r="T866"/>
      <c r="U866"/>
      <c r="V866"/>
      <c r="X866" s="43"/>
      <c r="Y866"/>
      <c r="Z866"/>
      <c r="AA866"/>
      <c r="AB866"/>
      <c r="AC866"/>
      <c r="AD866"/>
      <c r="AE866"/>
      <c r="AF866"/>
      <c r="AG866"/>
      <c r="AI866" s="148"/>
      <c r="AJ866" s="1"/>
      <c r="AK866" s="1"/>
      <c r="AL866" s="54"/>
      <c r="AM866" s="1"/>
      <c r="AN866" s="43"/>
      <c r="AO866" s="1"/>
      <c r="AP866" s="1"/>
      <c r="AQ866" s="19"/>
      <c r="AR866" s="54"/>
      <c r="AS866" s="43"/>
      <c r="AT866" s="1"/>
      <c r="AU866" s="1"/>
      <c r="AV866" s="1"/>
      <c r="AW866" s="54"/>
      <c r="AX866" s="57"/>
      <c r="AY866" s="54"/>
      <c r="AZ866" s="54"/>
      <c r="BA866" s="54"/>
      <c r="BB866" s="54"/>
      <c r="BC866" s="57"/>
      <c r="BD866" s="1"/>
      <c r="BE866" s="1"/>
      <c r="BF866" s="1"/>
      <c r="BG866" s="54"/>
      <c r="BH866" s="43"/>
      <c r="BI866"/>
      <c r="BJ866" s="13"/>
      <c r="BK866" s="1"/>
      <c r="BL866"/>
      <c r="BM866"/>
      <c r="BN866"/>
      <c r="DY866" s="43"/>
      <c r="DZ866"/>
      <c r="EA866" s="19"/>
      <c r="EB866" s="19"/>
      <c r="EC866" s="9"/>
      <c r="ED866" s="9"/>
      <c r="EE866" s="9"/>
      <c r="EF866" s="9"/>
      <c r="EG866" s="9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  <c r="FU866" s="13"/>
      <c r="FV866" s="13"/>
      <c r="FW866" s="13"/>
      <c r="FX866" s="13"/>
      <c r="FY866" s="13"/>
      <c r="FZ866" s="13"/>
      <c r="GA866" s="13"/>
    </row>
    <row r="867" spans="1:183" s="52" customFormat="1" ht="13.2" x14ac:dyDescent="0.25">
      <c r="A867" s="2"/>
      <c r="B867" s="2"/>
      <c r="C867" s="9">
        <v>29</v>
      </c>
      <c r="D867" s="9">
        <v>32</v>
      </c>
      <c r="E867" s="9">
        <v>35</v>
      </c>
      <c r="F867" s="9">
        <v>47</v>
      </c>
      <c r="G867" s="9">
        <v>64</v>
      </c>
      <c r="H867" s="9">
        <v>73</v>
      </c>
      <c r="I867" s="43"/>
      <c r="J867" s="9">
        <v>73</v>
      </c>
      <c r="K867" s="43"/>
      <c r="L867" s="39">
        <v>44678</v>
      </c>
      <c r="M867" s="43"/>
      <c r="N867"/>
      <c r="O867"/>
      <c r="P867"/>
      <c r="Q867"/>
      <c r="R867"/>
      <c r="S867"/>
      <c r="T867"/>
      <c r="U867"/>
      <c r="V867"/>
      <c r="X867" s="43"/>
      <c r="Y867"/>
      <c r="Z867"/>
      <c r="AA867"/>
      <c r="AB867"/>
      <c r="AC867"/>
      <c r="AD867"/>
      <c r="AE867"/>
      <c r="AF867"/>
      <c r="AG867"/>
      <c r="AI867" s="148"/>
      <c r="AJ867" s="1"/>
      <c r="AK867" s="1"/>
      <c r="AL867" s="54"/>
      <c r="AM867" s="1"/>
      <c r="AN867" s="43"/>
      <c r="AO867" s="1"/>
      <c r="AP867" s="1"/>
      <c r="AQ867" s="19"/>
      <c r="AR867" s="54"/>
      <c r="AS867" s="43"/>
      <c r="AT867" s="1"/>
      <c r="AU867" s="1"/>
      <c r="AV867" s="1"/>
      <c r="AW867" s="54"/>
      <c r="AX867" s="57"/>
      <c r="AY867" s="54"/>
      <c r="AZ867" s="54"/>
      <c r="BA867" s="54"/>
      <c r="BB867" s="54"/>
      <c r="BC867" s="57"/>
      <c r="BD867" s="1"/>
      <c r="BE867" s="1"/>
      <c r="BF867" s="1"/>
      <c r="BG867" s="54"/>
      <c r="BH867" s="43"/>
      <c r="BI867"/>
      <c r="BJ867" s="13"/>
      <c r="BK867" s="1"/>
      <c r="BL867"/>
      <c r="BM867"/>
      <c r="BN867"/>
      <c r="DY867" s="43"/>
      <c r="DZ867"/>
      <c r="EA867" s="19"/>
      <c r="EB867" s="19"/>
      <c r="EC867" s="9"/>
      <c r="ED867" s="9"/>
      <c r="EE867" s="9"/>
      <c r="EF867" s="9"/>
      <c r="EG867" s="9"/>
      <c r="EH867" s="13"/>
      <c r="EI867" s="13"/>
      <c r="EJ867" s="13"/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3"/>
      <c r="FD867" s="13"/>
      <c r="FE867" s="13"/>
      <c r="FF867" s="13"/>
      <c r="FG867" s="13"/>
      <c r="FH867" s="13"/>
      <c r="FI867" s="13"/>
      <c r="FJ867" s="13"/>
      <c r="FK867" s="13"/>
      <c r="FL867" s="13"/>
      <c r="FM867" s="13"/>
      <c r="FN867" s="13"/>
      <c r="FO867" s="13"/>
      <c r="FP867" s="13"/>
      <c r="FQ867" s="13"/>
      <c r="FR867" s="13"/>
      <c r="FS867" s="13"/>
      <c r="FT867" s="13"/>
      <c r="FU867" s="13"/>
      <c r="FV867" s="13"/>
      <c r="FW867" s="13"/>
      <c r="FX867" s="13"/>
      <c r="FY867" s="13"/>
      <c r="FZ867" s="13"/>
      <c r="GA867" s="13"/>
    </row>
    <row r="868" spans="1:183" s="52" customFormat="1" ht="13.2" x14ac:dyDescent="0.25">
      <c r="A868" s="2"/>
      <c r="B868" s="2"/>
      <c r="C868" s="9">
        <v>2</v>
      </c>
      <c r="D868" s="9">
        <v>48</v>
      </c>
      <c r="E868" s="9">
        <v>48</v>
      </c>
      <c r="F868" s="9">
        <v>61</v>
      </c>
      <c r="G868" s="9">
        <v>75</v>
      </c>
      <c r="H868" s="9">
        <v>84</v>
      </c>
      <c r="I868" s="43"/>
      <c r="J868" s="9">
        <v>84</v>
      </c>
      <c r="K868" s="43"/>
      <c r="L868" s="39">
        <v>44676</v>
      </c>
      <c r="M868" s="43"/>
      <c r="N868"/>
      <c r="O868"/>
      <c r="P868"/>
      <c r="Q868"/>
      <c r="R868"/>
      <c r="S868"/>
      <c r="T868"/>
      <c r="U868"/>
      <c r="V868"/>
      <c r="X868" s="43"/>
      <c r="Y868"/>
      <c r="Z868"/>
      <c r="AA868"/>
      <c r="AB868"/>
      <c r="AC868"/>
      <c r="AD868"/>
      <c r="AE868"/>
      <c r="AF868"/>
      <c r="AG868"/>
      <c r="AI868" s="148"/>
      <c r="AJ868" s="1"/>
      <c r="AK868" s="1"/>
      <c r="AL868" s="54"/>
      <c r="AM868" s="1"/>
      <c r="AN868" s="43"/>
      <c r="AO868" s="1"/>
      <c r="AP868" s="1"/>
      <c r="AQ868" s="19"/>
      <c r="AR868" s="54"/>
      <c r="AS868" s="43"/>
      <c r="AT868" s="1"/>
      <c r="AU868" s="1"/>
      <c r="AV868" s="1"/>
      <c r="AW868" s="54"/>
      <c r="AX868" s="57"/>
      <c r="AY868" s="54"/>
      <c r="AZ868" s="54"/>
      <c r="BA868" s="54"/>
      <c r="BB868" s="54"/>
      <c r="BC868" s="57"/>
      <c r="BD868" s="1"/>
      <c r="BE868" s="1"/>
      <c r="BF868" s="1"/>
      <c r="BG868" s="54"/>
      <c r="BH868" s="43"/>
      <c r="BI868"/>
      <c r="BJ868" s="13"/>
      <c r="BK868" s="1"/>
      <c r="BL868"/>
      <c r="BM868"/>
      <c r="BN868"/>
      <c r="DY868" s="43"/>
      <c r="DZ868"/>
      <c r="EA868" s="19"/>
      <c r="EB868" s="19"/>
      <c r="EC868" s="9"/>
      <c r="ED868" s="9"/>
      <c r="EE868" s="9"/>
      <c r="EF868" s="9"/>
      <c r="EG868" s="9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3"/>
      <c r="FD868" s="13"/>
      <c r="FE868" s="13"/>
      <c r="FF868" s="13"/>
      <c r="FG868" s="13"/>
      <c r="FH868" s="13"/>
      <c r="FI868" s="13"/>
      <c r="FJ868" s="13"/>
      <c r="FK868" s="13"/>
      <c r="FL868" s="13"/>
      <c r="FM868" s="13"/>
      <c r="FN868" s="13"/>
      <c r="FO868" s="13"/>
      <c r="FP868" s="13"/>
      <c r="FQ868" s="13"/>
      <c r="FR868" s="13"/>
      <c r="FS868" s="13"/>
      <c r="FT868" s="13"/>
      <c r="FU868" s="13"/>
      <c r="FV868" s="13"/>
      <c r="FW868" s="13"/>
      <c r="FX868" s="13"/>
      <c r="FY868" s="13"/>
      <c r="FZ868" s="13"/>
      <c r="GA868" s="13"/>
    </row>
    <row r="869" spans="1:183" s="52" customFormat="1" ht="13.2" x14ac:dyDescent="0.25">
      <c r="A869" s="2"/>
      <c r="B869" s="2"/>
      <c r="C869" s="9">
        <v>1</v>
      </c>
      <c r="D869" s="9">
        <v>3</v>
      </c>
      <c r="E869" s="9">
        <v>31</v>
      </c>
      <c r="F869" s="9">
        <v>70</v>
      </c>
      <c r="G869" s="9">
        <v>83</v>
      </c>
      <c r="H869" s="9">
        <v>86</v>
      </c>
      <c r="I869" s="43"/>
      <c r="J869" s="9">
        <v>86</v>
      </c>
      <c r="K869" s="43"/>
      <c r="L869" s="39">
        <v>44674</v>
      </c>
      <c r="M869" s="43"/>
      <c r="N869"/>
      <c r="O869"/>
      <c r="P869"/>
      <c r="Q869"/>
      <c r="R869"/>
      <c r="S869"/>
      <c r="T869"/>
      <c r="U869"/>
      <c r="V869"/>
      <c r="X869" s="43"/>
      <c r="Y869"/>
      <c r="Z869"/>
      <c r="AA869"/>
      <c r="AB869"/>
      <c r="AC869"/>
      <c r="AD869"/>
      <c r="AE869"/>
      <c r="AF869"/>
      <c r="AG869"/>
      <c r="AI869" s="148"/>
      <c r="AJ869" s="1"/>
      <c r="AK869" s="1"/>
      <c r="AL869" s="54"/>
      <c r="AM869" s="1"/>
      <c r="AN869" s="43"/>
      <c r="AO869" s="1"/>
      <c r="AP869" s="1"/>
      <c r="AQ869" s="19"/>
      <c r="AR869" s="54"/>
      <c r="AS869" s="43"/>
      <c r="AT869" s="1"/>
      <c r="AU869" s="1"/>
      <c r="AV869" s="1"/>
      <c r="AW869" s="54"/>
      <c r="AX869" s="57"/>
      <c r="AY869" s="54"/>
      <c r="AZ869" s="54"/>
      <c r="BA869" s="54"/>
      <c r="BB869" s="54"/>
      <c r="BC869" s="57"/>
      <c r="BD869" s="1"/>
      <c r="BE869" s="1"/>
      <c r="BF869" s="1"/>
      <c r="BG869" s="54"/>
      <c r="BH869" s="43"/>
      <c r="BI869"/>
      <c r="BJ869" s="13"/>
      <c r="BK869" s="1"/>
      <c r="BL869"/>
      <c r="BM869"/>
      <c r="BN869"/>
      <c r="DY869" s="43"/>
      <c r="DZ869"/>
      <c r="EA869" s="19"/>
      <c r="EB869" s="19"/>
      <c r="EC869" s="9"/>
      <c r="ED869" s="9"/>
      <c r="EE869" s="9"/>
      <c r="EF869" s="9"/>
      <c r="EG869" s="9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  <c r="FI869" s="13"/>
      <c r="FJ869" s="13"/>
      <c r="FK869" s="13"/>
      <c r="FL869" s="13"/>
      <c r="FM869" s="13"/>
      <c r="FN869" s="13"/>
      <c r="FO869" s="13"/>
      <c r="FP869" s="13"/>
      <c r="FQ869" s="13"/>
      <c r="FR869" s="13"/>
      <c r="FS869" s="13"/>
      <c r="FT869" s="13"/>
      <c r="FU869" s="13"/>
      <c r="FV869" s="13"/>
      <c r="FW869" s="13"/>
      <c r="FX869" s="13"/>
      <c r="FY869" s="13"/>
      <c r="FZ869" s="13"/>
      <c r="GA869" s="13"/>
    </row>
    <row r="870" spans="1:183" s="52" customFormat="1" ht="13.2" x14ac:dyDescent="0.25">
      <c r="A870" s="2"/>
      <c r="B870" s="2"/>
      <c r="C870" s="9">
        <v>4</v>
      </c>
      <c r="D870" s="9">
        <v>13</v>
      </c>
      <c r="E870" s="9">
        <v>15</v>
      </c>
      <c r="F870" s="9">
        <v>75</v>
      </c>
      <c r="G870" s="9">
        <v>79</v>
      </c>
      <c r="H870" s="9">
        <v>86</v>
      </c>
      <c r="I870" s="43"/>
      <c r="J870" s="9">
        <v>86</v>
      </c>
      <c r="K870" s="43"/>
      <c r="L870" s="39">
        <v>44671</v>
      </c>
      <c r="M870" s="43"/>
      <c r="N870"/>
      <c r="O870"/>
      <c r="P870"/>
      <c r="Q870"/>
      <c r="R870"/>
      <c r="S870"/>
      <c r="T870"/>
      <c r="U870"/>
      <c r="V870"/>
      <c r="X870" s="43"/>
      <c r="Y870"/>
      <c r="Z870"/>
      <c r="AA870"/>
      <c r="AB870"/>
      <c r="AC870"/>
      <c r="AD870"/>
      <c r="AE870"/>
      <c r="AF870"/>
      <c r="AG870"/>
      <c r="AI870" s="148"/>
      <c r="AJ870" s="1"/>
      <c r="AK870" s="1"/>
      <c r="AL870" s="54"/>
      <c r="AM870" s="1"/>
      <c r="AN870" s="43"/>
      <c r="AO870" s="1"/>
      <c r="AP870" s="1"/>
      <c r="AQ870" s="19"/>
      <c r="AR870" s="54"/>
      <c r="AS870" s="43"/>
      <c r="AT870" s="1"/>
      <c r="AU870" s="1"/>
      <c r="AV870" s="1"/>
      <c r="AW870" s="54"/>
      <c r="AX870" s="57"/>
      <c r="AY870" s="54"/>
      <c r="AZ870" s="54"/>
      <c r="BA870" s="54"/>
      <c r="BB870" s="54"/>
      <c r="BC870" s="57"/>
      <c r="BD870" s="1"/>
      <c r="BE870" s="1"/>
      <c r="BF870" s="1"/>
      <c r="BG870" s="54"/>
      <c r="BH870" s="43"/>
      <c r="BI870"/>
      <c r="BJ870" s="13"/>
      <c r="BK870" s="1"/>
      <c r="BL870"/>
      <c r="BM870"/>
      <c r="BN870"/>
      <c r="DY870" s="43"/>
      <c r="DZ870"/>
      <c r="EA870" s="19"/>
      <c r="EB870" s="19"/>
      <c r="EC870" s="9"/>
      <c r="ED870" s="9"/>
      <c r="EE870" s="9"/>
      <c r="EF870" s="9"/>
      <c r="EG870" s="9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3"/>
      <c r="FD870" s="13"/>
      <c r="FE870" s="13"/>
      <c r="FF870" s="13"/>
      <c r="FG870" s="13"/>
      <c r="FH870" s="13"/>
      <c r="FI870" s="13"/>
      <c r="FJ870" s="13"/>
      <c r="FK870" s="13"/>
      <c r="FL870" s="13"/>
      <c r="FM870" s="13"/>
      <c r="FN870" s="13"/>
      <c r="FO870" s="13"/>
      <c r="FP870" s="13"/>
      <c r="FQ870" s="13"/>
      <c r="FR870" s="13"/>
      <c r="FS870" s="13"/>
      <c r="FT870" s="13"/>
      <c r="FU870" s="13"/>
      <c r="FV870" s="13"/>
      <c r="FW870" s="13"/>
      <c r="FX870" s="13"/>
      <c r="FY870" s="13"/>
      <c r="FZ870" s="13"/>
      <c r="GA870" s="13"/>
    </row>
    <row r="871" spans="1:183" s="52" customFormat="1" ht="13.2" x14ac:dyDescent="0.25">
      <c r="A871" s="2"/>
      <c r="B871" s="2"/>
      <c r="C871" s="9">
        <v>25</v>
      </c>
      <c r="D871" s="9">
        <v>27</v>
      </c>
      <c r="E871" s="9">
        <v>38</v>
      </c>
      <c r="F871" s="9">
        <v>68</v>
      </c>
      <c r="G871" s="9">
        <v>73</v>
      </c>
      <c r="H871" s="9">
        <v>88</v>
      </c>
      <c r="I871" s="43"/>
      <c r="J871" s="9">
        <v>88</v>
      </c>
      <c r="K871" s="43"/>
      <c r="L871" s="39">
        <v>44669</v>
      </c>
      <c r="M871" s="43"/>
      <c r="N871"/>
      <c r="O871"/>
      <c r="P871"/>
      <c r="Q871"/>
      <c r="R871"/>
      <c r="S871"/>
      <c r="T871"/>
      <c r="U871"/>
      <c r="V871"/>
      <c r="X871" s="43"/>
      <c r="Y871"/>
      <c r="Z871"/>
      <c r="AA871"/>
      <c r="AB871"/>
      <c r="AC871"/>
      <c r="AD871"/>
      <c r="AE871"/>
      <c r="AF871"/>
      <c r="AG871"/>
      <c r="AI871" s="148"/>
      <c r="AJ871" s="1"/>
      <c r="AK871" s="1"/>
      <c r="AL871" s="54"/>
      <c r="AM871" s="1"/>
      <c r="AN871" s="43"/>
      <c r="AO871" s="1"/>
      <c r="AP871" s="1"/>
      <c r="AQ871" s="19"/>
      <c r="AR871" s="54"/>
      <c r="AS871" s="43"/>
      <c r="AT871" s="1"/>
      <c r="AU871" s="1"/>
      <c r="AV871" s="1"/>
      <c r="AW871" s="54"/>
      <c r="AX871" s="57"/>
      <c r="AY871" s="54"/>
      <c r="AZ871" s="54"/>
      <c r="BA871" s="54"/>
      <c r="BB871" s="54"/>
      <c r="BC871" s="57"/>
      <c r="BD871" s="1"/>
      <c r="BE871" s="1"/>
      <c r="BF871" s="1"/>
      <c r="BG871" s="54"/>
      <c r="BH871" s="43"/>
      <c r="BI871"/>
      <c r="BJ871" s="13"/>
      <c r="BK871" s="1"/>
      <c r="BL871"/>
      <c r="BM871"/>
      <c r="BN871"/>
      <c r="DY871" s="43"/>
      <c r="DZ871"/>
      <c r="EA871" s="19"/>
      <c r="EB871" s="19"/>
      <c r="EC871" s="9"/>
      <c r="ED871" s="9"/>
      <c r="EE871" s="9"/>
      <c r="EF871" s="9"/>
      <c r="EG871" s="9"/>
      <c r="EH871" s="13"/>
      <c r="EI871" s="13"/>
      <c r="EJ871" s="13"/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3"/>
      <c r="FH871" s="13"/>
      <c r="FI871" s="13"/>
      <c r="FJ871" s="13"/>
      <c r="FK871" s="13"/>
      <c r="FL871" s="13"/>
      <c r="FM871" s="13"/>
      <c r="FN871" s="13"/>
      <c r="FO871" s="13"/>
      <c r="FP871" s="13"/>
      <c r="FQ871" s="13"/>
      <c r="FR871" s="13"/>
      <c r="FS871" s="13"/>
      <c r="FT871" s="13"/>
      <c r="FU871" s="13"/>
      <c r="FV871" s="13"/>
      <c r="FW871" s="13"/>
      <c r="FX871" s="13"/>
      <c r="FY871" s="13"/>
      <c r="FZ871" s="13"/>
      <c r="GA871" s="13"/>
    </row>
    <row r="872" spans="1:183" s="52" customFormat="1" ht="13.2" x14ac:dyDescent="0.25">
      <c r="A872" s="2"/>
      <c r="B872" s="2"/>
      <c r="C872" s="9">
        <v>16</v>
      </c>
      <c r="D872" s="9">
        <v>22</v>
      </c>
      <c r="E872" s="9">
        <v>47</v>
      </c>
      <c r="F872" s="9">
        <v>78</v>
      </c>
      <c r="G872" s="9">
        <v>79</v>
      </c>
      <c r="H872" s="9">
        <v>80</v>
      </c>
      <c r="I872" s="43"/>
      <c r="J872" s="9">
        <v>80</v>
      </c>
      <c r="K872" s="43"/>
      <c r="L872" s="39">
        <v>44667</v>
      </c>
      <c r="M872" s="43"/>
      <c r="N872"/>
      <c r="O872"/>
      <c r="P872"/>
      <c r="Q872"/>
      <c r="R872"/>
      <c r="S872"/>
      <c r="T872"/>
      <c r="U872"/>
      <c r="V872"/>
      <c r="X872" s="43"/>
      <c r="Y872"/>
      <c r="Z872"/>
      <c r="AA872"/>
      <c r="AB872"/>
      <c r="AC872"/>
      <c r="AD872"/>
      <c r="AE872"/>
      <c r="AF872"/>
      <c r="AG872"/>
      <c r="AI872" s="148"/>
      <c r="AJ872" s="1"/>
      <c r="AK872" s="1"/>
      <c r="AL872" s="54"/>
      <c r="AM872" s="1"/>
      <c r="AN872" s="43"/>
      <c r="AO872" s="1"/>
      <c r="AP872" s="1"/>
      <c r="AQ872" s="19"/>
      <c r="AR872" s="54"/>
      <c r="AS872" s="43"/>
      <c r="AT872" s="1"/>
      <c r="AU872" s="1"/>
      <c r="AV872" s="1"/>
      <c r="AW872" s="54"/>
      <c r="AX872" s="57"/>
      <c r="AY872" s="54"/>
      <c r="AZ872" s="54"/>
      <c r="BA872" s="54"/>
      <c r="BB872" s="54"/>
      <c r="BC872" s="57"/>
      <c r="BD872" s="1"/>
      <c r="BE872" s="1"/>
      <c r="BF872" s="1"/>
      <c r="BG872" s="54"/>
      <c r="BH872" s="43"/>
      <c r="BI872"/>
      <c r="BJ872" s="13"/>
      <c r="BK872" s="1"/>
      <c r="BL872"/>
      <c r="BM872"/>
      <c r="BN872"/>
      <c r="DY872" s="43"/>
      <c r="DZ872"/>
      <c r="EA872" s="19"/>
      <c r="EB872" s="19"/>
      <c r="EC872" s="9"/>
      <c r="ED872" s="9"/>
      <c r="EE872" s="9"/>
      <c r="EF872" s="9"/>
      <c r="EG872" s="9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  <c r="FI872" s="13"/>
      <c r="FJ872" s="13"/>
      <c r="FK872" s="13"/>
      <c r="FL872" s="13"/>
      <c r="FM872" s="13"/>
      <c r="FN872" s="13"/>
      <c r="FO872" s="13"/>
      <c r="FP872" s="13"/>
      <c r="FQ872" s="13"/>
      <c r="FR872" s="13"/>
      <c r="FS872" s="13"/>
      <c r="FT872" s="13"/>
      <c r="FU872" s="13"/>
      <c r="FV872" s="13"/>
      <c r="FW872" s="13"/>
      <c r="FX872" s="13"/>
      <c r="FY872" s="13"/>
      <c r="FZ872" s="13"/>
      <c r="GA872" s="13"/>
    </row>
    <row r="873" spans="1:183" s="52" customFormat="1" ht="13.2" x14ac:dyDescent="0.25">
      <c r="A873" s="2"/>
      <c r="B873" s="2"/>
      <c r="C873" s="9">
        <v>6</v>
      </c>
      <c r="D873" s="9">
        <v>38</v>
      </c>
      <c r="E873" s="9">
        <v>49</v>
      </c>
      <c r="F873" s="9">
        <v>62</v>
      </c>
      <c r="G873" s="9">
        <v>72</v>
      </c>
      <c r="H873" s="9">
        <v>82</v>
      </c>
      <c r="I873" s="43"/>
      <c r="J873" s="9">
        <v>82</v>
      </c>
      <c r="K873" s="43"/>
      <c r="L873" s="39">
        <v>44664</v>
      </c>
      <c r="M873" s="43"/>
      <c r="N873"/>
      <c r="O873"/>
      <c r="P873"/>
      <c r="Q873"/>
      <c r="R873"/>
      <c r="S873"/>
      <c r="T873"/>
      <c r="U873"/>
      <c r="V873"/>
      <c r="X873" s="43"/>
      <c r="Y873"/>
      <c r="Z873"/>
      <c r="AA873"/>
      <c r="AB873"/>
      <c r="AC873"/>
      <c r="AD873"/>
      <c r="AE873"/>
      <c r="AF873"/>
      <c r="AG873"/>
      <c r="AI873" s="148"/>
      <c r="AJ873" s="1"/>
      <c r="AK873" s="1"/>
      <c r="AL873" s="54"/>
      <c r="AM873" s="1"/>
      <c r="AN873" s="43"/>
      <c r="AO873" s="1"/>
      <c r="AP873" s="1"/>
      <c r="AQ873" s="19"/>
      <c r="AR873" s="54"/>
      <c r="AS873" s="43"/>
      <c r="AT873" s="1"/>
      <c r="AU873" s="1"/>
      <c r="AV873" s="1"/>
      <c r="AW873" s="54"/>
      <c r="AX873" s="57"/>
      <c r="AY873" s="54"/>
      <c r="AZ873" s="54"/>
      <c r="BA873" s="54"/>
      <c r="BB873" s="54"/>
      <c r="BC873" s="57"/>
      <c r="BD873" s="1"/>
      <c r="BE873" s="1"/>
      <c r="BF873" s="1"/>
      <c r="BG873" s="54"/>
      <c r="BH873" s="43"/>
      <c r="BI873"/>
      <c r="BJ873" s="13"/>
      <c r="BK873" s="1"/>
      <c r="BL873"/>
      <c r="BM873"/>
      <c r="BN873"/>
      <c r="DY873" s="43"/>
      <c r="DZ873"/>
      <c r="EA873" s="19"/>
      <c r="EB873" s="19"/>
      <c r="EC873" s="9"/>
      <c r="ED873" s="9"/>
      <c r="EE873" s="9"/>
      <c r="EF873" s="9"/>
      <c r="EG873" s="9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3"/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  <c r="FT873" s="13"/>
      <c r="FU873" s="13"/>
      <c r="FV873" s="13"/>
      <c r="FW873" s="13"/>
      <c r="FX873" s="13"/>
      <c r="FY873" s="13"/>
      <c r="FZ873" s="13"/>
      <c r="GA873" s="13"/>
    </row>
    <row r="874" spans="1:183" s="52" customFormat="1" ht="13.2" x14ac:dyDescent="0.25">
      <c r="A874" s="2"/>
      <c r="B874" s="2"/>
      <c r="C874" s="9">
        <v>26</v>
      </c>
      <c r="D874" s="9">
        <v>31</v>
      </c>
      <c r="E874" s="9">
        <v>33</v>
      </c>
      <c r="F874" s="9">
        <v>46</v>
      </c>
      <c r="G874" s="9">
        <v>60</v>
      </c>
      <c r="H874" s="9">
        <v>72</v>
      </c>
      <c r="I874" s="43"/>
      <c r="J874" s="9">
        <v>72</v>
      </c>
      <c r="K874" s="43"/>
      <c r="L874" s="39">
        <v>44662</v>
      </c>
      <c r="M874" s="43"/>
      <c r="N874"/>
      <c r="O874"/>
      <c r="P874"/>
      <c r="Q874"/>
      <c r="R874"/>
      <c r="S874"/>
      <c r="T874"/>
      <c r="U874"/>
      <c r="V874"/>
      <c r="X874" s="43"/>
      <c r="Y874"/>
      <c r="Z874"/>
      <c r="AA874"/>
      <c r="AB874"/>
      <c r="AC874"/>
      <c r="AD874"/>
      <c r="AE874"/>
      <c r="AF874"/>
      <c r="AG874"/>
      <c r="AI874" s="148"/>
      <c r="AJ874" s="1"/>
      <c r="AK874" s="1"/>
      <c r="AL874" s="54"/>
      <c r="AM874" s="1"/>
      <c r="AN874" s="43"/>
      <c r="AO874" s="1"/>
      <c r="AP874" s="1"/>
      <c r="AQ874" s="19"/>
      <c r="AR874" s="54"/>
      <c r="AS874" s="43"/>
      <c r="AT874" s="1"/>
      <c r="AU874" s="1"/>
      <c r="AV874" s="1"/>
      <c r="AW874" s="54"/>
      <c r="AX874" s="57"/>
      <c r="AY874" s="54"/>
      <c r="AZ874" s="54"/>
      <c r="BA874" s="54"/>
      <c r="BB874" s="54"/>
      <c r="BC874" s="57"/>
      <c r="BD874" s="1"/>
      <c r="BE874" s="1"/>
      <c r="BF874" s="1"/>
      <c r="BG874" s="54"/>
      <c r="BH874" s="43"/>
      <c r="BI874"/>
      <c r="BJ874" s="13"/>
      <c r="BK874" s="1"/>
      <c r="BL874"/>
      <c r="BM874"/>
      <c r="BN874"/>
      <c r="DY874" s="43"/>
      <c r="DZ874"/>
      <c r="EA874" s="19"/>
      <c r="EB874" s="19"/>
      <c r="EC874" s="9"/>
      <c r="ED874" s="9"/>
      <c r="EE874" s="9"/>
      <c r="EF874" s="9"/>
      <c r="EG874" s="9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3"/>
      <c r="FD874" s="13"/>
      <c r="FE874" s="13"/>
      <c r="FF874" s="13"/>
      <c r="FG874" s="13"/>
      <c r="FH874" s="13"/>
      <c r="FI874" s="13"/>
      <c r="FJ874" s="13"/>
      <c r="FK874" s="13"/>
      <c r="FL874" s="13"/>
      <c r="FM874" s="13"/>
      <c r="FN874" s="13"/>
      <c r="FO874" s="13"/>
      <c r="FP874" s="13"/>
      <c r="FQ874" s="13"/>
      <c r="FR874" s="13"/>
      <c r="FS874" s="13"/>
      <c r="FT874" s="13"/>
      <c r="FU874" s="13"/>
      <c r="FV874" s="13"/>
      <c r="FW874" s="13"/>
      <c r="FX874" s="13"/>
      <c r="FY874" s="13"/>
      <c r="FZ874" s="13"/>
      <c r="GA874" s="13"/>
    </row>
    <row r="875" spans="1:183" s="52" customFormat="1" ht="13.2" x14ac:dyDescent="0.25">
      <c r="A875" s="2"/>
      <c r="B875" s="2"/>
      <c r="C875" s="9">
        <v>3</v>
      </c>
      <c r="D875" s="9">
        <v>6</v>
      </c>
      <c r="E875" s="9">
        <v>23</v>
      </c>
      <c r="F875" s="9">
        <v>53</v>
      </c>
      <c r="G875" s="9">
        <v>62</v>
      </c>
      <c r="H875" s="9">
        <v>71</v>
      </c>
      <c r="I875" s="43"/>
      <c r="J875" s="9">
        <v>71</v>
      </c>
      <c r="K875" s="43"/>
      <c r="L875" s="39">
        <v>44660</v>
      </c>
      <c r="M875" s="43"/>
      <c r="N875"/>
      <c r="O875"/>
      <c r="P875"/>
      <c r="Q875"/>
      <c r="R875"/>
      <c r="S875"/>
      <c r="T875"/>
      <c r="U875"/>
      <c r="V875"/>
      <c r="X875" s="43"/>
      <c r="Y875"/>
      <c r="Z875"/>
      <c r="AA875"/>
      <c r="AB875"/>
      <c r="AC875"/>
      <c r="AD875"/>
      <c r="AE875"/>
      <c r="AF875"/>
      <c r="AG875"/>
      <c r="AI875" s="148"/>
      <c r="AJ875" s="1"/>
      <c r="AK875" s="1"/>
      <c r="AL875" s="54"/>
      <c r="AM875" s="1"/>
      <c r="AN875" s="43"/>
      <c r="AO875" s="1"/>
      <c r="AP875" s="1"/>
      <c r="AQ875" s="19"/>
      <c r="AR875" s="54"/>
      <c r="AS875" s="43"/>
      <c r="AT875" s="1"/>
      <c r="AU875" s="1"/>
      <c r="AV875" s="1"/>
      <c r="AW875" s="54"/>
      <c r="AX875" s="57"/>
      <c r="AY875" s="54"/>
      <c r="AZ875" s="54"/>
      <c r="BA875" s="54"/>
      <c r="BB875" s="54"/>
      <c r="BC875" s="57"/>
      <c r="BD875" s="1"/>
      <c r="BE875" s="1"/>
      <c r="BF875" s="1"/>
      <c r="BG875" s="54"/>
      <c r="BH875" s="43"/>
      <c r="BI875"/>
      <c r="BJ875" s="13"/>
      <c r="BK875" s="1"/>
      <c r="BL875"/>
      <c r="BM875"/>
      <c r="BN875"/>
      <c r="DY875" s="43"/>
      <c r="DZ875"/>
      <c r="EA875" s="19"/>
      <c r="EB875" s="19"/>
      <c r="EC875" s="9"/>
      <c r="ED875" s="9"/>
      <c r="EE875" s="9"/>
      <c r="EF875" s="9"/>
      <c r="EG875" s="9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3"/>
      <c r="FD875" s="13"/>
      <c r="FE875" s="13"/>
      <c r="FF875" s="13"/>
      <c r="FG875" s="13"/>
      <c r="FH875" s="13"/>
      <c r="FI875" s="13"/>
      <c r="FJ875" s="13"/>
      <c r="FK875" s="13"/>
      <c r="FL875" s="13"/>
      <c r="FM875" s="13"/>
      <c r="FN875" s="13"/>
      <c r="FO875" s="13"/>
      <c r="FP875" s="13"/>
      <c r="FQ875" s="13"/>
      <c r="FR875" s="13"/>
      <c r="FS875" s="13"/>
      <c r="FT875" s="13"/>
      <c r="FU875" s="13"/>
      <c r="FV875" s="13"/>
      <c r="FW875" s="13"/>
      <c r="FX875" s="13"/>
      <c r="FY875" s="13"/>
      <c r="FZ875" s="13"/>
      <c r="GA875" s="13"/>
    </row>
    <row r="876" spans="1:183" s="52" customFormat="1" ht="13.2" x14ac:dyDescent="0.25">
      <c r="A876" s="2"/>
      <c r="B876" s="2"/>
      <c r="C876" s="9">
        <v>5</v>
      </c>
      <c r="D876" s="9">
        <v>29</v>
      </c>
      <c r="E876" s="9">
        <v>44</v>
      </c>
      <c r="F876" s="9">
        <v>59</v>
      </c>
      <c r="G876" s="9">
        <v>64</v>
      </c>
      <c r="H876" s="9">
        <v>89</v>
      </c>
      <c r="I876" s="43"/>
      <c r="J876" s="9">
        <v>89</v>
      </c>
      <c r="K876" s="43"/>
      <c r="L876" s="39">
        <v>44657</v>
      </c>
      <c r="M876" s="43"/>
      <c r="N876"/>
      <c r="O876"/>
      <c r="P876"/>
      <c r="Q876"/>
      <c r="R876"/>
      <c r="S876"/>
      <c r="T876"/>
      <c r="U876"/>
      <c r="V876"/>
      <c r="X876" s="43"/>
      <c r="Y876"/>
      <c r="Z876"/>
      <c r="AA876"/>
      <c r="AB876"/>
      <c r="AC876"/>
      <c r="AD876"/>
      <c r="AE876"/>
      <c r="AF876"/>
      <c r="AG876"/>
      <c r="AI876" s="148"/>
      <c r="AJ876" s="1"/>
      <c r="AK876" s="1"/>
      <c r="AL876" s="54"/>
      <c r="AM876" s="1"/>
      <c r="AN876" s="43"/>
      <c r="AO876" s="1"/>
      <c r="AP876" s="1"/>
      <c r="AQ876" s="19"/>
      <c r="AR876" s="54"/>
      <c r="AS876" s="43"/>
      <c r="AT876" s="1"/>
      <c r="AU876" s="1"/>
      <c r="AV876" s="1"/>
      <c r="AW876" s="54"/>
      <c r="AX876" s="57"/>
      <c r="AY876" s="54"/>
      <c r="AZ876" s="54"/>
      <c r="BA876" s="54"/>
      <c r="BB876" s="54"/>
      <c r="BC876" s="57"/>
      <c r="BD876" s="1"/>
      <c r="BE876" s="1"/>
      <c r="BF876" s="1"/>
      <c r="BG876" s="54"/>
      <c r="BH876" s="43"/>
      <c r="BI876"/>
      <c r="BJ876" s="13"/>
      <c r="BK876" s="1"/>
      <c r="BL876"/>
      <c r="BM876"/>
      <c r="BN876"/>
      <c r="DY876" s="43"/>
      <c r="DZ876"/>
      <c r="EA876" s="19"/>
      <c r="EB876" s="19"/>
      <c r="EC876" s="9"/>
      <c r="ED876" s="9"/>
      <c r="EE876" s="9"/>
      <c r="EF876" s="9"/>
      <c r="EG876" s="9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3"/>
      <c r="FD876" s="13"/>
      <c r="FE876" s="13"/>
      <c r="FF876" s="13"/>
      <c r="FG876" s="13"/>
      <c r="FH876" s="13"/>
      <c r="FI876" s="13"/>
      <c r="FJ876" s="13"/>
      <c r="FK876" s="13"/>
      <c r="FL876" s="13"/>
      <c r="FM876" s="13"/>
      <c r="FN876" s="13"/>
      <c r="FO876" s="13"/>
      <c r="FP876" s="13"/>
      <c r="FQ876" s="13"/>
      <c r="FR876" s="13"/>
      <c r="FS876" s="13"/>
      <c r="FT876" s="13"/>
      <c r="FU876" s="13"/>
      <c r="FV876" s="13"/>
      <c r="FW876" s="13"/>
      <c r="FX876" s="13"/>
      <c r="FY876" s="13"/>
      <c r="FZ876" s="13"/>
      <c r="GA876" s="13"/>
    </row>
    <row r="877" spans="1:183" s="52" customFormat="1" ht="13.2" x14ac:dyDescent="0.25">
      <c r="A877" s="2"/>
      <c r="B877" s="2"/>
      <c r="C877" s="9">
        <v>3</v>
      </c>
      <c r="D877" s="9">
        <v>8</v>
      </c>
      <c r="E877" s="9">
        <v>13</v>
      </c>
      <c r="F877" s="9">
        <v>22</v>
      </c>
      <c r="G877" s="9">
        <v>71</v>
      </c>
      <c r="H877" s="9">
        <v>73</v>
      </c>
      <c r="I877" s="43"/>
      <c r="J877" s="9">
        <v>73</v>
      </c>
      <c r="K877" s="43"/>
      <c r="L877" s="39">
        <v>44655</v>
      </c>
      <c r="M877" s="43"/>
      <c r="N877"/>
      <c r="O877"/>
      <c r="P877"/>
      <c r="Q877"/>
      <c r="R877"/>
      <c r="S877"/>
      <c r="T877"/>
      <c r="U877"/>
      <c r="V877"/>
      <c r="X877" s="43"/>
      <c r="Y877"/>
      <c r="Z877"/>
      <c r="AA877"/>
      <c r="AB877"/>
      <c r="AC877"/>
      <c r="AD877"/>
      <c r="AE877"/>
      <c r="AF877"/>
      <c r="AG877"/>
      <c r="AI877" s="148"/>
      <c r="AJ877" s="1"/>
      <c r="AK877" s="1"/>
      <c r="AL877" s="54"/>
      <c r="AM877" s="1"/>
      <c r="AN877" s="43"/>
      <c r="AO877" s="1"/>
      <c r="AP877" s="1"/>
      <c r="AQ877" s="19"/>
      <c r="AR877" s="54"/>
      <c r="AS877" s="43"/>
      <c r="AT877" s="1"/>
      <c r="AU877" s="1"/>
      <c r="AV877" s="1"/>
      <c r="AW877" s="54"/>
      <c r="AX877" s="57"/>
      <c r="AY877" s="54"/>
      <c r="AZ877" s="54"/>
      <c r="BA877" s="54"/>
      <c r="BB877" s="54"/>
      <c r="BC877" s="57"/>
      <c r="BD877" s="1"/>
      <c r="BE877" s="1"/>
      <c r="BF877" s="1"/>
      <c r="BG877" s="54"/>
      <c r="BH877" s="43"/>
      <c r="BI877"/>
      <c r="BJ877" s="13"/>
      <c r="BK877" s="1"/>
      <c r="BL877"/>
      <c r="BM877"/>
      <c r="BN877"/>
      <c r="DY877" s="43"/>
      <c r="DZ877"/>
      <c r="EA877" s="19"/>
      <c r="EB877" s="19"/>
      <c r="EC877" s="9"/>
      <c r="ED877" s="9"/>
      <c r="EE877" s="9"/>
      <c r="EF877" s="9"/>
      <c r="EG877" s="9"/>
      <c r="EH877" s="13"/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3"/>
      <c r="FD877" s="13"/>
      <c r="FE877" s="13"/>
      <c r="FF877" s="13"/>
      <c r="FG877" s="13"/>
      <c r="FH877" s="13"/>
      <c r="FI877" s="13"/>
      <c r="FJ877" s="13"/>
      <c r="FK877" s="13"/>
      <c r="FL877" s="13"/>
      <c r="FM877" s="13"/>
      <c r="FN877" s="13"/>
      <c r="FO877" s="13"/>
      <c r="FP877" s="13"/>
      <c r="FQ877" s="13"/>
      <c r="FR877" s="13"/>
      <c r="FS877" s="13"/>
      <c r="FT877" s="13"/>
      <c r="FU877" s="13"/>
      <c r="FV877" s="13"/>
      <c r="FW877" s="13"/>
      <c r="FX877" s="13"/>
      <c r="FY877" s="13"/>
      <c r="FZ877" s="13"/>
      <c r="GA877" s="13"/>
    </row>
    <row r="878" spans="1:183" s="52" customFormat="1" ht="13.2" x14ac:dyDescent="0.25">
      <c r="A878" s="2"/>
      <c r="B878" s="2"/>
      <c r="C878" s="9">
        <v>15</v>
      </c>
      <c r="D878" s="9">
        <v>44</v>
      </c>
      <c r="E878" s="9">
        <v>72</v>
      </c>
      <c r="F878" s="9">
        <v>75</v>
      </c>
      <c r="G878" s="9">
        <v>80</v>
      </c>
      <c r="H878" s="9">
        <v>88</v>
      </c>
      <c r="I878" s="43"/>
      <c r="J878" s="9">
        <v>88</v>
      </c>
      <c r="K878" s="43"/>
      <c r="L878" s="39">
        <v>44653</v>
      </c>
      <c r="M878" s="43"/>
      <c r="N878"/>
      <c r="O878"/>
      <c r="P878"/>
      <c r="Q878"/>
      <c r="R878"/>
      <c r="S878"/>
      <c r="T878"/>
      <c r="U878"/>
      <c r="V878"/>
      <c r="X878" s="43"/>
      <c r="Y878"/>
      <c r="Z878"/>
      <c r="AA878"/>
      <c r="AB878"/>
      <c r="AC878"/>
      <c r="AD878"/>
      <c r="AE878"/>
      <c r="AF878"/>
      <c r="AG878"/>
      <c r="AI878" s="148"/>
      <c r="AJ878" s="1"/>
      <c r="AK878" s="1"/>
      <c r="AL878" s="54"/>
      <c r="AM878" s="1"/>
      <c r="AN878" s="43"/>
      <c r="AO878" s="1"/>
      <c r="AP878" s="1"/>
      <c r="AQ878" s="19"/>
      <c r="AR878" s="54"/>
      <c r="AS878" s="43"/>
      <c r="AT878" s="1"/>
      <c r="AU878" s="1"/>
      <c r="AV878" s="1"/>
      <c r="AW878" s="54"/>
      <c r="AX878" s="57"/>
      <c r="AY878" s="54"/>
      <c r="AZ878" s="54"/>
      <c r="BA878" s="54"/>
      <c r="BB878" s="54"/>
      <c r="BC878" s="57"/>
      <c r="BD878" s="1"/>
      <c r="BE878" s="1"/>
      <c r="BF878" s="1"/>
      <c r="BG878" s="54"/>
      <c r="BH878" s="43"/>
      <c r="BI878"/>
      <c r="BJ878" s="13"/>
      <c r="BK878" s="1"/>
      <c r="BL878"/>
      <c r="BM878"/>
      <c r="BN878"/>
      <c r="DY878" s="43"/>
      <c r="DZ878"/>
      <c r="EA878" s="19"/>
      <c r="EB878" s="19"/>
      <c r="EC878" s="9"/>
      <c r="ED878" s="9"/>
      <c r="EE878" s="9"/>
      <c r="EF878" s="9"/>
      <c r="EG878" s="9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3"/>
      <c r="FJ878" s="13"/>
      <c r="FK878" s="13"/>
      <c r="FL878" s="13"/>
      <c r="FM878" s="13"/>
      <c r="FN878" s="13"/>
      <c r="FO878" s="13"/>
      <c r="FP878" s="13"/>
      <c r="FQ878" s="13"/>
      <c r="FR878" s="13"/>
      <c r="FS878" s="13"/>
      <c r="FT878" s="13"/>
      <c r="FU878" s="13"/>
      <c r="FV878" s="13"/>
      <c r="FW878" s="13"/>
      <c r="FX878" s="13"/>
      <c r="FY878" s="13"/>
      <c r="FZ878" s="13"/>
      <c r="GA878" s="13"/>
    </row>
    <row r="879" spans="1:183" s="52" customFormat="1" ht="13.2" x14ac:dyDescent="0.25">
      <c r="A879" s="2"/>
      <c r="B879" s="2"/>
      <c r="C879" s="9">
        <v>1</v>
      </c>
      <c r="D879" s="9">
        <v>13</v>
      </c>
      <c r="E879" s="9">
        <v>49</v>
      </c>
      <c r="F879" s="9">
        <v>56</v>
      </c>
      <c r="G879" s="9">
        <v>78</v>
      </c>
      <c r="H879" s="9">
        <v>88</v>
      </c>
      <c r="I879" s="43"/>
      <c r="J879" s="9">
        <v>88</v>
      </c>
      <c r="K879" s="43"/>
      <c r="L879" s="39">
        <v>44650</v>
      </c>
      <c r="M879" s="43"/>
      <c r="N879"/>
      <c r="O879"/>
      <c r="P879"/>
      <c r="Q879"/>
      <c r="R879"/>
      <c r="S879"/>
      <c r="T879"/>
      <c r="U879"/>
      <c r="V879"/>
      <c r="X879" s="43"/>
      <c r="Y879"/>
      <c r="Z879"/>
      <c r="AA879"/>
      <c r="AB879"/>
      <c r="AC879"/>
      <c r="AD879"/>
      <c r="AE879"/>
      <c r="AF879"/>
      <c r="AG879"/>
      <c r="AI879" s="148"/>
      <c r="AJ879" s="1"/>
      <c r="AK879" s="1"/>
      <c r="AL879" s="54"/>
      <c r="AM879" s="1"/>
      <c r="AN879" s="43"/>
      <c r="AO879" s="1"/>
      <c r="AP879" s="1"/>
      <c r="AQ879" s="19"/>
      <c r="AR879" s="54"/>
      <c r="AS879" s="43"/>
      <c r="AT879" s="1"/>
      <c r="AU879" s="1"/>
      <c r="AV879" s="1"/>
      <c r="AW879" s="54"/>
      <c r="AX879" s="57"/>
      <c r="AY879" s="54"/>
      <c r="AZ879" s="54"/>
      <c r="BA879" s="54"/>
      <c r="BB879" s="54"/>
      <c r="BC879" s="57"/>
      <c r="BD879" s="1"/>
      <c r="BE879" s="1"/>
      <c r="BF879" s="1"/>
      <c r="BG879" s="54"/>
      <c r="BH879" s="43"/>
      <c r="BI879"/>
      <c r="BJ879" s="13"/>
      <c r="BK879" s="1"/>
      <c r="BL879"/>
      <c r="BM879"/>
      <c r="BN879"/>
      <c r="DY879" s="43"/>
      <c r="DZ879"/>
      <c r="EA879" s="19"/>
      <c r="EB879" s="19"/>
      <c r="EC879" s="9"/>
      <c r="ED879" s="9"/>
      <c r="EE879" s="9"/>
      <c r="EF879" s="9"/>
      <c r="EG879" s="9"/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  <c r="FI879" s="13"/>
      <c r="FJ879" s="13"/>
      <c r="FK879" s="13"/>
      <c r="FL879" s="13"/>
      <c r="FM879" s="13"/>
      <c r="FN879" s="13"/>
      <c r="FO879" s="13"/>
      <c r="FP879" s="13"/>
      <c r="FQ879" s="13"/>
      <c r="FR879" s="13"/>
      <c r="FS879" s="13"/>
      <c r="FT879" s="13"/>
      <c r="FU879" s="13"/>
      <c r="FV879" s="13"/>
      <c r="FW879" s="13"/>
      <c r="FX879" s="13"/>
      <c r="FY879" s="13"/>
      <c r="FZ879" s="13"/>
      <c r="GA879" s="13"/>
    </row>
    <row r="880" spans="1:183" s="52" customFormat="1" ht="13.2" x14ac:dyDescent="0.25">
      <c r="A880" s="2"/>
      <c r="B880" s="2"/>
      <c r="C880" s="9">
        <v>5</v>
      </c>
      <c r="D880" s="9">
        <v>33</v>
      </c>
      <c r="E880" s="9">
        <v>36</v>
      </c>
      <c r="F880" s="9">
        <v>51</v>
      </c>
      <c r="G880" s="9">
        <v>68</v>
      </c>
      <c r="H880" s="9">
        <v>78</v>
      </c>
      <c r="I880" s="43"/>
      <c r="J880" s="9">
        <v>78</v>
      </c>
      <c r="K880" s="43"/>
      <c r="L880" s="39">
        <v>44648</v>
      </c>
      <c r="M880" s="43"/>
      <c r="N880"/>
      <c r="O880"/>
      <c r="P880"/>
      <c r="Q880"/>
      <c r="R880"/>
      <c r="S880"/>
      <c r="T880"/>
      <c r="U880"/>
      <c r="V880"/>
      <c r="X880" s="43"/>
      <c r="Y880"/>
      <c r="Z880"/>
      <c r="AA880"/>
      <c r="AB880"/>
      <c r="AC880"/>
      <c r="AD880"/>
      <c r="AE880"/>
      <c r="AF880"/>
      <c r="AG880"/>
      <c r="AI880" s="148"/>
      <c r="AJ880" s="1"/>
      <c r="AK880" s="1"/>
      <c r="AL880" s="54"/>
      <c r="AM880" s="1"/>
      <c r="AN880" s="43"/>
      <c r="AO880" s="1"/>
      <c r="AP880" s="1"/>
      <c r="AQ880" s="19"/>
      <c r="AR880" s="54"/>
      <c r="AS880" s="43"/>
      <c r="AT880" s="1"/>
      <c r="AU880" s="1"/>
      <c r="AV880" s="1"/>
      <c r="AW880" s="54"/>
      <c r="AX880" s="57"/>
      <c r="AY880" s="54"/>
      <c r="AZ880" s="54"/>
      <c r="BA880" s="54"/>
      <c r="BB880" s="54"/>
      <c r="BC880" s="57"/>
      <c r="BD880" s="1"/>
      <c r="BE880" s="1"/>
      <c r="BF880" s="1"/>
      <c r="BG880" s="54"/>
      <c r="BH880" s="43"/>
      <c r="BI880"/>
      <c r="BJ880" s="13"/>
      <c r="BK880" s="1"/>
      <c r="BL880"/>
      <c r="BM880"/>
      <c r="BN880"/>
      <c r="DY880" s="43"/>
      <c r="DZ880"/>
      <c r="EA880" s="19"/>
      <c r="EB880" s="19"/>
      <c r="EC880" s="9"/>
      <c r="ED880" s="9"/>
      <c r="EE880" s="9"/>
      <c r="EF880" s="9"/>
      <c r="EG880" s="9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  <c r="FI880" s="13"/>
      <c r="FJ880" s="13"/>
      <c r="FK880" s="13"/>
      <c r="FL880" s="13"/>
      <c r="FM880" s="13"/>
      <c r="FN880" s="13"/>
      <c r="FO880" s="13"/>
      <c r="FP880" s="13"/>
      <c r="FQ880" s="13"/>
      <c r="FR880" s="13"/>
      <c r="FS880" s="13"/>
      <c r="FT880" s="13"/>
      <c r="FU880" s="13"/>
      <c r="FV880" s="13"/>
      <c r="FW880" s="13"/>
      <c r="FX880" s="13"/>
      <c r="FY880" s="13"/>
      <c r="FZ880" s="13"/>
      <c r="GA880" s="13"/>
    </row>
    <row r="881" spans="1:183" s="52" customFormat="1" ht="13.2" x14ac:dyDescent="0.25">
      <c r="A881" s="2"/>
      <c r="B881" s="2"/>
      <c r="C881" s="9">
        <v>8</v>
      </c>
      <c r="D881" s="9">
        <v>11</v>
      </c>
      <c r="E881" s="9">
        <v>22</v>
      </c>
      <c r="F881" s="9">
        <v>41</v>
      </c>
      <c r="G881" s="9">
        <v>44</v>
      </c>
      <c r="H881" s="9">
        <v>59</v>
      </c>
      <c r="I881" s="43"/>
      <c r="J881" s="9">
        <v>59</v>
      </c>
      <c r="K881" s="43"/>
      <c r="L881" s="39">
        <v>44646</v>
      </c>
      <c r="M881" s="43"/>
      <c r="N881"/>
      <c r="O881"/>
      <c r="P881"/>
      <c r="Q881"/>
      <c r="R881"/>
      <c r="S881"/>
      <c r="T881"/>
      <c r="U881"/>
      <c r="V881"/>
      <c r="X881" s="43"/>
      <c r="Y881"/>
      <c r="Z881"/>
      <c r="AA881"/>
      <c r="AB881"/>
      <c r="AC881"/>
      <c r="AD881"/>
      <c r="AE881"/>
      <c r="AF881"/>
      <c r="AG881"/>
      <c r="AI881" s="148"/>
      <c r="AJ881" s="1"/>
      <c r="AK881" s="1"/>
      <c r="AL881" s="54"/>
      <c r="AM881" s="1"/>
      <c r="AN881" s="43"/>
      <c r="AO881" s="1"/>
      <c r="AP881" s="1"/>
      <c r="AQ881" s="19"/>
      <c r="AR881" s="54"/>
      <c r="AS881" s="43"/>
      <c r="AT881" s="1"/>
      <c r="AU881" s="1"/>
      <c r="AV881" s="1"/>
      <c r="AW881" s="54"/>
      <c r="AX881" s="57"/>
      <c r="AY881" s="54"/>
      <c r="AZ881" s="54"/>
      <c r="BA881" s="54"/>
      <c r="BB881" s="54"/>
      <c r="BC881" s="57"/>
      <c r="BD881" s="1"/>
      <c r="BE881" s="1"/>
      <c r="BF881" s="1"/>
      <c r="BG881" s="54"/>
      <c r="BH881" s="43"/>
      <c r="BI881"/>
      <c r="BJ881" s="13"/>
      <c r="BK881" s="1"/>
      <c r="BL881"/>
      <c r="BM881"/>
      <c r="BN881"/>
      <c r="DY881" s="43"/>
      <c r="DZ881"/>
      <c r="EA881" s="19"/>
      <c r="EB881" s="19"/>
      <c r="EC881" s="9"/>
      <c r="ED881" s="9"/>
      <c r="EE881" s="9"/>
      <c r="EF881" s="9"/>
      <c r="EG881" s="9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/>
      <c r="FN881" s="13"/>
      <c r="FO881" s="13"/>
      <c r="FP881" s="13"/>
      <c r="FQ881" s="13"/>
      <c r="FR881" s="13"/>
      <c r="FS881" s="13"/>
      <c r="FT881" s="13"/>
      <c r="FU881" s="13"/>
      <c r="FV881" s="13"/>
      <c r="FW881" s="13"/>
      <c r="FX881" s="13"/>
      <c r="FY881" s="13"/>
      <c r="FZ881" s="13"/>
      <c r="GA881" s="13"/>
    </row>
    <row r="882" spans="1:183" s="52" customFormat="1" ht="13.2" x14ac:dyDescent="0.25">
      <c r="A882" s="2"/>
      <c r="B882" s="2"/>
      <c r="C882" s="9">
        <v>6</v>
      </c>
      <c r="D882" s="9">
        <v>13</v>
      </c>
      <c r="E882" s="9">
        <v>19</v>
      </c>
      <c r="F882" s="9">
        <v>31</v>
      </c>
      <c r="G882" s="9">
        <v>70</v>
      </c>
      <c r="H882" s="9">
        <v>84</v>
      </c>
      <c r="I882" s="43"/>
      <c r="J882" s="9">
        <v>84</v>
      </c>
      <c r="K882" s="43"/>
      <c r="L882" s="39">
        <v>44643</v>
      </c>
      <c r="M882" s="43"/>
      <c r="N882"/>
      <c r="O882"/>
      <c r="P882"/>
      <c r="Q882"/>
      <c r="R882"/>
      <c r="S882"/>
      <c r="T882"/>
      <c r="U882"/>
      <c r="V882"/>
      <c r="X882" s="43"/>
      <c r="Y882"/>
      <c r="Z882"/>
      <c r="AA882"/>
      <c r="AB882"/>
      <c r="AC882"/>
      <c r="AD882"/>
      <c r="AE882"/>
      <c r="AF882"/>
      <c r="AG882"/>
      <c r="AI882" s="148"/>
      <c r="AJ882" s="1"/>
      <c r="AK882" s="1"/>
      <c r="AL882" s="54"/>
      <c r="AM882" s="1"/>
      <c r="AN882" s="43"/>
      <c r="AO882" s="1"/>
      <c r="AP882" s="1"/>
      <c r="AQ882" s="19"/>
      <c r="AR882" s="54"/>
      <c r="AS882" s="43"/>
      <c r="AT882" s="1"/>
      <c r="AU882" s="1"/>
      <c r="AV882" s="1"/>
      <c r="AW882" s="54"/>
      <c r="AX882" s="57"/>
      <c r="AY882" s="54"/>
      <c r="AZ882" s="54"/>
      <c r="BA882" s="54"/>
      <c r="BB882" s="54"/>
      <c r="BC882" s="57"/>
      <c r="BD882" s="1"/>
      <c r="BE882" s="1"/>
      <c r="BF882" s="1"/>
      <c r="BG882" s="54"/>
      <c r="BH882" s="43"/>
      <c r="BI882"/>
      <c r="BJ882" s="13"/>
      <c r="BK882" s="1"/>
      <c r="BL882"/>
      <c r="BM882"/>
      <c r="BN882"/>
      <c r="DY882" s="43"/>
      <c r="DZ882"/>
      <c r="EA882" s="19"/>
      <c r="EB882" s="19"/>
      <c r="EC882" s="9"/>
      <c r="ED882" s="9"/>
      <c r="EE882" s="9"/>
      <c r="EF882" s="9"/>
      <c r="EG882" s="9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3"/>
      <c r="FD882" s="13"/>
      <c r="FE882" s="13"/>
      <c r="FF882" s="13"/>
      <c r="FG882" s="13"/>
      <c r="FH882" s="13"/>
      <c r="FI882" s="13"/>
      <c r="FJ882" s="13"/>
      <c r="FK882" s="13"/>
      <c r="FL882" s="13"/>
      <c r="FM882" s="13"/>
      <c r="FN882" s="13"/>
      <c r="FO882" s="13"/>
      <c r="FP882" s="13"/>
      <c r="FQ882" s="13"/>
      <c r="FR882" s="13"/>
      <c r="FS882" s="13"/>
      <c r="FT882" s="13"/>
      <c r="FU882" s="13"/>
      <c r="FV882" s="13"/>
      <c r="FW882" s="13"/>
      <c r="FX882" s="13"/>
      <c r="FY882" s="13"/>
      <c r="FZ882" s="13"/>
      <c r="GA882" s="13"/>
    </row>
    <row r="883" spans="1:183" s="52" customFormat="1" ht="13.2" x14ac:dyDescent="0.25">
      <c r="A883" s="2"/>
      <c r="B883" s="2"/>
      <c r="C883" s="9">
        <v>15</v>
      </c>
      <c r="D883" s="9">
        <v>18</v>
      </c>
      <c r="E883" s="9">
        <v>49</v>
      </c>
      <c r="F883" s="9">
        <v>56</v>
      </c>
      <c r="G883" s="9">
        <v>68</v>
      </c>
      <c r="H883" s="9">
        <v>79</v>
      </c>
      <c r="I883" s="43"/>
      <c r="J883" s="9">
        <v>79</v>
      </c>
      <c r="K883" s="43"/>
      <c r="L883" s="39">
        <v>44641</v>
      </c>
      <c r="M883" s="43"/>
      <c r="N883"/>
      <c r="O883"/>
      <c r="P883"/>
      <c r="Q883"/>
      <c r="R883"/>
      <c r="S883"/>
      <c r="T883"/>
      <c r="U883"/>
      <c r="V883"/>
      <c r="X883" s="43"/>
      <c r="Y883"/>
      <c r="Z883"/>
      <c r="AA883"/>
      <c r="AB883"/>
      <c r="AC883"/>
      <c r="AD883"/>
      <c r="AE883"/>
      <c r="AF883"/>
      <c r="AG883"/>
      <c r="AI883" s="148"/>
      <c r="AJ883" s="1"/>
      <c r="AK883" s="1"/>
      <c r="AL883" s="54"/>
      <c r="AM883" s="1"/>
      <c r="AN883" s="43"/>
      <c r="AO883" s="1"/>
      <c r="AP883" s="1"/>
      <c r="AQ883" s="19"/>
      <c r="AR883" s="54"/>
      <c r="AS883" s="43"/>
      <c r="AT883" s="1"/>
      <c r="AU883" s="1"/>
      <c r="AV883" s="1"/>
      <c r="AW883" s="54"/>
      <c r="AX883" s="57"/>
      <c r="AY883" s="54"/>
      <c r="AZ883" s="54"/>
      <c r="BA883" s="54"/>
      <c r="BB883" s="54"/>
      <c r="BC883" s="57"/>
      <c r="BD883" s="1"/>
      <c r="BE883" s="1"/>
      <c r="BF883" s="1"/>
      <c r="BG883" s="54"/>
      <c r="BH883" s="43"/>
      <c r="BI883"/>
      <c r="BJ883" s="13"/>
      <c r="BK883" s="1"/>
      <c r="BL883"/>
      <c r="BM883"/>
      <c r="BN883"/>
      <c r="DY883" s="43"/>
      <c r="DZ883"/>
      <c r="EA883" s="19"/>
      <c r="EB883" s="19"/>
      <c r="EC883" s="9"/>
      <c r="ED883" s="9"/>
      <c r="EE883" s="9"/>
      <c r="EF883" s="9"/>
      <c r="EG883" s="9"/>
      <c r="EH883" s="13"/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3"/>
      <c r="FD883" s="13"/>
      <c r="FE883" s="13"/>
      <c r="FF883" s="13"/>
      <c r="FG883" s="13"/>
      <c r="FH883" s="13"/>
      <c r="FI883" s="13"/>
      <c r="FJ883" s="13"/>
      <c r="FK883" s="13"/>
      <c r="FL883" s="13"/>
      <c r="FM883" s="13"/>
      <c r="FN883" s="13"/>
      <c r="FO883" s="13"/>
      <c r="FP883" s="13"/>
      <c r="FQ883" s="13"/>
      <c r="FR883" s="13"/>
      <c r="FS883" s="13"/>
      <c r="FT883" s="13"/>
      <c r="FU883" s="13"/>
      <c r="FV883" s="13"/>
      <c r="FW883" s="13"/>
      <c r="FX883" s="13"/>
      <c r="FY883" s="13"/>
      <c r="FZ883" s="13"/>
      <c r="GA883" s="13"/>
    </row>
    <row r="884" spans="1:183" s="52" customFormat="1" ht="13.2" x14ac:dyDescent="0.25">
      <c r="A884" s="2"/>
      <c r="B884" s="2"/>
      <c r="C884" s="9">
        <v>9</v>
      </c>
      <c r="D884" s="9">
        <v>20</v>
      </c>
      <c r="E884" s="9">
        <v>22</v>
      </c>
      <c r="F884" s="9">
        <v>23</v>
      </c>
      <c r="G884" s="9">
        <v>25</v>
      </c>
      <c r="H884" s="9">
        <v>86</v>
      </c>
      <c r="I884" s="43"/>
      <c r="J884" s="9">
        <v>86</v>
      </c>
      <c r="K884" s="43"/>
      <c r="L884" s="39">
        <v>44639</v>
      </c>
      <c r="M884" s="43"/>
      <c r="N884"/>
      <c r="O884"/>
      <c r="P884"/>
      <c r="Q884"/>
      <c r="R884"/>
      <c r="S884"/>
      <c r="T884"/>
      <c r="U884"/>
      <c r="V884"/>
      <c r="X884" s="43"/>
      <c r="Y884"/>
      <c r="Z884"/>
      <c r="AA884"/>
      <c r="AB884"/>
      <c r="AC884"/>
      <c r="AD884"/>
      <c r="AE884"/>
      <c r="AF884"/>
      <c r="AG884"/>
      <c r="AI884" s="148"/>
      <c r="AJ884" s="1"/>
      <c r="AK884" s="1"/>
      <c r="AL884" s="54"/>
      <c r="AM884" s="1"/>
      <c r="AN884" s="43"/>
      <c r="AO884" s="1"/>
      <c r="AP884" s="1"/>
      <c r="AQ884" s="19"/>
      <c r="AR884" s="54"/>
      <c r="AS884" s="43"/>
      <c r="AT884" s="1"/>
      <c r="AU884" s="1"/>
      <c r="AV884" s="1"/>
      <c r="AW884" s="54"/>
      <c r="AX884" s="57"/>
      <c r="AY884" s="54"/>
      <c r="AZ884" s="54"/>
      <c r="BA884" s="54"/>
      <c r="BB884" s="54"/>
      <c r="BC884" s="57"/>
      <c r="BD884" s="1"/>
      <c r="BE884" s="1"/>
      <c r="BF884" s="1"/>
      <c r="BG884" s="54"/>
      <c r="BH884" s="43"/>
      <c r="BI884"/>
      <c r="BJ884" s="13"/>
      <c r="BK884" s="1"/>
      <c r="BL884"/>
      <c r="BM884"/>
      <c r="BN884"/>
      <c r="DY884" s="43"/>
      <c r="DZ884"/>
      <c r="EA884" s="19"/>
      <c r="EB884" s="19"/>
      <c r="EC884" s="9"/>
      <c r="ED884" s="9"/>
      <c r="EE884" s="9"/>
      <c r="EF884" s="9"/>
      <c r="EG884" s="9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3"/>
      <c r="FD884" s="13"/>
      <c r="FE884" s="13"/>
      <c r="FF884" s="13"/>
      <c r="FG884" s="13"/>
      <c r="FH884" s="13"/>
      <c r="FI884" s="13"/>
      <c r="FJ884" s="13"/>
      <c r="FK884" s="13"/>
      <c r="FL884" s="13"/>
      <c r="FM884" s="13"/>
      <c r="FN884" s="13"/>
      <c r="FO884" s="13"/>
      <c r="FP884" s="13"/>
      <c r="FQ884" s="13"/>
      <c r="FR884" s="13"/>
      <c r="FS884" s="13"/>
      <c r="FT884" s="13"/>
      <c r="FU884" s="13"/>
      <c r="FV884" s="13"/>
      <c r="FW884" s="13"/>
      <c r="FX884" s="13"/>
      <c r="FY884" s="13"/>
      <c r="FZ884" s="13"/>
      <c r="GA884" s="13"/>
    </row>
    <row r="885" spans="1:183" s="52" customFormat="1" ht="13.2" x14ac:dyDescent="0.25">
      <c r="A885" s="2"/>
      <c r="B885" s="2"/>
      <c r="C885" s="9">
        <v>31</v>
      </c>
      <c r="D885" s="9">
        <v>40</v>
      </c>
      <c r="E885" s="9">
        <v>42</v>
      </c>
      <c r="F885" s="9">
        <v>45</v>
      </c>
      <c r="G885" s="9">
        <v>73</v>
      </c>
      <c r="H885" s="9">
        <v>89</v>
      </c>
      <c r="I885" s="43"/>
      <c r="J885" s="9">
        <v>89</v>
      </c>
      <c r="K885" s="43"/>
      <c r="L885" s="39">
        <v>44636</v>
      </c>
      <c r="M885" s="43"/>
      <c r="N885"/>
      <c r="O885"/>
      <c r="P885"/>
      <c r="Q885"/>
      <c r="R885"/>
      <c r="S885"/>
      <c r="T885"/>
      <c r="U885"/>
      <c r="V885"/>
      <c r="X885" s="43"/>
      <c r="Y885"/>
      <c r="Z885"/>
      <c r="AA885"/>
      <c r="AB885"/>
      <c r="AC885"/>
      <c r="AD885"/>
      <c r="AE885"/>
      <c r="AF885"/>
      <c r="AG885"/>
      <c r="AI885" s="148"/>
      <c r="AJ885" s="1"/>
      <c r="AK885" s="1"/>
      <c r="AL885" s="54"/>
      <c r="AM885" s="1"/>
      <c r="AN885" s="43"/>
      <c r="AO885" s="1"/>
      <c r="AP885" s="1"/>
      <c r="AQ885" s="19"/>
      <c r="AR885" s="54"/>
      <c r="AS885" s="43"/>
      <c r="AT885" s="1"/>
      <c r="AU885" s="1"/>
      <c r="AV885" s="1"/>
      <c r="AW885" s="54"/>
      <c r="AX885" s="57"/>
      <c r="AY885" s="54"/>
      <c r="AZ885" s="54"/>
      <c r="BA885" s="54"/>
      <c r="BB885" s="54"/>
      <c r="BC885" s="57"/>
      <c r="BD885" s="1"/>
      <c r="BE885" s="1"/>
      <c r="BF885" s="1"/>
      <c r="BG885" s="54"/>
      <c r="BH885" s="43"/>
      <c r="BI885"/>
      <c r="BJ885" s="13"/>
      <c r="BK885" s="1"/>
      <c r="BL885"/>
      <c r="BM885"/>
      <c r="BN885"/>
      <c r="DY885" s="43"/>
      <c r="DZ885"/>
      <c r="EA885" s="19"/>
      <c r="EB885" s="19"/>
      <c r="EC885" s="9"/>
      <c r="ED885" s="9"/>
      <c r="EE885" s="9"/>
      <c r="EF885" s="9"/>
      <c r="EG885" s="9"/>
      <c r="EH885" s="13"/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3"/>
      <c r="FD885" s="13"/>
      <c r="FE885" s="13"/>
      <c r="FF885" s="13"/>
      <c r="FG885" s="13"/>
      <c r="FH885" s="13"/>
      <c r="FI885" s="13"/>
      <c r="FJ885" s="13"/>
      <c r="FK885" s="13"/>
      <c r="FL885" s="13"/>
      <c r="FM885" s="13"/>
      <c r="FN885" s="13"/>
      <c r="FO885" s="13"/>
      <c r="FP885" s="13"/>
      <c r="FQ885" s="13"/>
      <c r="FR885" s="13"/>
      <c r="FS885" s="13"/>
      <c r="FT885" s="13"/>
      <c r="FU885" s="13"/>
      <c r="FV885" s="13"/>
      <c r="FW885" s="13"/>
      <c r="FX885" s="13"/>
      <c r="FY885" s="13"/>
      <c r="FZ885" s="13"/>
      <c r="GA885" s="13"/>
    </row>
    <row r="886" spans="1:183" s="52" customFormat="1" ht="13.2" x14ac:dyDescent="0.25">
      <c r="A886" s="2"/>
      <c r="B886" s="2"/>
      <c r="C886" s="9">
        <v>19</v>
      </c>
      <c r="D886" s="9">
        <v>32</v>
      </c>
      <c r="E886" s="9">
        <v>40</v>
      </c>
      <c r="F886" s="9">
        <v>42</v>
      </c>
      <c r="G886" s="9">
        <v>47</v>
      </c>
      <c r="H886" s="9">
        <v>58</v>
      </c>
      <c r="I886" s="43"/>
      <c r="J886" s="9">
        <v>58</v>
      </c>
      <c r="K886" s="43"/>
      <c r="L886" s="39">
        <v>44634</v>
      </c>
      <c r="M886" s="43"/>
      <c r="N886"/>
      <c r="O886"/>
      <c r="P886"/>
      <c r="Q886"/>
      <c r="R886"/>
      <c r="S886"/>
      <c r="T886"/>
      <c r="U886"/>
      <c r="V886"/>
      <c r="X886" s="43"/>
      <c r="Y886"/>
      <c r="Z886"/>
      <c r="AA886"/>
      <c r="AB886"/>
      <c r="AC886"/>
      <c r="AD886"/>
      <c r="AE886"/>
      <c r="AF886"/>
      <c r="AG886"/>
      <c r="AI886" s="148"/>
      <c r="AJ886" s="1"/>
      <c r="AK886" s="1"/>
      <c r="AL886" s="54"/>
      <c r="AM886" s="1"/>
      <c r="AN886" s="43"/>
      <c r="AO886" s="1"/>
      <c r="AP886" s="1"/>
      <c r="AQ886" s="19"/>
      <c r="AR886" s="54"/>
      <c r="AS886" s="43"/>
      <c r="AT886" s="1"/>
      <c r="AU886" s="1"/>
      <c r="AV886" s="1"/>
      <c r="AW886" s="54"/>
      <c r="AX886" s="57"/>
      <c r="AY886" s="54"/>
      <c r="AZ886" s="54"/>
      <c r="BA886" s="54"/>
      <c r="BB886" s="54"/>
      <c r="BC886" s="57"/>
      <c r="BD886" s="1"/>
      <c r="BE886" s="1"/>
      <c r="BF886" s="1"/>
      <c r="BG886" s="54"/>
      <c r="BH886" s="43"/>
      <c r="BI886"/>
      <c r="BJ886" s="13"/>
      <c r="BK886" s="1"/>
      <c r="BL886"/>
      <c r="BM886"/>
      <c r="BN886"/>
      <c r="DY886" s="43"/>
      <c r="DZ886"/>
      <c r="EA886" s="19"/>
      <c r="EB886" s="19"/>
      <c r="EC886" s="9"/>
      <c r="ED886" s="9"/>
      <c r="EE886" s="9"/>
      <c r="EF886" s="9"/>
      <c r="EG886" s="9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3"/>
      <c r="FD886" s="13"/>
      <c r="FE886" s="13"/>
      <c r="FF886" s="13"/>
      <c r="FG886" s="13"/>
      <c r="FH886" s="13"/>
      <c r="FI886" s="13"/>
      <c r="FJ886" s="13"/>
      <c r="FK886" s="13"/>
      <c r="FL886" s="13"/>
      <c r="FM886" s="13"/>
      <c r="FN886" s="13"/>
      <c r="FO886" s="13"/>
      <c r="FP886" s="13"/>
      <c r="FQ886" s="13"/>
      <c r="FR886" s="13"/>
      <c r="FS886" s="13"/>
      <c r="FT886" s="13"/>
      <c r="FU886" s="13"/>
      <c r="FV886" s="13"/>
      <c r="FW886" s="13"/>
      <c r="FX886" s="13"/>
      <c r="FY886" s="13"/>
      <c r="FZ886" s="13"/>
      <c r="GA886" s="13"/>
    </row>
    <row r="887" spans="1:183" s="52" customFormat="1" x14ac:dyDescent="0.25">
      <c r="A887" s="2"/>
      <c r="B887" s="2"/>
      <c r="C887" s="9">
        <v>25</v>
      </c>
      <c r="D887" s="9">
        <v>29</v>
      </c>
      <c r="E887" s="9">
        <v>44</v>
      </c>
      <c r="F887" s="9">
        <v>61</v>
      </c>
      <c r="G887" s="9">
        <v>76</v>
      </c>
      <c r="H887" s="9">
        <v>79</v>
      </c>
      <c r="I887" s="43"/>
      <c r="J887" s="9">
        <v>79</v>
      </c>
      <c r="K887" s="43"/>
      <c r="L887" s="39">
        <v>44632</v>
      </c>
      <c r="M887" s="43"/>
      <c r="N887"/>
      <c r="O887"/>
      <c r="P887"/>
      <c r="Q887"/>
      <c r="R887"/>
      <c r="S887"/>
      <c r="T887"/>
      <c r="U887"/>
      <c r="V887"/>
      <c r="X887" s="43"/>
      <c r="Y887"/>
      <c r="Z887"/>
      <c r="AA887"/>
      <c r="AB887"/>
      <c r="AC887"/>
      <c r="AD887"/>
      <c r="AE887"/>
      <c r="AF887"/>
      <c r="AG887"/>
      <c r="AI887" s="148"/>
      <c r="AJ887" s="1"/>
      <c r="AK887" s="1"/>
      <c r="AL887" s="54"/>
      <c r="AM887" s="1"/>
      <c r="AN887" s="43"/>
      <c r="AO887" s="1"/>
      <c r="AP887" s="1"/>
      <c r="AQ887" s="19"/>
      <c r="AR887" s="54"/>
      <c r="AS887" s="43"/>
      <c r="AT887" s="1"/>
      <c r="AU887" s="1"/>
      <c r="AV887" s="1"/>
      <c r="AW887" s="54"/>
      <c r="AX887" s="57"/>
      <c r="AY887" s="54"/>
      <c r="AZ887" s="54"/>
      <c r="BA887" s="54"/>
      <c r="BB887" s="54"/>
      <c r="BC887" s="57"/>
      <c r="BD887" s="1"/>
      <c r="BE887" s="1"/>
      <c r="BF887" s="1"/>
      <c r="BG887" s="54"/>
      <c r="BH887" s="43"/>
      <c r="BI887" s="54"/>
      <c r="BJ887" s="55"/>
      <c r="BK887" s="1"/>
      <c r="BL887" s="54"/>
      <c r="BM887" s="56"/>
      <c r="BN887"/>
      <c r="DY887" s="43"/>
      <c r="DZ887"/>
      <c r="EA887" s="19"/>
      <c r="EB887" s="19"/>
      <c r="EC887" s="9"/>
      <c r="ED887" s="9"/>
      <c r="EE887" s="9"/>
      <c r="EF887" s="9"/>
      <c r="EG887" s="9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3"/>
      <c r="FD887" s="13"/>
      <c r="FE887" s="13"/>
      <c r="FF887" s="13"/>
      <c r="FG887" s="13"/>
      <c r="FH887" s="13"/>
      <c r="FI887" s="13"/>
      <c r="FJ887" s="13"/>
      <c r="FK887" s="13"/>
      <c r="FL887" s="13"/>
      <c r="FM887" s="13"/>
      <c r="FN887" s="13"/>
      <c r="FO887" s="13"/>
      <c r="FP887" s="13"/>
      <c r="FQ887" s="13"/>
      <c r="FR887" s="13"/>
      <c r="FS887" s="13"/>
      <c r="FT887" s="13"/>
      <c r="FU887" s="13"/>
      <c r="FV887" s="13"/>
      <c r="FW887" s="13"/>
      <c r="FX887" s="13"/>
      <c r="FY887" s="13"/>
      <c r="FZ887" s="13"/>
      <c r="GA887" s="13"/>
    </row>
    <row r="888" spans="1:183" s="52" customFormat="1" x14ac:dyDescent="0.25">
      <c r="A888" s="2"/>
      <c r="B888" s="2"/>
      <c r="C888" s="9">
        <v>15</v>
      </c>
      <c r="D888" s="9">
        <v>32</v>
      </c>
      <c r="E888" s="9">
        <v>68</v>
      </c>
      <c r="F888" s="9">
        <v>69</v>
      </c>
      <c r="G888" s="9">
        <v>81</v>
      </c>
      <c r="H888" s="9">
        <v>84</v>
      </c>
      <c r="I888" s="43"/>
      <c r="J888" s="9">
        <v>84</v>
      </c>
      <c r="K888" s="43"/>
      <c r="L888" s="39">
        <v>44629</v>
      </c>
      <c r="M888" s="43"/>
      <c r="N888"/>
      <c r="O888"/>
      <c r="P888"/>
      <c r="Q888"/>
      <c r="R888"/>
      <c r="S888"/>
      <c r="T888"/>
      <c r="U888"/>
      <c r="V888"/>
      <c r="X888" s="43"/>
      <c r="Y888"/>
      <c r="Z888"/>
      <c r="AA888"/>
      <c r="AB888"/>
      <c r="AC888"/>
      <c r="AD888"/>
      <c r="AE888"/>
      <c r="AF888"/>
      <c r="AG888"/>
      <c r="AI888" s="148"/>
      <c r="AJ888" s="1"/>
      <c r="AK888" s="1"/>
      <c r="AL888" s="54"/>
      <c r="AM888" s="1"/>
      <c r="AN888" s="43"/>
      <c r="AO888" s="1"/>
      <c r="AP888" s="1"/>
      <c r="AQ888" s="19"/>
      <c r="AR888" s="54"/>
      <c r="AS888" s="43"/>
      <c r="AT888" s="1"/>
      <c r="AU888" s="1"/>
      <c r="AV888" s="1"/>
      <c r="AW888" s="54"/>
      <c r="AX888" s="57"/>
      <c r="AY888" s="54"/>
      <c r="AZ888" s="54"/>
      <c r="BA888" s="54"/>
      <c r="BB888" s="54"/>
      <c r="BC888" s="57"/>
      <c r="BD888" s="1"/>
      <c r="BE888" s="1"/>
      <c r="BF888" s="1"/>
      <c r="BG888" s="54"/>
      <c r="BH888" s="43"/>
      <c r="BI888" s="54"/>
      <c r="BJ888" s="55"/>
      <c r="BK888" s="1"/>
      <c r="BL888" s="54"/>
      <c r="BM888" s="56"/>
      <c r="BN888"/>
      <c r="DY888" s="43"/>
      <c r="DZ888"/>
      <c r="EA888" s="19"/>
      <c r="EB888" s="19"/>
      <c r="EC888" s="9"/>
      <c r="ED888" s="9"/>
      <c r="EE888" s="9"/>
      <c r="EF888" s="9"/>
      <c r="EG888" s="9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3"/>
      <c r="FD888" s="13"/>
      <c r="FE888" s="13"/>
      <c r="FF888" s="13"/>
      <c r="FG888" s="13"/>
      <c r="FH888" s="13"/>
      <c r="FI888" s="13"/>
      <c r="FJ888" s="13"/>
      <c r="FK888" s="13"/>
      <c r="FL888" s="13"/>
      <c r="FM888" s="13"/>
      <c r="FN888" s="13"/>
      <c r="FO888" s="13"/>
      <c r="FP888" s="13"/>
      <c r="FQ888" s="13"/>
      <c r="FR888" s="13"/>
      <c r="FS888" s="13"/>
      <c r="FT888" s="13"/>
      <c r="FU888" s="13"/>
      <c r="FV888" s="13"/>
      <c r="FW888" s="13"/>
      <c r="FX888" s="13"/>
      <c r="FY888" s="13"/>
      <c r="FZ888" s="13"/>
      <c r="GA888" s="13"/>
    </row>
    <row r="889" spans="1:183" s="52" customFormat="1" x14ac:dyDescent="0.25">
      <c r="A889" s="2"/>
      <c r="B889" s="2"/>
      <c r="C889" s="9">
        <v>9</v>
      </c>
      <c r="D889" s="9">
        <v>25</v>
      </c>
      <c r="E889" s="9">
        <v>41</v>
      </c>
      <c r="F889" s="9">
        <v>52</v>
      </c>
      <c r="G889" s="9">
        <v>78</v>
      </c>
      <c r="H889" s="9">
        <v>86</v>
      </c>
      <c r="I889" s="43"/>
      <c r="J889" s="9">
        <v>86</v>
      </c>
      <c r="K889" s="43"/>
      <c r="L889" s="39">
        <v>44627</v>
      </c>
      <c r="M889" s="43"/>
      <c r="N889"/>
      <c r="O889"/>
      <c r="P889"/>
      <c r="Q889"/>
      <c r="R889"/>
      <c r="S889"/>
      <c r="T889"/>
      <c r="U889"/>
      <c r="V889"/>
      <c r="X889" s="43"/>
      <c r="Y889"/>
      <c r="Z889"/>
      <c r="AA889"/>
      <c r="AB889"/>
      <c r="AC889"/>
      <c r="AD889"/>
      <c r="AE889"/>
      <c r="AF889"/>
      <c r="AG889"/>
      <c r="AI889" s="148"/>
      <c r="AJ889" s="1"/>
      <c r="AK889" s="1"/>
      <c r="AL889" s="54"/>
      <c r="AM889" s="1"/>
      <c r="AN889" s="43"/>
      <c r="AO889" s="1"/>
      <c r="AP889" s="1"/>
      <c r="AQ889" s="19"/>
      <c r="AR889" s="54"/>
      <c r="AS889" s="43"/>
      <c r="AT889" s="1"/>
      <c r="AU889" s="1"/>
      <c r="AV889" s="1"/>
      <c r="AW889" s="54"/>
      <c r="AX889" s="57"/>
      <c r="AY889" s="54"/>
      <c r="AZ889" s="54"/>
      <c r="BA889" s="54"/>
      <c r="BB889" s="54"/>
      <c r="BC889" s="57"/>
      <c r="BD889" s="1"/>
      <c r="BE889" s="1"/>
      <c r="BF889" s="1"/>
      <c r="BG889" s="54"/>
      <c r="BH889" s="43"/>
      <c r="BI889" s="54"/>
      <c r="BJ889" s="55"/>
      <c r="BK889" s="1"/>
      <c r="BL889" s="54"/>
      <c r="BM889" s="56"/>
      <c r="BN889"/>
      <c r="DY889" s="43"/>
      <c r="DZ889"/>
      <c r="EA889" s="19"/>
      <c r="EB889" s="19"/>
      <c r="EC889" s="9"/>
      <c r="ED889" s="9"/>
      <c r="EE889" s="9"/>
      <c r="EF889" s="9"/>
      <c r="EG889" s="9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3"/>
      <c r="FJ889" s="13"/>
      <c r="FK889" s="13"/>
      <c r="FL889" s="13"/>
      <c r="FM889" s="13"/>
      <c r="FN889" s="13"/>
      <c r="FO889" s="13"/>
      <c r="FP889" s="13"/>
      <c r="FQ889" s="13"/>
      <c r="FR889" s="13"/>
      <c r="FS889" s="13"/>
      <c r="FT889" s="13"/>
      <c r="FU889" s="13"/>
      <c r="FV889" s="13"/>
      <c r="FW889" s="13"/>
      <c r="FX889" s="13"/>
      <c r="FY889" s="13"/>
      <c r="FZ889" s="13"/>
      <c r="GA889" s="13"/>
    </row>
    <row r="890" spans="1:183" s="43" customFormat="1" x14ac:dyDescent="0.25">
      <c r="A890" s="2"/>
      <c r="B890" s="2"/>
      <c r="C890" s="9">
        <v>18</v>
      </c>
      <c r="D890" s="9">
        <v>19</v>
      </c>
      <c r="E890" s="9">
        <v>42</v>
      </c>
      <c r="F890" s="9">
        <v>47</v>
      </c>
      <c r="G890" s="9">
        <v>53</v>
      </c>
      <c r="H890" s="9">
        <v>89</v>
      </c>
      <c r="J890" s="9">
        <v>89</v>
      </c>
      <c r="L890" s="39">
        <v>44625</v>
      </c>
      <c r="N890"/>
      <c r="O890"/>
      <c r="P890"/>
      <c r="Q890"/>
      <c r="R890"/>
      <c r="S890"/>
      <c r="T890"/>
      <c r="U890"/>
      <c r="V890"/>
      <c r="W890" s="52"/>
      <c r="Y890"/>
      <c r="Z890"/>
      <c r="AA890"/>
      <c r="AB890"/>
      <c r="AC890"/>
      <c r="AD890"/>
      <c r="AE890"/>
      <c r="AF890"/>
      <c r="AG890"/>
      <c r="AH890" s="52"/>
      <c r="AI890" s="148"/>
      <c r="AJ890" s="1"/>
      <c r="AK890" s="1"/>
      <c r="AL890" s="54"/>
      <c r="AM890" s="1"/>
      <c r="AO890" s="1"/>
      <c r="AP890" s="1"/>
      <c r="AQ890" s="1"/>
      <c r="AR890" s="54"/>
      <c r="AT890" s="1"/>
      <c r="AU890" s="1"/>
      <c r="AV890" s="1"/>
      <c r="AW890" s="54"/>
      <c r="AX890" s="57"/>
      <c r="AY890" s="54"/>
      <c r="AZ890" s="54"/>
      <c r="BA890" s="54"/>
      <c r="BB890" s="54"/>
      <c r="BC890" s="57"/>
      <c r="BD890" s="1"/>
      <c r="BE890" s="1"/>
      <c r="BF890" s="1"/>
      <c r="BG890" s="54"/>
      <c r="BI890" s="54"/>
      <c r="BJ890" s="55"/>
      <c r="BK890" s="55"/>
      <c r="BL890" s="54"/>
      <c r="BM890" s="56"/>
      <c r="BN890" s="56"/>
      <c r="BO890" s="52"/>
      <c r="BP890" s="52"/>
      <c r="BQ890" s="52"/>
      <c r="BR890" s="52"/>
      <c r="BS890" s="52"/>
      <c r="BT890" s="52"/>
      <c r="BU890" s="52"/>
      <c r="BV890" s="52"/>
      <c r="BW890" s="52"/>
      <c r="BX890" s="52"/>
      <c r="BY890" s="52"/>
      <c r="BZ890" s="52"/>
      <c r="CA890" s="52"/>
      <c r="CB890" s="52"/>
      <c r="CC890" s="52"/>
      <c r="CD890" s="52"/>
      <c r="CE890" s="52"/>
      <c r="CF890" s="52"/>
      <c r="CG890" s="52"/>
      <c r="CH890" s="52"/>
      <c r="CI890" s="52"/>
      <c r="CJ890" s="52"/>
      <c r="CK890" s="52"/>
      <c r="CL890" s="52"/>
      <c r="CM890" s="52"/>
      <c r="CN890" s="52"/>
      <c r="CO890" s="52"/>
      <c r="CP890" s="52"/>
      <c r="CQ890" s="52"/>
      <c r="CR890" s="52"/>
      <c r="CS890" s="52"/>
      <c r="CT890" s="52"/>
      <c r="CU890" s="52"/>
      <c r="CV890" s="52"/>
      <c r="CW890" s="52"/>
      <c r="CX890" s="52"/>
      <c r="CY890" s="52"/>
      <c r="CZ890" s="52"/>
      <c r="DA890" s="52"/>
      <c r="DB890" s="52"/>
      <c r="DC890" s="52"/>
      <c r="DD890" s="52"/>
      <c r="DE890" s="52"/>
      <c r="DF890" s="52"/>
      <c r="DG890" s="52"/>
      <c r="DH890" s="52"/>
      <c r="DI890" s="52"/>
      <c r="DJ890" s="52"/>
      <c r="DK890" s="52"/>
      <c r="DL890" s="52"/>
      <c r="DM890" s="52"/>
      <c r="DN890" s="52"/>
      <c r="DO890" s="52"/>
      <c r="DP890" s="52"/>
      <c r="DQ890" s="52"/>
      <c r="DR890" s="52"/>
      <c r="DS890" s="52"/>
      <c r="DT890" s="52"/>
      <c r="DU890" s="52"/>
      <c r="DV890" s="52"/>
      <c r="DW890" s="52"/>
      <c r="DX890" s="52"/>
      <c r="DZ890"/>
      <c r="EA890" s="19"/>
      <c r="EB890" s="19"/>
      <c r="EC890" s="9"/>
      <c r="ED890" s="9"/>
      <c r="EE890" s="9"/>
      <c r="EF890" s="9"/>
      <c r="EG890" s="9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/>
      <c r="FN890" s="13"/>
      <c r="FO890" s="13"/>
      <c r="FP890" s="13"/>
      <c r="FQ890" s="13"/>
      <c r="FR890" s="13"/>
      <c r="FS890" s="13"/>
      <c r="FT890" s="13"/>
      <c r="FU890" s="13"/>
      <c r="FV890" s="13"/>
      <c r="FW890" s="13"/>
      <c r="FX890" s="13"/>
      <c r="FY890" s="13"/>
      <c r="FZ890" s="13"/>
      <c r="GA890" s="13"/>
    </row>
    <row r="891" spans="1:183" s="43" customFormat="1" x14ac:dyDescent="0.25">
      <c r="A891" s="2"/>
      <c r="B891" s="2"/>
      <c r="C891" s="9">
        <v>25</v>
      </c>
      <c r="D891" s="9">
        <v>69</v>
      </c>
      <c r="E891" s="9">
        <v>70</v>
      </c>
      <c r="F891" s="9">
        <v>76</v>
      </c>
      <c r="G891" s="9">
        <v>81</v>
      </c>
      <c r="H891" s="9">
        <v>84</v>
      </c>
      <c r="J891" s="9">
        <v>84</v>
      </c>
      <c r="L891" s="39">
        <v>44622</v>
      </c>
      <c r="N891"/>
      <c r="O891"/>
      <c r="P891"/>
      <c r="Q891"/>
      <c r="R891"/>
      <c r="S891"/>
      <c r="T891"/>
      <c r="U891"/>
      <c r="V891"/>
      <c r="W891" s="52"/>
      <c r="Y891"/>
      <c r="Z891"/>
      <c r="AA891"/>
      <c r="AB891"/>
      <c r="AC891"/>
      <c r="AD891"/>
      <c r="AE891"/>
      <c r="AF891"/>
      <c r="AG891"/>
      <c r="AH891" s="52"/>
      <c r="AI891" s="148"/>
      <c r="AJ891" s="1"/>
      <c r="AK891" s="1"/>
      <c r="AL891" s="54"/>
      <c r="AM891" s="1"/>
      <c r="AO891" s="1"/>
      <c r="AP891" s="1"/>
      <c r="AQ891" s="1"/>
      <c r="AR891" s="54"/>
      <c r="AT891" s="1"/>
      <c r="AU891" s="1"/>
      <c r="AV891" s="1"/>
      <c r="AW891" s="54"/>
      <c r="AX891" s="57"/>
      <c r="AY891" s="54"/>
      <c r="AZ891" s="54"/>
      <c r="BA891" s="54"/>
      <c r="BB891" s="54"/>
      <c r="BC891" s="57"/>
      <c r="BD891" s="1"/>
      <c r="BE891" s="1"/>
      <c r="BF891" s="1"/>
      <c r="BG891" s="54"/>
      <c r="BI891" s="54"/>
      <c r="BJ891" s="55"/>
      <c r="BK891" s="55"/>
      <c r="BL891" s="54"/>
      <c r="BM891" s="56"/>
      <c r="BN891" s="56"/>
      <c r="BO891" s="52"/>
      <c r="BP891" s="52"/>
      <c r="BQ891" s="52"/>
      <c r="BR891" s="52"/>
      <c r="BS891" s="52"/>
      <c r="BT891" s="52"/>
      <c r="BU891" s="52"/>
      <c r="BV891" s="52"/>
      <c r="BW891" s="52"/>
      <c r="BX891" s="52"/>
      <c r="BY891" s="52"/>
      <c r="BZ891" s="52"/>
      <c r="CA891" s="52"/>
      <c r="CB891" s="52"/>
      <c r="CC891" s="52"/>
      <c r="CD891" s="52"/>
      <c r="CE891" s="52"/>
      <c r="CF891" s="52"/>
      <c r="CG891" s="52"/>
      <c r="CH891" s="52"/>
      <c r="CI891" s="52"/>
      <c r="CJ891" s="52"/>
      <c r="CK891" s="52"/>
      <c r="CL891" s="52"/>
      <c r="CM891" s="52"/>
      <c r="CN891" s="52"/>
      <c r="CO891" s="52"/>
      <c r="CP891" s="52"/>
      <c r="CQ891" s="52"/>
      <c r="CR891" s="52"/>
      <c r="CS891" s="52"/>
      <c r="CT891" s="52"/>
      <c r="CU891" s="52"/>
      <c r="CV891" s="52"/>
      <c r="CW891" s="52"/>
      <c r="CX891" s="52"/>
      <c r="CY891" s="52"/>
      <c r="CZ891" s="52"/>
      <c r="DA891" s="52"/>
      <c r="DB891" s="52"/>
      <c r="DC891" s="52"/>
      <c r="DD891" s="52"/>
      <c r="DE891" s="52"/>
      <c r="DF891" s="52"/>
      <c r="DG891" s="52"/>
      <c r="DH891" s="52"/>
      <c r="DI891" s="52"/>
      <c r="DJ891" s="52"/>
      <c r="DK891" s="52"/>
      <c r="DL891" s="52"/>
      <c r="DM891" s="52"/>
      <c r="DN891" s="52"/>
      <c r="DO891" s="52"/>
      <c r="DP891" s="52"/>
      <c r="DQ891" s="52"/>
      <c r="DR891" s="52"/>
      <c r="DS891" s="52"/>
      <c r="DT891" s="52"/>
      <c r="DU891" s="52"/>
      <c r="DV891" s="52"/>
      <c r="DW891" s="52"/>
      <c r="DX891" s="52"/>
      <c r="DZ891"/>
      <c r="EA891" s="19"/>
      <c r="EB891" s="19"/>
      <c r="EC891" s="9"/>
      <c r="ED891" s="9"/>
      <c r="EE891" s="9"/>
      <c r="EF891" s="9"/>
      <c r="EG891" s="9"/>
      <c r="EH891" s="13"/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3"/>
      <c r="FD891" s="13"/>
      <c r="FE891" s="13"/>
      <c r="FF891" s="13"/>
      <c r="FG891" s="13"/>
      <c r="FH891" s="13"/>
      <c r="FI891" s="13"/>
      <c r="FJ891" s="13"/>
      <c r="FK891" s="13"/>
      <c r="FL891" s="13"/>
      <c r="FM891" s="13"/>
      <c r="FN891" s="13"/>
      <c r="FO891" s="13"/>
      <c r="FP891" s="13"/>
      <c r="FQ891" s="13"/>
      <c r="FR891" s="13"/>
      <c r="FS891" s="13"/>
      <c r="FT891" s="13"/>
      <c r="FU891" s="13"/>
      <c r="FV891" s="13"/>
      <c r="FW891" s="13"/>
      <c r="FX891" s="13"/>
      <c r="FY891" s="13"/>
      <c r="FZ891" s="13"/>
      <c r="GA891" s="13"/>
    </row>
    <row r="892" spans="1:183" s="43" customFormat="1" x14ac:dyDescent="0.25">
      <c r="A892" s="2"/>
      <c r="B892" s="2"/>
      <c r="C892" s="9">
        <v>14</v>
      </c>
      <c r="D892" s="9">
        <v>23</v>
      </c>
      <c r="E892" s="9">
        <v>40</v>
      </c>
      <c r="F892" s="9">
        <v>41</v>
      </c>
      <c r="G892" s="9">
        <v>42</v>
      </c>
      <c r="H892" s="9">
        <v>53</v>
      </c>
      <c r="J892" s="9">
        <v>53</v>
      </c>
      <c r="L892" s="39">
        <v>44620</v>
      </c>
      <c r="N892"/>
      <c r="O892"/>
      <c r="P892"/>
      <c r="Q892"/>
      <c r="R892"/>
      <c r="S892"/>
      <c r="T892"/>
      <c r="U892"/>
      <c r="V892"/>
      <c r="W892" s="52"/>
      <c r="Y892"/>
      <c r="Z892"/>
      <c r="AA892"/>
      <c r="AB892"/>
      <c r="AC892"/>
      <c r="AD892"/>
      <c r="AE892"/>
      <c r="AF892"/>
      <c r="AG892"/>
      <c r="AH892" s="52"/>
      <c r="AI892" s="148"/>
      <c r="AJ892" s="19"/>
      <c r="AK892" s="19"/>
      <c r="AL892" s="19"/>
      <c r="AM892" s="19"/>
      <c r="AN892" s="42"/>
      <c r="AO892" s="54"/>
      <c r="AP892" s="19"/>
      <c r="AQ892" s="1"/>
      <c r="AR892" s="74"/>
      <c r="AS892" s="42"/>
      <c r="AT892" s="54"/>
      <c r="AU892" s="54"/>
      <c r="AV892" s="19"/>
      <c r="AW892" s="54"/>
      <c r="AX892" s="57"/>
      <c r="AY892" s="54"/>
      <c r="AZ892" s="54"/>
      <c r="BA892" s="54"/>
      <c r="BB892" s="54"/>
      <c r="BC892" s="57"/>
      <c r="BD892" s="19"/>
      <c r="BE892" s="19"/>
      <c r="BF892" s="19"/>
      <c r="BG892" s="54"/>
      <c r="BI892" s="54"/>
      <c r="BJ892" s="55"/>
      <c r="BK892" s="55"/>
      <c r="BL892" s="54"/>
      <c r="BM892" s="56"/>
      <c r="BN892" s="56"/>
      <c r="BO892" s="52"/>
      <c r="BP892" s="52"/>
      <c r="BQ892" s="52"/>
      <c r="BR892" s="52"/>
      <c r="BS892" s="52"/>
      <c r="BT892" s="52"/>
      <c r="BU892" s="52"/>
      <c r="BV892" s="52"/>
      <c r="BW892" s="52"/>
      <c r="BX892" s="52"/>
      <c r="BY892" s="52"/>
      <c r="BZ892" s="52"/>
      <c r="CA892" s="52"/>
      <c r="CB892" s="52"/>
      <c r="CC892" s="52"/>
      <c r="CD892" s="52"/>
      <c r="CE892" s="52"/>
      <c r="CF892" s="52"/>
      <c r="CG892" s="52"/>
      <c r="CH892" s="52"/>
      <c r="CI892" s="52"/>
      <c r="CJ892" s="52"/>
      <c r="CK892" s="52"/>
      <c r="CL892" s="52"/>
      <c r="CM892" s="52"/>
      <c r="CN892" s="52"/>
      <c r="CO892" s="52"/>
      <c r="CP892" s="52"/>
      <c r="CQ892" s="52"/>
      <c r="CR892" s="52"/>
      <c r="CS892" s="52"/>
      <c r="CT892" s="52"/>
      <c r="CU892" s="52"/>
      <c r="CV892" s="52"/>
      <c r="CW892" s="52"/>
      <c r="CX892" s="52"/>
      <c r="CY892" s="52"/>
      <c r="CZ892" s="52"/>
      <c r="DA892" s="52"/>
      <c r="DB892" s="52"/>
      <c r="DC892" s="52"/>
      <c r="DD892" s="52"/>
      <c r="DE892" s="52"/>
      <c r="DF892" s="52"/>
      <c r="DG892" s="52"/>
      <c r="DH892" s="52"/>
      <c r="DI892" s="52"/>
      <c r="DJ892" s="52"/>
      <c r="DK892" s="52"/>
      <c r="DL892" s="52"/>
      <c r="DM892" s="52"/>
      <c r="DN892" s="52"/>
      <c r="DO892" s="52"/>
      <c r="DP892" s="52"/>
      <c r="DQ892" s="52"/>
      <c r="DR892" s="52"/>
      <c r="DS892" s="52"/>
      <c r="DT892" s="52"/>
      <c r="DU892" s="52"/>
      <c r="DV892" s="52"/>
      <c r="DW892" s="52"/>
      <c r="DX892" s="52"/>
      <c r="DZ892"/>
      <c r="EA892" s="19"/>
      <c r="EB892" s="19"/>
      <c r="EC892" s="9"/>
      <c r="ED892" s="9"/>
      <c r="EE892" s="9"/>
      <c r="EF892" s="9"/>
      <c r="EG892" s="9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3"/>
      <c r="FD892" s="13"/>
      <c r="FE892" s="13"/>
      <c r="FF892" s="13"/>
      <c r="FG892" s="13"/>
      <c r="FH892" s="13"/>
      <c r="FI892" s="13"/>
      <c r="FJ892" s="13"/>
      <c r="FK892" s="13"/>
      <c r="FL892" s="13"/>
      <c r="FM892" s="13"/>
      <c r="FN892" s="13"/>
      <c r="FO892" s="13"/>
      <c r="FP892" s="13"/>
      <c r="FQ892" s="13"/>
      <c r="FR892" s="13"/>
      <c r="FS892" s="13"/>
      <c r="FT892" s="13"/>
      <c r="FU892" s="13"/>
      <c r="FV892" s="13"/>
      <c r="FW892" s="13"/>
      <c r="FX892" s="13"/>
      <c r="FY892" s="13"/>
      <c r="FZ892" s="13"/>
      <c r="GA892" s="13"/>
    </row>
    <row r="893" spans="1:183" s="43" customFormat="1" x14ac:dyDescent="0.25">
      <c r="A893" s="2"/>
      <c r="B893" s="2"/>
      <c r="C893" s="9">
        <v>18</v>
      </c>
      <c r="D893" s="9">
        <v>59</v>
      </c>
      <c r="E893" s="9">
        <v>64</v>
      </c>
      <c r="F893" s="9">
        <v>74</v>
      </c>
      <c r="G893" s="9">
        <v>79</v>
      </c>
      <c r="H893" s="9">
        <v>80</v>
      </c>
      <c r="J893" s="9">
        <v>80</v>
      </c>
      <c r="L893" s="39">
        <v>44618</v>
      </c>
      <c r="N893"/>
      <c r="O893"/>
      <c r="P893"/>
      <c r="Q893"/>
      <c r="R893"/>
      <c r="S893"/>
      <c r="T893"/>
      <c r="U893"/>
      <c r="V893"/>
      <c r="W893" s="52"/>
      <c r="Y893"/>
      <c r="Z893"/>
      <c r="AA893"/>
      <c r="AB893"/>
      <c r="AC893"/>
      <c r="AD893"/>
      <c r="AE893"/>
      <c r="AF893"/>
      <c r="AG893"/>
      <c r="AH893" s="52"/>
      <c r="AI893" s="148"/>
      <c r="AJ893" s="19"/>
      <c r="AK893" s="19"/>
      <c r="AL893" s="19"/>
      <c r="AM893" s="19"/>
      <c r="AN893" s="42"/>
      <c r="AO893" s="54"/>
      <c r="AP893" s="19"/>
      <c r="AQ893" s="1"/>
      <c r="AR893" s="74"/>
      <c r="AS893" s="42"/>
      <c r="AT893" s="54"/>
      <c r="AU893" s="54"/>
      <c r="AV893" s="19"/>
      <c r="AW893" s="54"/>
      <c r="AX893" s="57"/>
      <c r="AY893" s="54"/>
      <c r="AZ893" s="54"/>
      <c r="BA893" s="54"/>
      <c r="BB893" s="54"/>
      <c r="BC893" s="57"/>
      <c r="BD893" s="19"/>
      <c r="BE893" s="19"/>
      <c r="BF893" s="19"/>
      <c r="BG893" s="54"/>
      <c r="BI893" s="54"/>
      <c r="BJ893" s="55"/>
      <c r="BK893" s="55"/>
      <c r="BL893" s="54"/>
      <c r="BM893" s="56"/>
      <c r="BN893" s="56"/>
      <c r="BO893" s="52"/>
      <c r="BP893" s="52"/>
      <c r="BQ893" s="52"/>
      <c r="BR893" s="52"/>
      <c r="BS893" s="52"/>
      <c r="BT893" s="52"/>
      <c r="BU893" s="52"/>
      <c r="BV893" s="52"/>
      <c r="BW893" s="52"/>
      <c r="BX893" s="52"/>
      <c r="BY893" s="52"/>
      <c r="BZ893" s="52"/>
      <c r="CA893" s="52"/>
      <c r="CB893" s="52"/>
      <c r="CC893" s="52"/>
      <c r="CD893" s="52"/>
      <c r="CE893" s="52"/>
      <c r="CF893" s="52"/>
      <c r="CG893" s="52"/>
      <c r="CH893" s="52"/>
      <c r="CI893" s="52"/>
      <c r="CJ893" s="52"/>
      <c r="CK893" s="52"/>
      <c r="CL893" s="52"/>
      <c r="CM893" s="52"/>
      <c r="CN893" s="52"/>
      <c r="CO893" s="52"/>
      <c r="CP893" s="52"/>
      <c r="CQ893" s="52"/>
      <c r="CR893" s="52"/>
      <c r="CS893" s="52"/>
      <c r="CT893" s="52"/>
      <c r="CU893" s="52"/>
      <c r="CV893" s="52"/>
      <c r="CW893" s="52"/>
      <c r="CX893" s="52"/>
      <c r="CY893" s="52"/>
      <c r="CZ893" s="52"/>
      <c r="DA893" s="52"/>
      <c r="DB893" s="52"/>
      <c r="DC893" s="52"/>
      <c r="DD893" s="52"/>
      <c r="DE893" s="52"/>
      <c r="DF893" s="52"/>
      <c r="DG893" s="52"/>
      <c r="DH893" s="52"/>
      <c r="DI893" s="52"/>
      <c r="DJ893" s="52"/>
      <c r="DK893" s="52"/>
      <c r="DL893" s="52"/>
      <c r="DM893" s="52"/>
      <c r="DN893" s="52"/>
      <c r="DO893" s="52"/>
      <c r="DP893" s="52"/>
      <c r="DQ893" s="52"/>
      <c r="DR893" s="52"/>
      <c r="DS893" s="52"/>
      <c r="DT893" s="52"/>
      <c r="DU893" s="52"/>
      <c r="DV893" s="52"/>
      <c r="DW893" s="52"/>
      <c r="DX893" s="52"/>
      <c r="DZ893"/>
      <c r="EA893" s="19"/>
      <c r="EB893" s="19"/>
      <c r="EC893" s="9"/>
      <c r="ED893" s="9"/>
      <c r="EE893" s="9"/>
      <c r="EF893" s="9"/>
      <c r="EG893" s="9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3"/>
      <c r="FD893" s="13"/>
      <c r="FE893" s="13"/>
      <c r="FF893" s="13"/>
      <c r="FG893" s="13"/>
      <c r="FH893" s="13"/>
      <c r="FI893" s="13"/>
      <c r="FJ893" s="13"/>
      <c r="FK893" s="13"/>
      <c r="FL893" s="13"/>
      <c r="FM893" s="13"/>
      <c r="FN893" s="13"/>
      <c r="FO893" s="13"/>
      <c r="FP893" s="13"/>
      <c r="FQ893" s="13"/>
      <c r="FR893" s="13"/>
      <c r="FS893" s="13"/>
      <c r="FT893" s="13"/>
      <c r="FU893" s="13"/>
      <c r="FV893" s="13"/>
      <c r="FW893" s="13"/>
      <c r="FX893" s="13"/>
      <c r="FY893" s="13"/>
      <c r="FZ893" s="13"/>
      <c r="GA893" s="13"/>
    </row>
    <row r="894" spans="1:183" s="43" customFormat="1" x14ac:dyDescent="0.25">
      <c r="A894" s="2"/>
      <c r="B894" s="2"/>
      <c r="C894" s="9">
        <v>10</v>
      </c>
      <c r="D894" s="9">
        <v>25</v>
      </c>
      <c r="E894" s="9">
        <v>28</v>
      </c>
      <c r="F894" s="9">
        <v>56</v>
      </c>
      <c r="G894" s="9">
        <v>66</v>
      </c>
      <c r="H894" s="9">
        <v>86</v>
      </c>
      <c r="J894" s="9">
        <v>86</v>
      </c>
      <c r="L894" s="39">
        <v>44615</v>
      </c>
      <c r="N894"/>
      <c r="O894"/>
      <c r="P894"/>
      <c r="Q894"/>
      <c r="R894"/>
      <c r="S894"/>
      <c r="T894"/>
      <c r="U894"/>
      <c r="V894"/>
      <c r="W894" s="52"/>
      <c r="Y894"/>
      <c r="Z894"/>
      <c r="AA894"/>
      <c r="AB894"/>
      <c r="AC894"/>
      <c r="AD894"/>
      <c r="AE894"/>
      <c r="AF894"/>
      <c r="AG894"/>
      <c r="AH894" s="52"/>
      <c r="AI894" s="148"/>
      <c r="AJ894" s="19"/>
      <c r="AK894" s="19"/>
      <c r="AL894" s="19"/>
      <c r="AM894" s="19"/>
      <c r="AN894" s="42"/>
      <c r="AO894" s="54"/>
      <c r="AP894" s="19"/>
      <c r="AQ894" s="1"/>
      <c r="AR894" s="74"/>
      <c r="AS894" s="42"/>
      <c r="AT894" s="54"/>
      <c r="AU894" s="54"/>
      <c r="AV894" s="19"/>
      <c r="AW894" s="54"/>
      <c r="AX894" s="57"/>
      <c r="AY894" s="54"/>
      <c r="AZ894" s="54"/>
      <c r="BA894" s="54"/>
      <c r="BB894" s="54"/>
      <c r="BC894" s="57"/>
      <c r="BD894" s="19"/>
      <c r="BE894" s="19"/>
      <c r="BF894" s="19"/>
      <c r="BG894" s="54"/>
      <c r="BI894" s="54"/>
      <c r="BJ894" s="55"/>
      <c r="BK894" s="55"/>
      <c r="BL894" s="54"/>
      <c r="BM894" s="56"/>
      <c r="BN894" s="56"/>
      <c r="BO894" s="52"/>
      <c r="BP894" s="52"/>
      <c r="BQ894" s="52"/>
      <c r="BR894" s="52"/>
      <c r="BS894" s="52"/>
      <c r="BT894" s="52"/>
      <c r="BU894" s="52"/>
      <c r="BV894" s="52"/>
      <c r="BW894" s="52"/>
      <c r="BX894" s="52"/>
      <c r="BY894" s="52"/>
      <c r="BZ894" s="52"/>
      <c r="CA894" s="52"/>
      <c r="CB894" s="52"/>
      <c r="CC894" s="52"/>
      <c r="CD894" s="52"/>
      <c r="CE894" s="52"/>
      <c r="CF894" s="52"/>
      <c r="CG894" s="52"/>
      <c r="CH894" s="52"/>
      <c r="CI894" s="52"/>
      <c r="CJ894" s="52"/>
      <c r="CK894" s="52"/>
      <c r="CL894" s="52"/>
      <c r="CM894" s="52"/>
      <c r="CN894" s="52"/>
      <c r="CO894" s="52"/>
      <c r="CP894" s="52"/>
      <c r="CQ894" s="52"/>
      <c r="CR894" s="52"/>
      <c r="CS894" s="52"/>
      <c r="CT894" s="52"/>
      <c r="CU894" s="52"/>
      <c r="CV894" s="52"/>
      <c r="CW894" s="52"/>
      <c r="CX894" s="52"/>
      <c r="CY894" s="52"/>
      <c r="CZ894" s="52"/>
      <c r="DA894" s="52"/>
      <c r="DB894" s="52"/>
      <c r="DC894" s="52"/>
      <c r="DD894" s="52"/>
      <c r="DE894" s="52"/>
      <c r="DF894" s="52"/>
      <c r="DG894" s="52"/>
      <c r="DH894" s="52"/>
      <c r="DI894" s="52"/>
      <c r="DJ894" s="52"/>
      <c r="DK894" s="52"/>
      <c r="DL894" s="52"/>
      <c r="DM894" s="52"/>
      <c r="DN894" s="52"/>
      <c r="DO894" s="52"/>
      <c r="DP894" s="52"/>
      <c r="DQ894" s="52"/>
      <c r="DR894" s="52"/>
      <c r="DS894" s="52"/>
      <c r="DT894" s="52"/>
      <c r="DU894" s="52"/>
      <c r="DV894" s="52"/>
      <c r="DW894" s="52"/>
      <c r="DX894" s="52"/>
      <c r="DZ894"/>
      <c r="EA894" s="19"/>
      <c r="EB894" s="19"/>
      <c r="EC894" s="9"/>
      <c r="ED894" s="9"/>
      <c r="EE894" s="9"/>
      <c r="EF894" s="9"/>
      <c r="EG894" s="9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3"/>
      <c r="FD894" s="13"/>
      <c r="FE894" s="13"/>
      <c r="FF894" s="13"/>
      <c r="FG894" s="13"/>
      <c r="FH894" s="13"/>
      <c r="FI894" s="13"/>
      <c r="FJ894" s="13"/>
      <c r="FK894" s="13"/>
      <c r="FL894" s="13"/>
      <c r="FM894" s="13"/>
      <c r="FN894" s="13"/>
      <c r="FO894" s="13"/>
      <c r="FP894" s="13"/>
      <c r="FQ894" s="13"/>
      <c r="FR894" s="13"/>
      <c r="FS894" s="13"/>
      <c r="FT894" s="13"/>
      <c r="FU894" s="13"/>
      <c r="FV894" s="13"/>
      <c r="FW894" s="13"/>
      <c r="FX894" s="13"/>
      <c r="FY894" s="13"/>
      <c r="FZ894" s="13"/>
      <c r="GA894" s="13"/>
    </row>
    <row r="895" spans="1:183" s="43" customFormat="1" x14ac:dyDescent="0.25">
      <c r="A895" s="2"/>
      <c r="B895" s="2"/>
      <c r="C895" s="9">
        <v>3</v>
      </c>
      <c r="D895" s="9">
        <v>28</v>
      </c>
      <c r="E895" s="9">
        <v>52</v>
      </c>
      <c r="F895" s="9">
        <v>87</v>
      </c>
      <c r="G895" s="9">
        <v>89</v>
      </c>
      <c r="H895" s="9">
        <v>90</v>
      </c>
      <c r="J895" s="9">
        <v>90</v>
      </c>
      <c r="L895" s="39">
        <v>44613</v>
      </c>
      <c r="N895"/>
      <c r="O895"/>
      <c r="P895"/>
      <c r="Q895"/>
      <c r="R895"/>
      <c r="S895"/>
      <c r="T895"/>
      <c r="U895"/>
      <c r="V895"/>
      <c r="W895" s="52"/>
      <c r="Y895"/>
      <c r="Z895"/>
      <c r="AA895"/>
      <c r="AB895"/>
      <c r="AC895"/>
      <c r="AD895"/>
      <c r="AE895"/>
      <c r="AF895"/>
      <c r="AG895"/>
      <c r="AH895" s="52"/>
      <c r="AI895" s="148"/>
      <c r="AJ895" s="19"/>
      <c r="AK895" s="19"/>
      <c r="AL895" s="19"/>
      <c r="AM895" s="19"/>
      <c r="AN895" s="42"/>
      <c r="AO895" s="54"/>
      <c r="AP895" s="19"/>
      <c r="AQ895" s="1"/>
      <c r="AR895" s="74"/>
      <c r="AS895" s="42"/>
      <c r="AT895" s="54"/>
      <c r="AU895" s="54"/>
      <c r="AV895" s="19"/>
      <c r="AW895" s="54"/>
      <c r="AX895" s="57"/>
      <c r="AY895" s="54"/>
      <c r="AZ895" s="54"/>
      <c r="BA895" s="54"/>
      <c r="BB895" s="54"/>
      <c r="BC895" s="57"/>
      <c r="BD895" s="19"/>
      <c r="BE895" s="19"/>
      <c r="BF895" s="19"/>
      <c r="BG895" s="54"/>
      <c r="BI895" s="54"/>
      <c r="BJ895" s="55"/>
      <c r="BK895" s="55"/>
      <c r="BL895" s="54"/>
      <c r="BM895" s="56"/>
      <c r="BN895" s="56"/>
      <c r="BO895" s="52"/>
      <c r="BP895" s="52"/>
      <c r="BQ895" s="52"/>
      <c r="BR895" s="52"/>
      <c r="BS895" s="52"/>
      <c r="BT895" s="52"/>
      <c r="BU895" s="52"/>
      <c r="BV895" s="52"/>
      <c r="BW895" s="52"/>
      <c r="BX895" s="52"/>
      <c r="BY895" s="52"/>
      <c r="BZ895" s="52"/>
      <c r="CA895" s="52"/>
      <c r="CB895" s="52"/>
      <c r="CC895" s="52"/>
      <c r="CD895" s="52"/>
      <c r="CE895" s="52"/>
      <c r="CF895" s="52"/>
      <c r="CG895" s="52"/>
      <c r="CH895" s="52"/>
      <c r="CI895" s="52"/>
      <c r="CJ895" s="52"/>
      <c r="CK895" s="52"/>
      <c r="CL895" s="52"/>
      <c r="CM895" s="52"/>
      <c r="CN895" s="52"/>
      <c r="CO895" s="52"/>
      <c r="CP895" s="52"/>
      <c r="CQ895" s="52"/>
      <c r="CR895" s="52"/>
      <c r="CS895" s="52"/>
      <c r="CT895" s="52"/>
      <c r="CU895" s="52"/>
      <c r="CV895" s="52"/>
      <c r="CW895" s="52"/>
      <c r="CX895" s="52"/>
      <c r="CY895" s="52"/>
      <c r="CZ895" s="52"/>
      <c r="DA895" s="52"/>
      <c r="DB895" s="52"/>
      <c r="DC895" s="52"/>
      <c r="DD895" s="52"/>
      <c r="DE895" s="52"/>
      <c r="DF895" s="52"/>
      <c r="DG895" s="52"/>
      <c r="DH895" s="52"/>
      <c r="DI895" s="52"/>
      <c r="DJ895" s="52"/>
      <c r="DK895" s="52"/>
      <c r="DL895" s="52"/>
      <c r="DM895" s="52"/>
      <c r="DN895" s="52"/>
      <c r="DO895" s="52"/>
      <c r="DP895" s="52"/>
      <c r="DQ895" s="52"/>
      <c r="DR895" s="52"/>
      <c r="DS895" s="52"/>
      <c r="DT895" s="52"/>
      <c r="DU895" s="52"/>
      <c r="DV895" s="52"/>
      <c r="DW895" s="52"/>
      <c r="DX895" s="52"/>
      <c r="DZ895"/>
      <c r="EA895" s="19"/>
      <c r="EB895" s="19"/>
      <c r="EC895" s="9"/>
      <c r="ED895" s="9"/>
      <c r="EE895" s="9"/>
      <c r="EF895" s="9"/>
      <c r="EG895" s="9"/>
      <c r="EH895" s="13"/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3"/>
      <c r="FD895" s="13"/>
      <c r="FE895" s="13"/>
      <c r="FF895" s="13"/>
      <c r="FG895" s="13"/>
      <c r="FH895" s="13"/>
      <c r="FI895" s="13"/>
      <c r="FJ895" s="13"/>
      <c r="FK895" s="13"/>
      <c r="FL895" s="13"/>
      <c r="FM895" s="13"/>
      <c r="FN895" s="13"/>
      <c r="FO895" s="13"/>
      <c r="FP895" s="13"/>
      <c r="FQ895" s="13"/>
      <c r="FR895" s="13"/>
      <c r="FS895" s="13"/>
      <c r="FT895" s="13"/>
      <c r="FU895" s="13"/>
      <c r="FV895" s="13"/>
      <c r="FW895" s="13"/>
      <c r="FX895" s="13"/>
      <c r="FY895" s="13"/>
      <c r="FZ895" s="13"/>
      <c r="GA895" s="13"/>
    </row>
    <row r="896" spans="1:183" s="43" customFormat="1" x14ac:dyDescent="0.25">
      <c r="A896" s="2"/>
      <c r="B896" s="2"/>
      <c r="C896" s="9">
        <v>28</v>
      </c>
      <c r="D896" s="9">
        <v>39</v>
      </c>
      <c r="E896" s="9">
        <v>42</v>
      </c>
      <c r="F896" s="9">
        <v>68</v>
      </c>
      <c r="G896" s="9">
        <v>71</v>
      </c>
      <c r="H896" s="9">
        <v>74</v>
      </c>
      <c r="J896" s="9">
        <v>74</v>
      </c>
      <c r="L896" s="39">
        <v>44608</v>
      </c>
      <c r="N896"/>
      <c r="O896"/>
      <c r="P896"/>
      <c r="Q896"/>
      <c r="R896"/>
      <c r="S896"/>
      <c r="T896"/>
      <c r="U896"/>
      <c r="V896"/>
      <c r="W896" s="52"/>
      <c r="Y896"/>
      <c r="Z896"/>
      <c r="AA896"/>
      <c r="AB896"/>
      <c r="AC896"/>
      <c r="AD896"/>
      <c r="AE896"/>
      <c r="AF896"/>
      <c r="AG896"/>
      <c r="AH896" s="52"/>
      <c r="AI896" s="148"/>
      <c r="AJ896" s="19"/>
      <c r="AK896" s="19"/>
      <c r="AL896" s="19"/>
      <c r="AM896" s="19"/>
      <c r="AN896" s="42"/>
      <c r="AO896" s="54"/>
      <c r="AP896" s="19"/>
      <c r="AQ896" s="1"/>
      <c r="AR896" s="74"/>
      <c r="AS896" s="42"/>
      <c r="AT896" s="54"/>
      <c r="AU896" s="54"/>
      <c r="AV896" s="19"/>
      <c r="AW896" s="54"/>
      <c r="AX896" s="57"/>
      <c r="AY896" s="54"/>
      <c r="AZ896" s="54"/>
      <c r="BA896" s="54"/>
      <c r="BB896" s="54"/>
      <c r="BC896" s="57"/>
      <c r="BD896" s="19"/>
      <c r="BE896" s="19"/>
      <c r="BF896" s="19"/>
      <c r="BG896" s="54"/>
      <c r="BI896" s="54"/>
      <c r="BJ896" s="55"/>
      <c r="BK896" s="55"/>
      <c r="BL896" s="54"/>
      <c r="BM896" s="56"/>
      <c r="BN896" s="56"/>
      <c r="BO896" s="52"/>
      <c r="BP896" s="52"/>
      <c r="BQ896" s="52"/>
      <c r="BR896" s="52"/>
      <c r="BS896" s="52"/>
      <c r="BT896" s="52"/>
      <c r="BU896" s="52"/>
      <c r="BV896" s="52"/>
      <c r="BW896" s="52"/>
      <c r="BX896" s="52"/>
      <c r="BY896" s="52"/>
      <c r="BZ896" s="52"/>
      <c r="CA896" s="52"/>
      <c r="CB896" s="52"/>
      <c r="CC896" s="52"/>
      <c r="CD896" s="52"/>
      <c r="CE896" s="52"/>
      <c r="CF896" s="52"/>
      <c r="CG896" s="52"/>
      <c r="CH896" s="52"/>
      <c r="CI896" s="52"/>
      <c r="CJ896" s="52"/>
      <c r="CK896" s="52"/>
      <c r="CL896" s="52"/>
      <c r="CM896" s="52"/>
      <c r="CN896" s="52"/>
      <c r="CO896" s="52"/>
      <c r="CP896" s="52"/>
      <c r="CQ896" s="52"/>
      <c r="CR896" s="52"/>
      <c r="CS896" s="52"/>
      <c r="CT896" s="52"/>
      <c r="CU896" s="52"/>
      <c r="CV896" s="52"/>
      <c r="CW896" s="52"/>
      <c r="CX896" s="52"/>
      <c r="CY896" s="52"/>
      <c r="CZ896" s="52"/>
      <c r="DA896" s="52"/>
      <c r="DB896" s="52"/>
      <c r="DC896" s="52"/>
      <c r="DD896" s="52"/>
      <c r="DE896" s="52"/>
      <c r="DF896" s="52"/>
      <c r="DG896" s="52"/>
      <c r="DH896" s="52"/>
      <c r="DI896" s="52"/>
      <c r="DJ896" s="52"/>
      <c r="DK896" s="52"/>
      <c r="DL896" s="52"/>
      <c r="DM896" s="52"/>
      <c r="DN896" s="52"/>
      <c r="DO896" s="52"/>
      <c r="DP896" s="52"/>
      <c r="DQ896" s="52"/>
      <c r="DR896" s="52"/>
      <c r="DS896" s="52"/>
      <c r="DT896" s="52"/>
      <c r="DU896" s="52"/>
      <c r="DV896" s="52"/>
      <c r="DW896" s="52"/>
      <c r="DX896" s="52"/>
      <c r="DZ896"/>
      <c r="EA896" s="19"/>
      <c r="EB896" s="19"/>
      <c r="EC896" s="9"/>
      <c r="ED896" s="9"/>
      <c r="EE896" s="9"/>
      <c r="EF896" s="9"/>
      <c r="EG896" s="9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3"/>
      <c r="FD896" s="13"/>
      <c r="FE896" s="13"/>
      <c r="FF896" s="13"/>
      <c r="FG896" s="13"/>
      <c r="FH896" s="13"/>
      <c r="FI896" s="13"/>
      <c r="FJ896" s="13"/>
      <c r="FK896" s="13"/>
      <c r="FL896" s="13"/>
      <c r="FM896" s="13"/>
      <c r="FN896" s="13"/>
      <c r="FO896" s="13"/>
      <c r="FP896" s="13"/>
      <c r="FQ896" s="13"/>
      <c r="FR896" s="13"/>
      <c r="FS896" s="13"/>
      <c r="FT896" s="13"/>
      <c r="FU896" s="13"/>
      <c r="FV896" s="13"/>
      <c r="FW896" s="13"/>
      <c r="FX896" s="13"/>
      <c r="FY896" s="13"/>
      <c r="FZ896" s="13"/>
      <c r="GA896" s="13"/>
    </row>
    <row r="897" spans="1:183" s="43" customFormat="1" x14ac:dyDescent="0.25">
      <c r="A897" s="2"/>
      <c r="B897" s="2"/>
      <c r="C897" s="9">
        <v>23</v>
      </c>
      <c r="D897" s="9">
        <v>25</v>
      </c>
      <c r="E897" s="9">
        <v>37</v>
      </c>
      <c r="F897" s="9">
        <v>43</v>
      </c>
      <c r="G897" s="9">
        <v>45</v>
      </c>
      <c r="H897" s="9">
        <v>67</v>
      </c>
      <c r="J897" s="9">
        <v>67</v>
      </c>
      <c r="L897" s="39">
        <v>44606</v>
      </c>
      <c r="N897"/>
      <c r="O897"/>
      <c r="P897"/>
      <c r="Q897"/>
      <c r="R897"/>
      <c r="S897"/>
      <c r="T897"/>
      <c r="U897"/>
      <c r="V897"/>
      <c r="W897" s="52"/>
      <c r="Y897"/>
      <c r="Z897"/>
      <c r="AA897"/>
      <c r="AB897"/>
      <c r="AC897"/>
      <c r="AD897"/>
      <c r="AE897"/>
      <c r="AF897"/>
      <c r="AG897"/>
      <c r="AH897" s="52"/>
      <c r="AI897" s="148"/>
      <c r="AJ897" s="19"/>
      <c r="AK897" s="19"/>
      <c r="AL897" s="19"/>
      <c r="AM897" s="19"/>
      <c r="AN897" s="42"/>
      <c r="AO897" s="54"/>
      <c r="AP897" s="19"/>
      <c r="AQ897" s="1"/>
      <c r="AR897" s="74"/>
      <c r="AS897" s="42"/>
      <c r="AT897" s="54"/>
      <c r="AU897" s="54"/>
      <c r="AV897" s="19"/>
      <c r="AW897" s="54"/>
      <c r="AX897" s="57"/>
      <c r="AY897" s="54"/>
      <c r="AZ897" s="54"/>
      <c r="BA897" s="54"/>
      <c r="BB897" s="54"/>
      <c r="BC897" s="57"/>
      <c r="BD897" s="19"/>
      <c r="BE897" s="19"/>
      <c r="BF897" s="19"/>
      <c r="BG897" s="54"/>
      <c r="BI897" s="54"/>
      <c r="BJ897" s="55"/>
      <c r="BK897" s="55"/>
      <c r="BL897" s="54"/>
      <c r="BM897" s="56"/>
      <c r="BN897" s="56"/>
      <c r="BO897" s="52"/>
      <c r="BP897" s="52"/>
      <c r="BQ897" s="52"/>
      <c r="BR897" s="52"/>
      <c r="BS897" s="52"/>
      <c r="BT897" s="52"/>
      <c r="BU897" s="52"/>
      <c r="BV897" s="52"/>
      <c r="BW897" s="52"/>
      <c r="BX897" s="52"/>
      <c r="BY897" s="52"/>
      <c r="BZ897" s="52"/>
      <c r="CA897" s="52"/>
      <c r="CB897" s="52"/>
      <c r="CC897" s="52"/>
      <c r="CD897" s="52"/>
      <c r="CE897" s="52"/>
      <c r="CF897" s="52"/>
      <c r="CG897" s="52"/>
      <c r="CH897" s="52"/>
      <c r="CI897" s="52"/>
      <c r="CJ897" s="52"/>
      <c r="CK897" s="52"/>
      <c r="CL897" s="52"/>
      <c r="CM897" s="52"/>
      <c r="CN897" s="52"/>
      <c r="CO897" s="52"/>
      <c r="CP897" s="52"/>
      <c r="CQ897" s="52"/>
      <c r="CR897" s="52"/>
      <c r="CS897" s="52"/>
      <c r="CT897" s="52"/>
      <c r="CU897" s="52"/>
      <c r="CV897" s="52"/>
      <c r="CW897" s="52"/>
      <c r="CX897" s="52"/>
      <c r="CY897" s="52"/>
      <c r="CZ897" s="52"/>
      <c r="DA897" s="52"/>
      <c r="DB897" s="52"/>
      <c r="DC897" s="52"/>
      <c r="DD897" s="52"/>
      <c r="DE897" s="52"/>
      <c r="DF897" s="52"/>
      <c r="DG897" s="52"/>
      <c r="DH897" s="52"/>
      <c r="DI897" s="52"/>
      <c r="DJ897" s="52"/>
      <c r="DK897" s="52"/>
      <c r="DL897" s="52"/>
      <c r="DM897" s="52"/>
      <c r="DN897" s="52"/>
      <c r="DO897" s="52"/>
      <c r="DP897" s="52"/>
      <c r="DQ897" s="52"/>
      <c r="DR897" s="52"/>
      <c r="DS897" s="52"/>
      <c r="DT897" s="52"/>
      <c r="DU897" s="52"/>
      <c r="DV897" s="52"/>
      <c r="DW897" s="52"/>
      <c r="DX897" s="52"/>
      <c r="DZ897"/>
      <c r="EA897" s="19"/>
      <c r="EB897" s="19"/>
      <c r="EC897" s="9"/>
      <c r="ED897" s="9"/>
      <c r="EE897" s="9"/>
      <c r="EF897" s="9"/>
      <c r="EG897" s="9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  <c r="FI897" s="13"/>
      <c r="FJ897" s="13"/>
      <c r="FK897" s="13"/>
      <c r="FL897" s="13"/>
      <c r="FM897" s="13"/>
      <c r="FN897" s="13"/>
      <c r="FO897" s="13"/>
      <c r="FP897" s="13"/>
      <c r="FQ897" s="13"/>
      <c r="FR897" s="13"/>
      <c r="FS897" s="13"/>
      <c r="FT897" s="13"/>
      <c r="FU897" s="13"/>
      <c r="FV897" s="13"/>
      <c r="FW897" s="13"/>
      <c r="FX897" s="13"/>
      <c r="FY897" s="13"/>
      <c r="FZ897" s="13"/>
      <c r="GA897" s="13"/>
    </row>
    <row r="898" spans="1:183" s="43" customFormat="1" x14ac:dyDescent="0.25">
      <c r="A898" s="2"/>
      <c r="B898" s="2"/>
      <c r="C898" s="9">
        <v>9</v>
      </c>
      <c r="D898" s="9">
        <v>29</v>
      </c>
      <c r="E898" s="9">
        <v>43</v>
      </c>
      <c r="F898" s="9">
        <v>60</v>
      </c>
      <c r="G898" s="9">
        <v>68</v>
      </c>
      <c r="H898" s="9">
        <v>69</v>
      </c>
      <c r="J898" s="9">
        <v>69</v>
      </c>
      <c r="L898" s="39">
        <v>44601</v>
      </c>
      <c r="N898"/>
      <c r="O898"/>
      <c r="P898"/>
      <c r="Q898"/>
      <c r="R898"/>
      <c r="S898"/>
      <c r="T898"/>
      <c r="U898"/>
      <c r="V898"/>
      <c r="W898" s="52"/>
      <c r="Y898"/>
      <c r="Z898"/>
      <c r="AA898"/>
      <c r="AB898"/>
      <c r="AC898"/>
      <c r="AD898"/>
      <c r="AE898"/>
      <c r="AF898"/>
      <c r="AG898"/>
      <c r="AH898" s="52"/>
      <c r="AI898" s="148"/>
      <c r="AJ898" s="19"/>
      <c r="AK898" s="19"/>
      <c r="AL898" s="19"/>
      <c r="AM898" s="19"/>
      <c r="AN898" s="42"/>
      <c r="AO898" s="54"/>
      <c r="AP898" s="19"/>
      <c r="AQ898" s="1"/>
      <c r="AR898" s="74"/>
      <c r="AS898" s="42"/>
      <c r="AT898" s="54"/>
      <c r="AU898" s="54"/>
      <c r="AV898" s="19"/>
      <c r="AW898" s="54"/>
      <c r="AX898" s="57"/>
      <c r="AY898" s="54"/>
      <c r="AZ898" s="54"/>
      <c r="BA898" s="54"/>
      <c r="BB898" s="54"/>
      <c r="BC898" s="57"/>
      <c r="BD898" s="19"/>
      <c r="BE898" s="19"/>
      <c r="BF898" s="19"/>
      <c r="BG898" s="54"/>
      <c r="BI898" s="54"/>
      <c r="BJ898" s="55"/>
      <c r="BK898" s="55"/>
      <c r="BL898" s="54"/>
      <c r="BM898" s="56"/>
      <c r="BN898" s="56"/>
      <c r="BO898" s="52"/>
      <c r="BP898" s="52"/>
      <c r="BQ898" s="52"/>
      <c r="BR898" s="52"/>
      <c r="BS898" s="52"/>
      <c r="BT898" s="52"/>
      <c r="BU898" s="52"/>
      <c r="BV898" s="52"/>
      <c r="BW898" s="52"/>
      <c r="BX898" s="52"/>
      <c r="BY898" s="52"/>
      <c r="BZ898" s="52"/>
      <c r="CA898" s="52"/>
      <c r="CB898" s="52"/>
      <c r="CC898" s="52"/>
      <c r="CD898" s="52"/>
      <c r="CE898" s="52"/>
      <c r="CF898" s="52"/>
      <c r="CG898" s="52"/>
      <c r="CH898" s="52"/>
      <c r="CI898" s="52"/>
      <c r="CJ898" s="52"/>
      <c r="CK898" s="52"/>
      <c r="CL898" s="52"/>
      <c r="CM898" s="52"/>
      <c r="CN898" s="52"/>
      <c r="CO898" s="52"/>
      <c r="CP898" s="52"/>
      <c r="CQ898" s="52"/>
      <c r="CR898" s="52"/>
      <c r="CS898" s="52"/>
      <c r="CT898" s="52"/>
      <c r="CU898" s="52"/>
      <c r="CV898" s="52"/>
      <c r="CW898" s="52"/>
      <c r="CX898" s="52"/>
      <c r="CY898" s="52"/>
      <c r="CZ898" s="52"/>
      <c r="DA898" s="52"/>
      <c r="DB898" s="52"/>
      <c r="DC898" s="52"/>
      <c r="DD898" s="52"/>
      <c r="DE898" s="52"/>
      <c r="DF898" s="52"/>
      <c r="DG898" s="52"/>
      <c r="DH898" s="52"/>
      <c r="DI898" s="52"/>
      <c r="DJ898" s="52"/>
      <c r="DK898" s="52"/>
      <c r="DL898" s="52"/>
      <c r="DM898" s="52"/>
      <c r="DN898" s="52"/>
      <c r="DO898" s="52"/>
      <c r="DP898" s="52"/>
      <c r="DQ898" s="52"/>
      <c r="DR898" s="52"/>
      <c r="DS898" s="52"/>
      <c r="DT898" s="52"/>
      <c r="DU898" s="52"/>
      <c r="DV898" s="52"/>
      <c r="DW898" s="52"/>
      <c r="DX898" s="52"/>
      <c r="DZ898"/>
      <c r="EA898" s="19"/>
      <c r="EB898" s="19"/>
      <c r="EC898" s="9"/>
      <c r="ED898" s="9"/>
      <c r="EE898" s="9"/>
      <c r="EF898" s="9"/>
      <c r="EG898" s="9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  <c r="FI898" s="13"/>
      <c r="FJ898" s="13"/>
      <c r="FK898" s="13"/>
      <c r="FL898" s="13"/>
      <c r="FM898" s="13"/>
      <c r="FN898" s="13"/>
      <c r="FO898" s="13"/>
      <c r="FP898" s="13"/>
      <c r="FQ898" s="13"/>
      <c r="FR898" s="13"/>
      <c r="FS898" s="13"/>
      <c r="FT898" s="13"/>
      <c r="FU898" s="13"/>
      <c r="FV898" s="13"/>
      <c r="FW898" s="13"/>
      <c r="FX898" s="13"/>
      <c r="FY898" s="13"/>
      <c r="FZ898" s="13"/>
      <c r="GA898" s="13"/>
    </row>
    <row r="899" spans="1:183" s="43" customFormat="1" x14ac:dyDescent="0.25">
      <c r="A899" s="2"/>
      <c r="B899" s="2"/>
      <c r="C899" s="9">
        <v>1</v>
      </c>
      <c r="D899" s="9">
        <v>12</v>
      </c>
      <c r="E899" s="9">
        <v>51</v>
      </c>
      <c r="F899" s="9">
        <v>57</v>
      </c>
      <c r="G899" s="9">
        <v>64</v>
      </c>
      <c r="H899" s="9">
        <v>76</v>
      </c>
      <c r="J899" s="9">
        <v>76</v>
      </c>
      <c r="L899" s="39">
        <v>44599</v>
      </c>
      <c r="N899"/>
      <c r="O899"/>
      <c r="P899"/>
      <c r="Q899"/>
      <c r="R899"/>
      <c r="S899"/>
      <c r="T899"/>
      <c r="U899"/>
      <c r="V899"/>
      <c r="W899" s="52"/>
      <c r="Y899"/>
      <c r="Z899"/>
      <c r="AA899"/>
      <c r="AB899"/>
      <c r="AC899"/>
      <c r="AD899"/>
      <c r="AE899"/>
      <c r="AF899"/>
      <c r="AG899"/>
      <c r="AH899" s="52"/>
      <c r="AI899" s="148"/>
      <c r="AJ899" s="19"/>
      <c r="AK899" s="19"/>
      <c r="AL899" s="19"/>
      <c r="AM899" s="19"/>
      <c r="AN899" s="42"/>
      <c r="AO899" s="54"/>
      <c r="AP899" s="19"/>
      <c r="AQ899" s="1"/>
      <c r="AR899" s="74"/>
      <c r="AS899" s="42"/>
      <c r="AT899" s="54"/>
      <c r="AU899" s="54"/>
      <c r="AV899" s="19"/>
      <c r="AW899" s="54"/>
      <c r="AX899" s="57"/>
      <c r="AY899" s="54"/>
      <c r="AZ899" s="54"/>
      <c r="BA899" s="54"/>
      <c r="BB899" s="54"/>
      <c r="BC899" s="57"/>
      <c r="BD899" s="19"/>
      <c r="BE899" s="19"/>
      <c r="BF899" s="19"/>
      <c r="BG899" s="54"/>
      <c r="BI899" s="54"/>
      <c r="BJ899" s="55"/>
      <c r="BK899" s="55"/>
      <c r="BL899" s="54"/>
      <c r="BM899" s="56"/>
      <c r="BN899" s="56"/>
      <c r="BO899" s="52"/>
      <c r="BP899" s="52"/>
      <c r="BQ899" s="52"/>
      <c r="BR899" s="52"/>
      <c r="BS899" s="52"/>
      <c r="BT899" s="52"/>
      <c r="BU899" s="52"/>
      <c r="BV899" s="52"/>
      <c r="BW899" s="52"/>
      <c r="BX899" s="52"/>
      <c r="BY899" s="52"/>
      <c r="BZ899" s="52"/>
      <c r="CA899" s="52"/>
      <c r="CB899" s="52"/>
      <c r="CC899" s="52"/>
      <c r="CD899" s="52"/>
      <c r="CE899" s="52"/>
      <c r="CF899" s="52"/>
      <c r="CG899" s="52"/>
      <c r="CH899" s="52"/>
      <c r="CI899" s="52"/>
      <c r="CJ899" s="52"/>
      <c r="CK899" s="52"/>
      <c r="CL899" s="52"/>
      <c r="CM899" s="52"/>
      <c r="CN899" s="52"/>
      <c r="CO899" s="52"/>
      <c r="CP899" s="52"/>
      <c r="CQ899" s="52"/>
      <c r="CR899" s="52"/>
      <c r="CS899" s="52"/>
      <c r="CT899" s="52"/>
      <c r="CU899" s="52"/>
      <c r="CV899" s="52"/>
      <c r="CW899" s="52"/>
      <c r="CX899" s="52"/>
      <c r="CY899" s="52"/>
      <c r="CZ899" s="52"/>
      <c r="DA899" s="52"/>
      <c r="DB899" s="52"/>
      <c r="DC899" s="52"/>
      <c r="DD899" s="52"/>
      <c r="DE899" s="52"/>
      <c r="DF899" s="52"/>
      <c r="DG899" s="52"/>
      <c r="DH899" s="52"/>
      <c r="DI899" s="52"/>
      <c r="DJ899" s="52"/>
      <c r="DK899" s="52"/>
      <c r="DL899" s="52"/>
      <c r="DM899" s="52"/>
      <c r="DN899" s="52"/>
      <c r="DO899" s="52"/>
      <c r="DP899" s="52"/>
      <c r="DQ899" s="52"/>
      <c r="DR899" s="52"/>
      <c r="DS899" s="52"/>
      <c r="DT899" s="52"/>
      <c r="DU899" s="52"/>
      <c r="DV899" s="52"/>
      <c r="DW899" s="52"/>
      <c r="DX899" s="52"/>
      <c r="DZ899"/>
      <c r="EA899" s="19"/>
      <c r="EB899" s="19"/>
      <c r="EC899" s="9"/>
      <c r="ED899" s="9"/>
      <c r="EE899" s="9"/>
      <c r="EF899" s="9"/>
      <c r="EG899" s="9"/>
      <c r="EH899" s="13"/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3"/>
      <c r="FD899" s="13"/>
      <c r="FE899" s="13"/>
      <c r="FF899" s="13"/>
      <c r="FG899" s="13"/>
      <c r="FH899" s="13"/>
      <c r="FI899" s="13"/>
      <c r="FJ899" s="13"/>
      <c r="FK899" s="13"/>
      <c r="FL899" s="13"/>
      <c r="FM899" s="13"/>
      <c r="FN899" s="13"/>
      <c r="FO899" s="13"/>
      <c r="FP899" s="13"/>
      <c r="FQ899" s="13"/>
      <c r="FR899" s="13"/>
      <c r="FS899" s="13"/>
      <c r="FT899" s="13"/>
      <c r="FU899" s="13"/>
      <c r="FV899" s="13"/>
      <c r="FW899" s="13"/>
      <c r="FX899" s="13"/>
      <c r="FY899" s="13"/>
      <c r="FZ899" s="13"/>
      <c r="GA899" s="13"/>
    </row>
    <row r="900" spans="1:183" s="43" customFormat="1" x14ac:dyDescent="0.25">
      <c r="A900" s="2"/>
      <c r="B900" s="2"/>
      <c r="C900" s="9">
        <v>6</v>
      </c>
      <c r="D900" s="9">
        <v>12</v>
      </c>
      <c r="E900" s="9">
        <v>66</v>
      </c>
      <c r="F900" s="9">
        <v>75</v>
      </c>
      <c r="G900" s="9">
        <v>76</v>
      </c>
      <c r="H900" s="9">
        <v>78</v>
      </c>
      <c r="J900" s="9">
        <v>78</v>
      </c>
      <c r="L900" s="39">
        <v>44597</v>
      </c>
      <c r="N900"/>
      <c r="O900"/>
      <c r="P900"/>
      <c r="Q900"/>
      <c r="R900"/>
      <c r="S900"/>
      <c r="T900"/>
      <c r="U900"/>
      <c r="V900"/>
      <c r="W900" s="52"/>
      <c r="Y900"/>
      <c r="Z900"/>
      <c r="AA900"/>
      <c r="AB900"/>
      <c r="AC900"/>
      <c r="AD900"/>
      <c r="AE900"/>
      <c r="AF900"/>
      <c r="AG900"/>
      <c r="AH900" s="52"/>
      <c r="AI900" s="148"/>
      <c r="AJ900" s="19"/>
      <c r="AK900" s="19"/>
      <c r="AL900" s="19"/>
      <c r="AM900" s="19"/>
      <c r="AN900" s="42"/>
      <c r="AO900" s="54"/>
      <c r="AP900" s="19"/>
      <c r="AQ900" s="1"/>
      <c r="AR900" s="74"/>
      <c r="AS900" s="42"/>
      <c r="AT900" s="54"/>
      <c r="AU900" s="54"/>
      <c r="AV900" s="19"/>
      <c r="AW900" s="54"/>
      <c r="AX900" s="57"/>
      <c r="AY900" s="54"/>
      <c r="AZ900" s="54"/>
      <c r="BA900" s="54"/>
      <c r="BB900" s="54"/>
      <c r="BC900" s="57"/>
      <c r="BD900" s="19"/>
      <c r="BE900" s="19"/>
      <c r="BF900" s="19"/>
      <c r="BG900" s="54"/>
      <c r="BI900" s="54"/>
      <c r="BJ900" s="55"/>
      <c r="BK900" s="55"/>
      <c r="BL900" s="54"/>
      <c r="BM900" s="56"/>
      <c r="BN900" s="56"/>
      <c r="BO900" s="52"/>
      <c r="BP900" s="52"/>
      <c r="BQ900" s="52"/>
      <c r="BR900" s="52"/>
      <c r="BS900" s="52"/>
      <c r="BT900" s="52"/>
      <c r="BU900" s="52"/>
      <c r="BV900" s="52"/>
      <c r="BW900" s="52"/>
      <c r="BX900" s="52"/>
      <c r="BY900" s="52"/>
      <c r="BZ900" s="52"/>
      <c r="CA900" s="52"/>
      <c r="CB900" s="52"/>
      <c r="CC900" s="52"/>
      <c r="CD900" s="52"/>
      <c r="CE900" s="52"/>
      <c r="CF900" s="52"/>
      <c r="CG900" s="52"/>
      <c r="CH900" s="52"/>
      <c r="CI900" s="52"/>
      <c r="CJ900" s="52"/>
      <c r="CK900" s="52"/>
      <c r="CL900" s="52"/>
      <c r="CM900" s="52"/>
      <c r="CN900" s="52"/>
      <c r="CO900" s="52"/>
      <c r="CP900" s="52"/>
      <c r="CQ900" s="52"/>
      <c r="CR900" s="52"/>
      <c r="CS900" s="52"/>
      <c r="CT900" s="52"/>
      <c r="CU900" s="52"/>
      <c r="CV900" s="52"/>
      <c r="CW900" s="52"/>
      <c r="CX900" s="52"/>
      <c r="CY900" s="52"/>
      <c r="CZ900" s="52"/>
      <c r="DA900" s="52"/>
      <c r="DB900" s="52"/>
      <c r="DC900" s="52"/>
      <c r="DD900" s="52"/>
      <c r="DE900" s="52"/>
      <c r="DF900" s="52"/>
      <c r="DG900" s="52"/>
      <c r="DH900" s="52"/>
      <c r="DI900" s="52"/>
      <c r="DJ900" s="52"/>
      <c r="DK900" s="52"/>
      <c r="DL900" s="52"/>
      <c r="DM900" s="52"/>
      <c r="DN900" s="52"/>
      <c r="DO900" s="52"/>
      <c r="DP900" s="52"/>
      <c r="DQ900" s="52"/>
      <c r="DR900" s="52"/>
      <c r="DS900" s="52"/>
      <c r="DT900" s="52"/>
      <c r="DU900" s="52"/>
      <c r="DV900" s="52"/>
      <c r="DW900" s="52"/>
      <c r="DX900" s="52"/>
      <c r="DZ900"/>
      <c r="EA900" s="19"/>
      <c r="EB900" s="19"/>
      <c r="EC900" s="9"/>
      <c r="ED900" s="9"/>
      <c r="EE900" s="9"/>
      <c r="EF900" s="9"/>
      <c r="EG900" s="9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3"/>
      <c r="FD900" s="13"/>
      <c r="FE900" s="13"/>
      <c r="FF900" s="13"/>
      <c r="FG900" s="13"/>
      <c r="FH900" s="13"/>
      <c r="FI900" s="13"/>
      <c r="FJ900" s="13"/>
      <c r="FK900" s="13"/>
      <c r="FL900" s="13"/>
      <c r="FM900" s="13"/>
      <c r="FN900" s="13"/>
      <c r="FO900" s="13"/>
      <c r="FP900" s="13"/>
      <c r="FQ900" s="13"/>
      <c r="FR900" s="13"/>
      <c r="FS900" s="13"/>
      <c r="FT900" s="13"/>
      <c r="FU900" s="13"/>
      <c r="FV900" s="13"/>
      <c r="FW900" s="13"/>
      <c r="FX900" s="13"/>
      <c r="FY900" s="13"/>
      <c r="FZ900" s="13"/>
      <c r="GA900" s="13"/>
    </row>
    <row r="901" spans="1:183" s="43" customFormat="1" x14ac:dyDescent="0.25">
      <c r="A901" s="2"/>
      <c r="B901" s="2"/>
      <c r="C901" s="9">
        <v>31</v>
      </c>
      <c r="D901" s="9">
        <v>38</v>
      </c>
      <c r="E901" s="9">
        <v>40</v>
      </c>
      <c r="F901" s="9">
        <v>42</v>
      </c>
      <c r="G901" s="9">
        <v>50</v>
      </c>
      <c r="H901" s="9">
        <v>71</v>
      </c>
      <c r="J901" s="9">
        <v>71</v>
      </c>
      <c r="L901" s="39">
        <v>44594</v>
      </c>
      <c r="N901"/>
      <c r="O901"/>
      <c r="P901"/>
      <c r="Q901"/>
      <c r="R901"/>
      <c r="S901"/>
      <c r="T901"/>
      <c r="U901"/>
      <c r="V901"/>
      <c r="W901" s="52"/>
      <c r="Y901"/>
      <c r="Z901"/>
      <c r="AA901"/>
      <c r="AB901"/>
      <c r="AC901"/>
      <c r="AD901"/>
      <c r="AE901"/>
      <c r="AF901"/>
      <c r="AG901"/>
      <c r="AH901" s="52"/>
      <c r="AI901" s="148"/>
      <c r="AJ901" s="19"/>
      <c r="AK901" s="19"/>
      <c r="AL901" s="19"/>
      <c r="AM901" s="19"/>
      <c r="AN901" s="42"/>
      <c r="AO901" s="54"/>
      <c r="AP901" s="19"/>
      <c r="AQ901" s="1"/>
      <c r="AR901" s="74"/>
      <c r="AS901" s="42"/>
      <c r="AT901" s="54"/>
      <c r="AU901" s="54"/>
      <c r="AV901" s="19"/>
      <c r="AW901" s="54"/>
      <c r="AX901" s="57"/>
      <c r="AY901" s="54"/>
      <c r="AZ901" s="54"/>
      <c r="BA901" s="54"/>
      <c r="BB901" s="54"/>
      <c r="BC901" s="57"/>
      <c r="BD901" s="19"/>
      <c r="BE901" s="19"/>
      <c r="BF901" s="19"/>
      <c r="BG901" s="54"/>
      <c r="BI901" s="54"/>
      <c r="BJ901" s="55"/>
      <c r="BK901" s="55"/>
      <c r="BL901" s="54"/>
      <c r="BM901" s="56"/>
      <c r="BN901" s="56"/>
      <c r="BO901" s="52"/>
      <c r="BP901" s="52"/>
      <c r="BQ901" s="52"/>
      <c r="BR901" s="52"/>
      <c r="BS901" s="52"/>
      <c r="BT901" s="52"/>
      <c r="BU901" s="52"/>
      <c r="BV901" s="52"/>
      <c r="BW901" s="52"/>
      <c r="BX901" s="52"/>
      <c r="BY901" s="52"/>
      <c r="BZ901" s="52"/>
      <c r="CA901" s="52"/>
      <c r="CB901" s="52"/>
      <c r="CC901" s="52"/>
      <c r="CD901" s="52"/>
      <c r="CE901" s="52"/>
      <c r="CF901" s="52"/>
      <c r="CG901" s="52"/>
      <c r="CH901" s="52"/>
      <c r="CI901" s="52"/>
      <c r="CJ901" s="52"/>
      <c r="CK901" s="52"/>
      <c r="CL901" s="52"/>
      <c r="CM901" s="52"/>
      <c r="CN901" s="52"/>
      <c r="CO901" s="52"/>
      <c r="CP901" s="52"/>
      <c r="CQ901" s="52"/>
      <c r="CR901" s="52"/>
      <c r="CS901" s="52"/>
      <c r="CT901" s="52"/>
      <c r="CU901" s="52"/>
      <c r="CV901" s="52"/>
      <c r="CW901" s="52"/>
      <c r="CX901" s="52"/>
      <c r="CY901" s="52"/>
      <c r="CZ901" s="52"/>
      <c r="DA901" s="52"/>
      <c r="DB901" s="52"/>
      <c r="DC901" s="52"/>
      <c r="DD901" s="52"/>
      <c r="DE901" s="52"/>
      <c r="DF901" s="52"/>
      <c r="DG901" s="52"/>
      <c r="DH901" s="52"/>
      <c r="DI901" s="52"/>
      <c r="DJ901" s="52"/>
      <c r="DK901" s="52"/>
      <c r="DL901" s="52"/>
      <c r="DM901" s="52"/>
      <c r="DN901" s="52"/>
      <c r="DO901" s="52"/>
      <c r="DP901" s="52"/>
      <c r="DQ901" s="52"/>
      <c r="DR901" s="52"/>
      <c r="DS901" s="52"/>
      <c r="DT901" s="52"/>
      <c r="DU901" s="52"/>
      <c r="DV901" s="52"/>
      <c r="DW901" s="52"/>
      <c r="DX901" s="52"/>
      <c r="DZ901"/>
      <c r="EA901" s="19"/>
      <c r="EB901" s="19"/>
      <c r="EC901" s="9"/>
      <c r="ED901" s="9"/>
      <c r="EE901" s="9"/>
      <c r="EF901" s="9"/>
      <c r="EG901" s="9"/>
      <c r="EH901" s="13"/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3"/>
      <c r="FD901" s="13"/>
      <c r="FE901" s="13"/>
      <c r="FF901" s="13"/>
      <c r="FG901" s="13"/>
      <c r="FH901" s="13"/>
      <c r="FI901" s="13"/>
      <c r="FJ901" s="13"/>
      <c r="FK901" s="13"/>
      <c r="FL901" s="13"/>
      <c r="FM901" s="13"/>
      <c r="FN901" s="13"/>
      <c r="FO901" s="13"/>
      <c r="FP901" s="13"/>
      <c r="FQ901" s="13"/>
      <c r="FR901" s="13"/>
      <c r="FS901" s="13"/>
      <c r="FT901" s="13"/>
      <c r="FU901" s="13"/>
      <c r="FV901" s="13"/>
      <c r="FW901" s="13"/>
      <c r="FX901" s="13"/>
      <c r="FY901" s="13"/>
      <c r="FZ901" s="13"/>
      <c r="GA901" s="13"/>
    </row>
    <row r="902" spans="1:183" s="43" customFormat="1" x14ac:dyDescent="0.25">
      <c r="A902" s="2"/>
      <c r="B902" s="2"/>
      <c r="C902" s="9">
        <v>17</v>
      </c>
      <c r="D902" s="9">
        <v>28</v>
      </c>
      <c r="E902" s="9">
        <v>44</v>
      </c>
      <c r="F902" s="9">
        <v>59</v>
      </c>
      <c r="G902" s="9">
        <v>66</v>
      </c>
      <c r="H902" s="9">
        <v>80</v>
      </c>
      <c r="J902" s="9">
        <v>80</v>
      </c>
      <c r="L902" s="39">
        <v>44592</v>
      </c>
      <c r="N902"/>
      <c r="O902"/>
      <c r="P902"/>
      <c r="Q902"/>
      <c r="R902"/>
      <c r="S902"/>
      <c r="T902"/>
      <c r="U902"/>
      <c r="V902"/>
      <c r="W902" s="52"/>
      <c r="Y902"/>
      <c r="Z902"/>
      <c r="AA902"/>
      <c r="AB902"/>
      <c r="AC902"/>
      <c r="AD902"/>
      <c r="AE902"/>
      <c r="AF902"/>
      <c r="AG902"/>
      <c r="AH902" s="52"/>
      <c r="AI902" s="148"/>
      <c r="AJ902" s="19"/>
      <c r="AK902" s="19"/>
      <c r="AL902" s="19"/>
      <c r="AM902" s="19"/>
      <c r="AN902" s="42"/>
      <c r="AO902" s="54"/>
      <c r="AP902" s="19"/>
      <c r="AQ902" s="1"/>
      <c r="AR902" s="74"/>
      <c r="AS902" s="42"/>
      <c r="AT902" s="54"/>
      <c r="AU902" s="54"/>
      <c r="AV902" s="19"/>
      <c r="AW902" s="54"/>
      <c r="AX902" s="57"/>
      <c r="AY902" s="54"/>
      <c r="AZ902" s="54"/>
      <c r="BA902" s="54"/>
      <c r="BB902" s="54"/>
      <c r="BC902" s="57"/>
      <c r="BD902" s="19"/>
      <c r="BE902" s="19"/>
      <c r="BF902" s="19"/>
      <c r="BG902" s="54"/>
      <c r="BI902" s="54"/>
      <c r="BJ902" s="55"/>
      <c r="BK902" s="55"/>
      <c r="BL902" s="54"/>
      <c r="BM902" s="56"/>
      <c r="BN902" s="56"/>
      <c r="BO902" s="52"/>
      <c r="BP902" s="52"/>
      <c r="BQ902" s="52"/>
      <c r="BR902" s="52"/>
      <c r="BS902" s="52"/>
      <c r="BT902" s="52"/>
      <c r="BU902" s="52"/>
      <c r="BV902" s="52"/>
      <c r="BW902" s="52"/>
      <c r="BX902" s="52"/>
      <c r="BY902" s="52"/>
      <c r="BZ902" s="52"/>
      <c r="CA902" s="52"/>
      <c r="CB902" s="52"/>
      <c r="CC902" s="52"/>
      <c r="CD902" s="52"/>
      <c r="CE902" s="52"/>
      <c r="CF902" s="52"/>
      <c r="CG902" s="52"/>
      <c r="CH902" s="52"/>
      <c r="CI902" s="52"/>
      <c r="CJ902" s="52"/>
      <c r="CK902" s="52"/>
      <c r="CL902" s="52"/>
      <c r="CM902" s="52"/>
      <c r="CN902" s="52"/>
      <c r="CO902" s="52"/>
      <c r="CP902" s="52"/>
      <c r="CQ902" s="52"/>
      <c r="CR902" s="52"/>
      <c r="CS902" s="52"/>
      <c r="CT902" s="52"/>
      <c r="CU902" s="52"/>
      <c r="CV902" s="52"/>
      <c r="CW902" s="52"/>
      <c r="CX902" s="52"/>
      <c r="CY902" s="52"/>
      <c r="CZ902" s="52"/>
      <c r="DA902" s="52"/>
      <c r="DB902" s="52"/>
      <c r="DC902" s="52"/>
      <c r="DD902" s="52"/>
      <c r="DE902" s="52"/>
      <c r="DF902" s="52"/>
      <c r="DG902" s="52"/>
      <c r="DH902" s="52"/>
      <c r="DI902" s="52"/>
      <c r="DJ902" s="52"/>
      <c r="DK902" s="52"/>
      <c r="DL902" s="52"/>
      <c r="DM902" s="52"/>
      <c r="DN902" s="52"/>
      <c r="DO902" s="52"/>
      <c r="DP902" s="52"/>
      <c r="DQ902" s="52"/>
      <c r="DR902" s="52"/>
      <c r="DS902" s="52"/>
      <c r="DT902" s="52"/>
      <c r="DU902" s="52"/>
      <c r="DV902" s="52"/>
      <c r="DW902" s="52"/>
      <c r="DX902" s="52"/>
      <c r="DZ902"/>
      <c r="EA902" s="19"/>
      <c r="EB902" s="19"/>
      <c r="EC902" s="9"/>
      <c r="ED902" s="9"/>
      <c r="EE902" s="9"/>
      <c r="EF902" s="9"/>
      <c r="EG902" s="9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3"/>
      <c r="FD902" s="13"/>
      <c r="FE902" s="13"/>
      <c r="FF902" s="13"/>
      <c r="FG902" s="13"/>
      <c r="FH902" s="13"/>
      <c r="FI902" s="13"/>
      <c r="FJ902" s="13"/>
      <c r="FK902" s="13"/>
      <c r="FL902" s="13"/>
      <c r="FM902" s="13"/>
      <c r="FN902" s="13"/>
      <c r="FO902" s="13"/>
      <c r="FP902" s="13"/>
      <c r="FQ902" s="13"/>
      <c r="FR902" s="13"/>
      <c r="FS902" s="13"/>
      <c r="FT902" s="13"/>
      <c r="FU902" s="13"/>
      <c r="FV902" s="13"/>
      <c r="FW902" s="13"/>
      <c r="FX902" s="13"/>
      <c r="FY902" s="13"/>
      <c r="FZ902" s="13"/>
      <c r="GA902" s="13"/>
    </row>
    <row r="903" spans="1:183" s="43" customFormat="1" x14ac:dyDescent="0.25">
      <c r="A903" s="2"/>
      <c r="B903" s="2"/>
      <c r="C903" s="9">
        <v>3</v>
      </c>
      <c r="D903" s="9">
        <v>8</v>
      </c>
      <c r="E903" s="9">
        <v>23</v>
      </c>
      <c r="F903" s="9">
        <v>61</v>
      </c>
      <c r="G903" s="9">
        <v>63</v>
      </c>
      <c r="H903" s="9">
        <v>64</v>
      </c>
      <c r="J903" s="9">
        <v>64</v>
      </c>
      <c r="L903" s="39">
        <v>44590</v>
      </c>
      <c r="N903"/>
      <c r="O903"/>
      <c r="P903"/>
      <c r="Q903"/>
      <c r="R903"/>
      <c r="S903"/>
      <c r="T903"/>
      <c r="U903"/>
      <c r="V903"/>
      <c r="W903" s="52"/>
      <c r="Y903"/>
      <c r="Z903"/>
      <c r="AA903"/>
      <c r="AB903"/>
      <c r="AC903"/>
      <c r="AD903"/>
      <c r="AE903"/>
      <c r="AF903"/>
      <c r="AG903"/>
      <c r="AH903" s="52"/>
      <c r="AI903" s="148"/>
      <c r="AJ903" s="19"/>
      <c r="AK903" s="19"/>
      <c r="AL903" s="19"/>
      <c r="AM903" s="19"/>
      <c r="AN903" s="42"/>
      <c r="AO903" s="54"/>
      <c r="AP903" s="19"/>
      <c r="AQ903" s="1"/>
      <c r="AR903" s="74"/>
      <c r="AS903" s="42"/>
      <c r="AT903" s="54"/>
      <c r="AU903" s="54"/>
      <c r="AV903" s="19"/>
      <c r="AW903" s="54"/>
      <c r="AX903" s="57"/>
      <c r="AY903" s="54"/>
      <c r="AZ903" s="54"/>
      <c r="BA903" s="54"/>
      <c r="BB903" s="54"/>
      <c r="BC903" s="57"/>
      <c r="BD903" s="19"/>
      <c r="BE903" s="19"/>
      <c r="BF903" s="19"/>
      <c r="BG903" s="54"/>
      <c r="BI903" s="54"/>
      <c r="BJ903" s="55"/>
      <c r="BK903" s="55"/>
      <c r="BL903" s="54"/>
      <c r="BM903" s="56"/>
      <c r="BN903" s="56"/>
      <c r="BO903" s="52"/>
      <c r="BP903" s="52"/>
      <c r="BQ903" s="52"/>
      <c r="BR903" s="52"/>
      <c r="BS903" s="52"/>
      <c r="BT903" s="52"/>
      <c r="BU903" s="52"/>
      <c r="BV903" s="52"/>
      <c r="BW903" s="52"/>
      <c r="BX903" s="52"/>
      <c r="BY903" s="52"/>
      <c r="BZ903" s="52"/>
      <c r="CA903" s="52"/>
      <c r="CB903" s="52"/>
      <c r="CC903" s="52"/>
      <c r="CD903" s="52"/>
      <c r="CE903" s="52"/>
      <c r="CF903" s="52"/>
      <c r="CG903" s="52"/>
      <c r="CH903" s="52"/>
      <c r="CI903" s="52"/>
      <c r="CJ903" s="52"/>
      <c r="CK903" s="52"/>
      <c r="CL903" s="52"/>
      <c r="CM903" s="52"/>
      <c r="CN903" s="52"/>
      <c r="CO903" s="52"/>
      <c r="CP903" s="52"/>
      <c r="CQ903" s="52"/>
      <c r="CR903" s="52"/>
      <c r="CS903" s="52"/>
      <c r="CT903" s="52"/>
      <c r="CU903" s="52"/>
      <c r="CV903" s="52"/>
      <c r="CW903" s="52"/>
      <c r="CX903" s="52"/>
      <c r="CY903" s="52"/>
      <c r="CZ903" s="52"/>
      <c r="DA903" s="52"/>
      <c r="DB903" s="52"/>
      <c r="DC903" s="52"/>
      <c r="DD903" s="52"/>
      <c r="DE903" s="52"/>
      <c r="DF903" s="52"/>
      <c r="DG903" s="52"/>
      <c r="DH903" s="52"/>
      <c r="DI903" s="52"/>
      <c r="DJ903" s="52"/>
      <c r="DK903" s="52"/>
      <c r="DL903" s="52"/>
      <c r="DM903" s="52"/>
      <c r="DN903" s="52"/>
      <c r="DO903" s="52"/>
      <c r="DP903" s="52"/>
      <c r="DQ903" s="52"/>
      <c r="DR903" s="52"/>
      <c r="DS903" s="52"/>
      <c r="DT903" s="52"/>
      <c r="DU903" s="52"/>
      <c r="DV903" s="52"/>
      <c r="DW903" s="52"/>
      <c r="DX903" s="52"/>
      <c r="DZ903"/>
      <c r="EA903" s="19"/>
      <c r="EB903" s="19"/>
      <c r="EC903" s="9"/>
      <c r="ED903" s="9"/>
      <c r="EE903" s="9"/>
      <c r="EF903" s="9"/>
      <c r="EG903" s="9"/>
      <c r="EH903" s="13"/>
      <c r="EI903" s="13"/>
      <c r="EJ903" s="13"/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3"/>
      <c r="FD903" s="13"/>
      <c r="FE903" s="13"/>
      <c r="FF903" s="13"/>
      <c r="FG903" s="13"/>
      <c r="FH903" s="13"/>
      <c r="FI903" s="13"/>
      <c r="FJ903" s="13"/>
      <c r="FK903" s="13"/>
      <c r="FL903" s="13"/>
      <c r="FM903" s="13"/>
      <c r="FN903" s="13"/>
      <c r="FO903" s="13"/>
      <c r="FP903" s="13"/>
      <c r="FQ903" s="13"/>
      <c r="FR903" s="13"/>
      <c r="FS903" s="13"/>
      <c r="FT903" s="13"/>
      <c r="FU903" s="13"/>
      <c r="FV903" s="13"/>
      <c r="FW903" s="13"/>
      <c r="FX903" s="13"/>
      <c r="FY903" s="13"/>
      <c r="FZ903" s="13"/>
      <c r="GA903" s="13"/>
    </row>
    <row r="904" spans="1:183" s="43" customFormat="1" x14ac:dyDescent="0.25">
      <c r="A904" s="2"/>
      <c r="B904" s="2"/>
      <c r="C904" s="9">
        <v>30</v>
      </c>
      <c r="D904" s="9">
        <v>50</v>
      </c>
      <c r="E904" s="9">
        <v>58</v>
      </c>
      <c r="F904" s="9">
        <v>71</v>
      </c>
      <c r="G904" s="9">
        <v>87</v>
      </c>
      <c r="H904" s="9">
        <v>88</v>
      </c>
      <c r="J904" s="9">
        <v>88</v>
      </c>
      <c r="L904" s="39">
        <v>44587</v>
      </c>
      <c r="N904"/>
      <c r="O904"/>
      <c r="P904"/>
      <c r="Q904"/>
      <c r="R904"/>
      <c r="S904"/>
      <c r="T904"/>
      <c r="U904"/>
      <c r="V904"/>
      <c r="W904" s="52"/>
      <c r="Y904"/>
      <c r="Z904"/>
      <c r="AA904"/>
      <c r="AB904"/>
      <c r="AC904"/>
      <c r="AD904"/>
      <c r="AE904"/>
      <c r="AF904"/>
      <c r="AG904"/>
      <c r="AH904" s="52"/>
      <c r="AI904" s="148"/>
      <c r="AJ904" s="19"/>
      <c r="AK904" s="19"/>
      <c r="AL904" s="19"/>
      <c r="AM904" s="19"/>
      <c r="AN904" s="42"/>
      <c r="AO904" s="54"/>
      <c r="AP904" s="19"/>
      <c r="AQ904" s="1"/>
      <c r="AR904" s="74"/>
      <c r="AS904" s="42"/>
      <c r="AT904" s="54"/>
      <c r="AU904" s="54"/>
      <c r="AV904" s="19"/>
      <c r="AW904" s="54"/>
      <c r="AX904" s="57"/>
      <c r="AY904" s="54"/>
      <c r="AZ904" s="54"/>
      <c r="BA904" s="54"/>
      <c r="BB904" s="54"/>
      <c r="BC904" s="57"/>
      <c r="BD904" s="19"/>
      <c r="BE904" s="19"/>
      <c r="BF904" s="19"/>
      <c r="BG904" s="54"/>
      <c r="BI904" s="54"/>
      <c r="BJ904" s="55"/>
      <c r="BK904" s="55"/>
      <c r="BL904" s="54"/>
      <c r="BM904" s="56"/>
      <c r="BN904" s="56"/>
      <c r="BO904" s="52"/>
      <c r="BP904" s="52"/>
      <c r="BQ904" s="52"/>
      <c r="BR904" s="52"/>
      <c r="BS904" s="52"/>
      <c r="BT904" s="52"/>
      <c r="BU904" s="52"/>
      <c r="BV904" s="52"/>
      <c r="BW904" s="52"/>
      <c r="BX904" s="52"/>
      <c r="BY904" s="52"/>
      <c r="BZ904" s="52"/>
      <c r="CA904" s="52"/>
      <c r="CB904" s="52"/>
      <c r="CC904" s="52"/>
      <c r="CD904" s="52"/>
      <c r="CE904" s="52"/>
      <c r="CF904" s="52"/>
      <c r="CG904" s="52"/>
      <c r="CH904" s="52"/>
      <c r="CI904" s="52"/>
      <c r="CJ904" s="52"/>
      <c r="CK904" s="52"/>
      <c r="CL904" s="52"/>
      <c r="CM904" s="52"/>
      <c r="CN904" s="52"/>
      <c r="CO904" s="52"/>
      <c r="CP904" s="52"/>
      <c r="CQ904" s="52"/>
      <c r="CR904" s="52"/>
      <c r="CS904" s="52"/>
      <c r="CT904" s="52"/>
      <c r="CU904" s="52"/>
      <c r="CV904" s="52"/>
      <c r="CW904" s="52"/>
      <c r="CX904" s="52"/>
      <c r="CY904" s="52"/>
      <c r="CZ904" s="52"/>
      <c r="DA904" s="52"/>
      <c r="DB904" s="52"/>
      <c r="DC904" s="52"/>
      <c r="DD904" s="52"/>
      <c r="DE904" s="52"/>
      <c r="DF904" s="52"/>
      <c r="DG904" s="52"/>
      <c r="DH904" s="52"/>
      <c r="DI904" s="52"/>
      <c r="DJ904" s="52"/>
      <c r="DK904" s="52"/>
      <c r="DL904" s="52"/>
      <c r="DM904" s="52"/>
      <c r="DN904" s="52"/>
      <c r="DO904" s="52"/>
      <c r="DP904" s="52"/>
      <c r="DQ904" s="52"/>
      <c r="DR904" s="52"/>
      <c r="DS904" s="52"/>
      <c r="DT904" s="52"/>
      <c r="DU904" s="52"/>
      <c r="DV904" s="52"/>
      <c r="DW904" s="52"/>
      <c r="DX904" s="52"/>
      <c r="DZ904"/>
      <c r="EA904" s="19"/>
      <c r="EB904" s="19"/>
      <c r="EC904" s="9"/>
      <c r="ED904" s="9"/>
      <c r="EE904" s="9"/>
      <c r="EF904" s="9"/>
      <c r="EG904" s="9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3"/>
      <c r="FD904" s="13"/>
      <c r="FE904" s="13"/>
      <c r="FF904" s="13"/>
      <c r="FG904" s="13"/>
      <c r="FH904" s="13"/>
      <c r="FI904" s="13"/>
      <c r="FJ904" s="13"/>
      <c r="FK904" s="13"/>
      <c r="FL904" s="13"/>
      <c r="FM904" s="13"/>
      <c r="FN904" s="13"/>
      <c r="FO904" s="13"/>
      <c r="FP904" s="13"/>
      <c r="FQ904" s="13"/>
      <c r="FR904" s="13"/>
      <c r="FS904" s="13"/>
      <c r="FT904" s="13"/>
      <c r="FU904" s="13"/>
      <c r="FV904" s="13"/>
      <c r="FW904" s="13"/>
      <c r="FX904" s="13"/>
      <c r="FY904" s="13"/>
      <c r="FZ904" s="13"/>
      <c r="GA904" s="13"/>
    </row>
    <row r="905" spans="1:183" s="43" customFormat="1" x14ac:dyDescent="0.25">
      <c r="A905" s="2"/>
      <c r="B905" s="2"/>
      <c r="C905" s="9">
        <v>6</v>
      </c>
      <c r="D905" s="9">
        <v>24</v>
      </c>
      <c r="E905" s="9">
        <v>37</v>
      </c>
      <c r="F905" s="9">
        <v>56</v>
      </c>
      <c r="G905" s="9">
        <v>71</v>
      </c>
      <c r="H905" s="9">
        <v>83</v>
      </c>
      <c r="J905" s="9">
        <v>83</v>
      </c>
      <c r="L905" s="39">
        <v>44585</v>
      </c>
      <c r="N905"/>
      <c r="O905"/>
      <c r="P905"/>
      <c r="Q905"/>
      <c r="R905"/>
      <c r="S905"/>
      <c r="T905"/>
      <c r="U905"/>
      <c r="V905"/>
      <c r="W905" s="52"/>
      <c r="Y905"/>
      <c r="Z905"/>
      <c r="AA905"/>
      <c r="AB905"/>
      <c r="AC905"/>
      <c r="AD905"/>
      <c r="AE905"/>
      <c r="AF905"/>
      <c r="AG905"/>
      <c r="AH905" s="52"/>
      <c r="AI905" s="148"/>
      <c r="AJ905" s="19"/>
      <c r="AK905" s="19"/>
      <c r="AL905" s="19"/>
      <c r="AM905" s="19"/>
      <c r="AN905" s="42"/>
      <c r="AO905" s="54"/>
      <c r="AP905" s="19"/>
      <c r="AQ905" s="1"/>
      <c r="AR905" s="74"/>
      <c r="AS905" s="42"/>
      <c r="AT905" s="54"/>
      <c r="AU905" s="54"/>
      <c r="AV905" s="19"/>
      <c r="AW905" s="54"/>
      <c r="AX905" s="57"/>
      <c r="AY905" s="54"/>
      <c r="AZ905" s="54"/>
      <c r="BA905" s="54"/>
      <c r="BB905" s="54"/>
      <c r="BC905" s="57"/>
      <c r="BD905" s="19"/>
      <c r="BE905" s="19"/>
      <c r="BF905" s="19"/>
      <c r="BG905" s="54"/>
      <c r="BI905" s="54"/>
      <c r="BJ905" s="55"/>
      <c r="BK905" s="55"/>
      <c r="BL905" s="54"/>
      <c r="BM905" s="56"/>
      <c r="BN905" s="56"/>
      <c r="BO905" s="52"/>
      <c r="BP905" s="52"/>
      <c r="BQ905" s="52"/>
      <c r="BR905" s="52"/>
      <c r="BS905" s="52"/>
      <c r="BT905" s="52"/>
      <c r="BU905" s="52"/>
      <c r="BV905" s="52"/>
      <c r="BW905" s="52"/>
      <c r="BX905" s="52"/>
      <c r="BY905" s="52"/>
      <c r="BZ905" s="52"/>
      <c r="CA905" s="52"/>
      <c r="CB905" s="52"/>
      <c r="CC905" s="52"/>
      <c r="CD905" s="52"/>
      <c r="CE905" s="52"/>
      <c r="CF905" s="52"/>
      <c r="CG905" s="52"/>
      <c r="CH905" s="52"/>
      <c r="CI905" s="52"/>
      <c r="CJ905" s="52"/>
      <c r="CK905" s="52"/>
      <c r="CL905" s="52"/>
      <c r="CM905" s="52"/>
      <c r="CN905" s="52"/>
      <c r="CO905" s="52"/>
      <c r="CP905" s="52"/>
      <c r="CQ905" s="52"/>
      <c r="CR905" s="52"/>
      <c r="CS905" s="52"/>
      <c r="CT905" s="52"/>
      <c r="CU905" s="52"/>
      <c r="CV905" s="52"/>
      <c r="CW905" s="52"/>
      <c r="CX905" s="52"/>
      <c r="CY905" s="52"/>
      <c r="CZ905" s="52"/>
      <c r="DA905" s="52"/>
      <c r="DB905" s="52"/>
      <c r="DC905" s="52"/>
      <c r="DD905" s="52"/>
      <c r="DE905" s="52"/>
      <c r="DF905" s="52"/>
      <c r="DG905" s="52"/>
      <c r="DH905" s="52"/>
      <c r="DI905" s="52"/>
      <c r="DJ905" s="52"/>
      <c r="DK905" s="52"/>
      <c r="DL905" s="52"/>
      <c r="DM905" s="52"/>
      <c r="DN905" s="52"/>
      <c r="DO905" s="52"/>
      <c r="DP905" s="52"/>
      <c r="DQ905" s="52"/>
      <c r="DR905" s="52"/>
      <c r="DS905" s="52"/>
      <c r="DT905" s="52"/>
      <c r="DU905" s="52"/>
      <c r="DV905" s="52"/>
      <c r="DW905" s="52"/>
      <c r="DX905" s="52"/>
      <c r="DZ905"/>
      <c r="EA905" s="19"/>
      <c r="EB905" s="19"/>
      <c r="EC905" s="9"/>
      <c r="ED905" s="9"/>
      <c r="EE905" s="9"/>
      <c r="EF905" s="9"/>
      <c r="EG905" s="9"/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3"/>
      <c r="FD905" s="13"/>
      <c r="FE905" s="13"/>
      <c r="FF905" s="13"/>
      <c r="FG905" s="13"/>
      <c r="FH905" s="13"/>
      <c r="FI905" s="13"/>
      <c r="FJ905" s="13"/>
      <c r="FK905" s="13"/>
      <c r="FL905" s="13"/>
      <c r="FM905" s="13"/>
      <c r="FN905" s="13"/>
      <c r="FO905" s="13"/>
      <c r="FP905" s="13"/>
      <c r="FQ905" s="13"/>
      <c r="FR905" s="13"/>
      <c r="FS905" s="13"/>
      <c r="FT905" s="13"/>
      <c r="FU905" s="13"/>
      <c r="FV905" s="13"/>
      <c r="FW905" s="13"/>
      <c r="FX905" s="13"/>
      <c r="FY905" s="13"/>
      <c r="FZ905" s="13"/>
      <c r="GA905" s="13"/>
    </row>
    <row r="906" spans="1:183" x14ac:dyDescent="0.25">
      <c r="C906" s="9">
        <v>15</v>
      </c>
      <c r="D906" s="9">
        <v>56</v>
      </c>
      <c r="E906" s="9">
        <v>61</v>
      </c>
      <c r="F906" s="9">
        <v>64</v>
      </c>
      <c r="G906" s="9">
        <v>68</v>
      </c>
      <c r="H906" s="9">
        <v>86</v>
      </c>
      <c r="J906" s="9">
        <v>86</v>
      </c>
      <c r="L906" s="39">
        <v>44583</v>
      </c>
    </row>
    <row r="907" spans="1:183" x14ac:dyDescent="0.25">
      <c r="C907" s="9">
        <v>17</v>
      </c>
      <c r="D907" s="9">
        <v>40</v>
      </c>
      <c r="E907" s="9">
        <v>47</v>
      </c>
      <c r="F907" s="9">
        <v>50</v>
      </c>
      <c r="G907" s="9">
        <v>63</v>
      </c>
      <c r="H907" s="9">
        <v>75</v>
      </c>
      <c r="J907" s="9">
        <v>75</v>
      </c>
      <c r="L907" s="39">
        <v>44580</v>
      </c>
    </row>
    <row r="908" spans="1:183" x14ac:dyDescent="0.25">
      <c r="C908" s="9">
        <v>4</v>
      </c>
      <c r="D908" s="9">
        <v>25</v>
      </c>
      <c r="E908" s="9">
        <v>32</v>
      </c>
      <c r="F908" s="9">
        <v>44</v>
      </c>
      <c r="G908" s="9">
        <v>67</v>
      </c>
      <c r="H908" s="9">
        <v>75</v>
      </c>
      <c r="J908" s="9">
        <v>75</v>
      </c>
      <c r="L908" s="39">
        <v>44578</v>
      </c>
    </row>
    <row r="909" spans="1:183" x14ac:dyDescent="0.25">
      <c r="C909" s="9">
        <v>6</v>
      </c>
      <c r="D909" s="9">
        <v>19</v>
      </c>
      <c r="E909" s="9">
        <v>22</v>
      </c>
      <c r="F909" s="9">
        <v>23</v>
      </c>
      <c r="G909" s="9">
        <v>27</v>
      </c>
      <c r="H909" s="9">
        <v>84</v>
      </c>
      <c r="J909" s="9">
        <v>84</v>
      </c>
      <c r="L909" s="39">
        <v>44576</v>
      </c>
    </row>
    <row r="910" spans="1:183" x14ac:dyDescent="0.25">
      <c r="C910" s="9">
        <v>1</v>
      </c>
      <c r="D910" s="9">
        <v>9</v>
      </c>
      <c r="E910" s="9">
        <v>39</v>
      </c>
      <c r="F910" s="9">
        <v>59</v>
      </c>
      <c r="G910" s="9">
        <v>64</v>
      </c>
      <c r="H910" s="9">
        <v>68</v>
      </c>
      <c r="J910" s="9">
        <v>68</v>
      </c>
      <c r="L910" s="39">
        <v>44573</v>
      </c>
    </row>
    <row r="911" spans="1:183" s="43" customFormat="1" x14ac:dyDescent="0.25">
      <c r="A911" s="2"/>
      <c r="B911" s="2"/>
      <c r="C911" s="9">
        <v>36</v>
      </c>
      <c r="D911" s="9">
        <v>55</v>
      </c>
      <c r="E911" s="9">
        <v>60</v>
      </c>
      <c r="F911" s="9">
        <v>64</v>
      </c>
      <c r="G911" s="9">
        <v>70</v>
      </c>
      <c r="H911" s="9">
        <v>86</v>
      </c>
      <c r="J911" s="9">
        <v>86</v>
      </c>
      <c r="L911" s="39">
        <v>44571</v>
      </c>
      <c r="N911"/>
      <c r="O911"/>
      <c r="P911"/>
      <c r="Q911"/>
      <c r="R911"/>
      <c r="S911"/>
      <c r="T911"/>
      <c r="U911"/>
      <c r="V911"/>
      <c r="W911" s="52"/>
      <c r="Y911"/>
      <c r="Z911"/>
      <c r="AA911"/>
      <c r="AB911"/>
      <c r="AC911"/>
      <c r="AD911"/>
      <c r="AE911"/>
      <c r="AF911"/>
      <c r="AG911"/>
      <c r="AH911" s="52"/>
      <c r="AI911" s="148"/>
      <c r="AJ911" s="19"/>
      <c r="AK911" s="19"/>
      <c r="AL911" s="19"/>
      <c r="AM911" s="19"/>
      <c r="AN911" s="42"/>
      <c r="AO911" s="54"/>
      <c r="AP911" s="19"/>
      <c r="AQ911" s="1"/>
      <c r="AR911" s="74"/>
      <c r="AS911" s="42"/>
      <c r="AT911" s="54"/>
      <c r="AU911" s="54"/>
      <c r="AV911" s="19"/>
      <c r="AW911" s="54"/>
      <c r="AX911" s="57"/>
      <c r="AY911" s="54"/>
      <c r="AZ911" s="54"/>
      <c r="BA911" s="54"/>
      <c r="BB911" s="54"/>
      <c r="BC911" s="57"/>
      <c r="BD911" s="19"/>
      <c r="BE911" s="19"/>
      <c r="BF911" s="19"/>
      <c r="BG911" s="54"/>
      <c r="BI911" s="54"/>
      <c r="BJ911" s="55"/>
      <c r="BK911" s="55"/>
      <c r="BL911" s="54"/>
      <c r="BM911" s="56"/>
      <c r="BN911" s="56"/>
      <c r="BO911" s="52"/>
      <c r="BP911" s="52"/>
      <c r="BQ911" s="52"/>
      <c r="BR911" s="52"/>
      <c r="BS911" s="52"/>
      <c r="BT911" s="52"/>
      <c r="BU911" s="52"/>
      <c r="BV911" s="52"/>
      <c r="BW911" s="52"/>
      <c r="BX911" s="52"/>
      <c r="BY911" s="52"/>
      <c r="BZ911" s="52"/>
      <c r="CA911" s="52"/>
      <c r="CB911" s="52"/>
      <c r="CC911" s="52"/>
      <c r="CD911" s="52"/>
      <c r="CE911" s="52"/>
      <c r="CF911" s="52"/>
      <c r="CG911" s="52"/>
      <c r="CH911" s="52"/>
      <c r="CI911" s="52"/>
      <c r="CJ911" s="52"/>
      <c r="CK911" s="52"/>
      <c r="CL911" s="52"/>
      <c r="CM911" s="52"/>
      <c r="CN911" s="52"/>
      <c r="CO911" s="52"/>
      <c r="CP911" s="52"/>
      <c r="CQ911" s="52"/>
      <c r="CR911" s="52"/>
      <c r="CS911" s="52"/>
      <c r="CT911" s="52"/>
      <c r="CU911" s="52"/>
      <c r="CV911" s="52"/>
      <c r="CW911" s="52"/>
      <c r="CX911" s="52"/>
      <c r="CY911" s="52"/>
      <c r="CZ911" s="52"/>
      <c r="DA911" s="52"/>
      <c r="DB911" s="52"/>
      <c r="DC911" s="52"/>
      <c r="DD911" s="52"/>
      <c r="DE911" s="52"/>
      <c r="DF911" s="52"/>
      <c r="DG911" s="52"/>
      <c r="DH911" s="52"/>
      <c r="DI911" s="52"/>
      <c r="DJ911" s="52"/>
      <c r="DK911" s="52"/>
      <c r="DL911" s="52"/>
      <c r="DM911" s="52"/>
      <c r="DN911" s="52"/>
      <c r="DO911" s="52"/>
      <c r="DP911" s="52"/>
      <c r="DQ911" s="52"/>
      <c r="DR911" s="52"/>
      <c r="DS911" s="52"/>
      <c r="DT911" s="52"/>
      <c r="DU911" s="52"/>
      <c r="DV911" s="52"/>
      <c r="DW911" s="52"/>
      <c r="DX911" s="52"/>
      <c r="DZ911"/>
      <c r="EA911" s="19"/>
      <c r="EB911" s="19"/>
      <c r="EC911" s="9"/>
      <c r="ED911" s="9"/>
      <c r="EE911" s="9"/>
      <c r="EF911" s="9"/>
      <c r="EG911" s="9"/>
      <c r="EH911" s="13"/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3"/>
      <c r="FD911" s="13"/>
      <c r="FE911" s="13"/>
      <c r="FF911" s="13"/>
      <c r="FG911" s="13"/>
      <c r="FH911" s="13"/>
      <c r="FI911" s="13"/>
      <c r="FJ911" s="13"/>
      <c r="FK911" s="13"/>
      <c r="FL911" s="13"/>
      <c r="FM911" s="13"/>
      <c r="FN911" s="13"/>
      <c r="FO911" s="13"/>
      <c r="FP911" s="13"/>
      <c r="FQ911" s="13"/>
      <c r="FR911" s="13"/>
      <c r="FS911" s="13"/>
      <c r="FT911" s="13"/>
      <c r="FU911" s="13"/>
      <c r="FV911" s="13"/>
      <c r="FW911" s="13"/>
      <c r="FX911" s="13"/>
      <c r="FY911" s="13"/>
      <c r="FZ911" s="13"/>
      <c r="GA911" s="13"/>
    </row>
    <row r="912" spans="1:183" s="43" customFormat="1" x14ac:dyDescent="0.25">
      <c r="A912" s="2"/>
      <c r="B912" s="2"/>
      <c r="C912" s="9">
        <v>18</v>
      </c>
      <c r="D912" s="9">
        <v>39</v>
      </c>
      <c r="E912" s="9">
        <v>49</v>
      </c>
      <c r="F912" s="9">
        <v>60</v>
      </c>
      <c r="G912" s="9">
        <v>75</v>
      </c>
      <c r="H912" s="9">
        <v>77</v>
      </c>
      <c r="J912" s="9">
        <v>77</v>
      </c>
      <c r="L912" s="39">
        <v>44569</v>
      </c>
      <c r="N912"/>
      <c r="O912"/>
      <c r="P912"/>
      <c r="Q912"/>
      <c r="R912"/>
      <c r="S912"/>
      <c r="T912"/>
      <c r="U912"/>
      <c r="V912"/>
      <c r="W912" s="52"/>
      <c r="Y912"/>
      <c r="Z912"/>
      <c r="AA912"/>
      <c r="AB912"/>
      <c r="AC912"/>
      <c r="AD912"/>
      <c r="AE912"/>
      <c r="AF912"/>
      <c r="AG912"/>
      <c r="AH912" s="52"/>
      <c r="AI912" s="148"/>
      <c r="AJ912" s="19"/>
      <c r="AK912" s="19"/>
      <c r="AL912" s="19"/>
      <c r="AM912" s="19"/>
      <c r="AN912" s="42"/>
      <c r="AO912" s="54"/>
      <c r="AP912" s="19"/>
      <c r="AQ912" s="1"/>
      <c r="AR912" s="74"/>
      <c r="AS912" s="42"/>
      <c r="AT912" s="54"/>
      <c r="AU912" s="54"/>
      <c r="AV912" s="19"/>
      <c r="AW912" s="54"/>
      <c r="AX912" s="57"/>
      <c r="AY912" s="54"/>
      <c r="AZ912" s="54"/>
      <c r="BA912" s="54"/>
      <c r="BB912" s="54"/>
      <c r="BC912" s="57"/>
      <c r="BD912" s="19"/>
      <c r="BE912" s="19"/>
      <c r="BF912" s="19"/>
      <c r="BG912" s="54"/>
      <c r="BI912" s="54"/>
      <c r="BJ912" s="55"/>
      <c r="BK912" s="55"/>
      <c r="BL912" s="54"/>
      <c r="BM912" s="56"/>
      <c r="BN912" s="56"/>
      <c r="BO912" s="52"/>
      <c r="BP912" s="52"/>
      <c r="BQ912" s="52"/>
      <c r="BR912" s="52"/>
      <c r="BS912" s="52"/>
      <c r="BT912" s="52"/>
      <c r="BU912" s="52"/>
      <c r="BV912" s="52"/>
      <c r="BW912" s="52"/>
      <c r="BX912" s="52"/>
      <c r="BY912" s="52"/>
      <c r="BZ912" s="52"/>
      <c r="CA912" s="52"/>
      <c r="CB912" s="52"/>
      <c r="CC912" s="52"/>
      <c r="CD912" s="52"/>
      <c r="CE912" s="52"/>
      <c r="CF912" s="52"/>
      <c r="CG912" s="52"/>
      <c r="CH912" s="52"/>
      <c r="CI912" s="52"/>
      <c r="CJ912" s="52"/>
      <c r="CK912" s="52"/>
      <c r="CL912" s="52"/>
      <c r="CM912" s="52"/>
      <c r="CN912" s="52"/>
      <c r="CO912" s="52"/>
      <c r="CP912" s="52"/>
      <c r="CQ912" s="52"/>
      <c r="CR912" s="52"/>
      <c r="CS912" s="52"/>
      <c r="CT912" s="52"/>
      <c r="CU912" s="52"/>
      <c r="CV912" s="52"/>
      <c r="CW912" s="52"/>
      <c r="CX912" s="52"/>
      <c r="CY912" s="52"/>
      <c r="CZ912" s="52"/>
      <c r="DA912" s="52"/>
      <c r="DB912" s="52"/>
      <c r="DC912" s="52"/>
      <c r="DD912" s="52"/>
      <c r="DE912" s="52"/>
      <c r="DF912" s="52"/>
      <c r="DG912" s="52"/>
      <c r="DH912" s="52"/>
      <c r="DI912" s="52"/>
      <c r="DJ912" s="52"/>
      <c r="DK912" s="52"/>
      <c r="DL912" s="52"/>
      <c r="DM912" s="52"/>
      <c r="DN912" s="52"/>
      <c r="DO912" s="52"/>
      <c r="DP912" s="52"/>
      <c r="DQ912" s="52"/>
      <c r="DR912" s="52"/>
      <c r="DS912" s="52"/>
      <c r="DT912" s="52"/>
      <c r="DU912" s="52"/>
      <c r="DV912" s="52"/>
      <c r="DW912" s="52"/>
      <c r="DX912" s="52"/>
      <c r="DZ912"/>
      <c r="EA912" s="19"/>
      <c r="EB912" s="19"/>
      <c r="EC912" s="9"/>
      <c r="ED912" s="9"/>
      <c r="EE912" s="9"/>
      <c r="EF912" s="9"/>
      <c r="EG912" s="9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  <c r="FI912" s="13"/>
      <c r="FJ912" s="13"/>
      <c r="FK912" s="13"/>
      <c r="FL912" s="13"/>
      <c r="FM912" s="13"/>
      <c r="FN912" s="13"/>
      <c r="FO912" s="13"/>
      <c r="FP912" s="13"/>
      <c r="FQ912" s="13"/>
      <c r="FR912" s="13"/>
      <c r="FS912" s="13"/>
      <c r="FT912" s="13"/>
      <c r="FU912" s="13"/>
      <c r="FV912" s="13"/>
      <c r="FW912" s="13"/>
      <c r="FX912" s="13"/>
      <c r="FY912" s="13"/>
      <c r="FZ912" s="13"/>
      <c r="GA912" s="13"/>
    </row>
    <row r="913" spans="1:183" s="43" customFormat="1" x14ac:dyDescent="0.25">
      <c r="A913" s="2"/>
      <c r="B913" s="2"/>
      <c r="C913" s="9">
        <v>7</v>
      </c>
      <c r="D913" s="9">
        <v>18</v>
      </c>
      <c r="E913" s="9">
        <v>20</v>
      </c>
      <c r="F913" s="9">
        <v>37</v>
      </c>
      <c r="G913" s="9">
        <v>61</v>
      </c>
      <c r="H913" s="9">
        <v>88</v>
      </c>
      <c r="J913" s="9">
        <v>88</v>
      </c>
      <c r="L913" s="39">
        <v>44566</v>
      </c>
      <c r="N913"/>
      <c r="O913"/>
      <c r="P913"/>
      <c r="Q913"/>
      <c r="R913"/>
      <c r="S913"/>
      <c r="T913"/>
      <c r="U913"/>
      <c r="V913"/>
      <c r="W913" s="52"/>
      <c r="Y913"/>
      <c r="Z913"/>
      <c r="AA913"/>
      <c r="AB913"/>
      <c r="AC913"/>
      <c r="AD913"/>
      <c r="AE913"/>
      <c r="AF913"/>
      <c r="AG913"/>
      <c r="AH913" s="52"/>
      <c r="AI913" s="148"/>
      <c r="AJ913" s="19"/>
      <c r="AK913" s="19"/>
      <c r="AL913" s="19"/>
      <c r="AM913" s="19"/>
      <c r="AN913" s="42"/>
      <c r="AO913" s="54"/>
      <c r="AP913" s="19"/>
      <c r="AQ913" s="1"/>
      <c r="AR913" s="74"/>
      <c r="AS913" s="42"/>
      <c r="AT913" s="54"/>
      <c r="AU913" s="54"/>
      <c r="AV913" s="19"/>
      <c r="AW913" s="54"/>
      <c r="AX913" s="57"/>
      <c r="AY913" s="54"/>
      <c r="AZ913" s="54"/>
      <c r="BA913" s="54"/>
      <c r="BB913" s="54"/>
      <c r="BC913" s="57"/>
      <c r="BD913" s="19"/>
      <c r="BE913" s="19"/>
      <c r="BF913" s="19"/>
      <c r="BG913" s="54"/>
      <c r="BI913" s="54"/>
      <c r="BJ913" s="55"/>
      <c r="BK913" s="55"/>
      <c r="BL913" s="54"/>
      <c r="BM913" s="56"/>
      <c r="BN913" s="56"/>
      <c r="BO913" s="52"/>
      <c r="BP913" s="52"/>
      <c r="BQ913" s="52"/>
      <c r="BR913" s="52"/>
      <c r="BS913" s="52"/>
      <c r="BT913" s="52"/>
      <c r="BU913" s="52"/>
      <c r="BV913" s="52"/>
      <c r="BW913" s="52"/>
      <c r="BX913" s="52"/>
      <c r="BY913" s="52"/>
      <c r="BZ913" s="52"/>
      <c r="CA913" s="52"/>
      <c r="CB913" s="52"/>
      <c r="CC913" s="52"/>
      <c r="CD913" s="52"/>
      <c r="CE913" s="52"/>
      <c r="CF913" s="52"/>
      <c r="CG913" s="52"/>
      <c r="CH913" s="52"/>
      <c r="CI913" s="52"/>
      <c r="CJ913" s="52"/>
      <c r="CK913" s="52"/>
      <c r="CL913" s="52"/>
      <c r="CM913" s="52"/>
      <c r="CN913" s="52"/>
      <c r="CO913" s="52"/>
      <c r="CP913" s="52"/>
      <c r="CQ913" s="52"/>
      <c r="CR913" s="52"/>
      <c r="CS913" s="52"/>
      <c r="CT913" s="52"/>
      <c r="CU913" s="52"/>
      <c r="CV913" s="52"/>
      <c r="CW913" s="52"/>
      <c r="CX913" s="52"/>
      <c r="CY913" s="52"/>
      <c r="CZ913" s="52"/>
      <c r="DA913" s="52"/>
      <c r="DB913" s="52"/>
      <c r="DC913" s="52"/>
      <c r="DD913" s="52"/>
      <c r="DE913" s="52"/>
      <c r="DF913" s="52"/>
      <c r="DG913" s="52"/>
      <c r="DH913" s="52"/>
      <c r="DI913" s="52"/>
      <c r="DJ913" s="52"/>
      <c r="DK913" s="52"/>
      <c r="DL913" s="52"/>
      <c r="DM913" s="52"/>
      <c r="DN913" s="52"/>
      <c r="DO913" s="52"/>
      <c r="DP913" s="52"/>
      <c r="DQ913" s="52"/>
      <c r="DR913" s="52"/>
      <c r="DS913" s="52"/>
      <c r="DT913" s="52"/>
      <c r="DU913" s="52"/>
      <c r="DV913" s="52"/>
      <c r="DW913" s="52"/>
      <c r="DX913" s="52"/>
      <c r="DZ913"/>
      <c r="EA913" s="19"/>
      <c r="EB913" s="19"/>
      <c r="EC913" s="9"/>
      <c r="ED913" s="9"/>
      <c r="EE913" s="9"/>
      <c r="EF913" s="9"/>
      <c r="EG913" s="9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  <c r="FT913" s="13"/>
      <c r="FU913" s="13"/>
      <c r="FV913" s="13"/>
      <c r="FW913" s="13"/>
      <c r="FX913" s="13"/>
      <c r="FY913" s="13"/>
      <c r="FZ913" s="13"/>
      <c r="GA913" s="13"/>
    </row>
    <row r="914" spans="1:183" s="43" customFormat="1" x14ac:dyDescent="0.25">
      <c r="A914" s="2"/>
      <c r="B914" s="2"/>
      <c r="C914" s="9">
        <v>25</v>
      </c>
      <c r="D914" s="9">
        <v>36</v>
      </c>
      <c r="E914" s="9">
        <v>45</v>
      </c>
      <c r="F914" s="9">
        <v>57</v>
      </c>
      <c r="G914" s="9">
        <v>70</v>
      </c>
      <c r="H914" s="9">
        <v>87</v>
      </c>
      <c r="J914" s="9">
        <v>87</v>
      </c>
      <c r="L914" s="39">
        <v>44564</v>
      </c>
      <c r="N914"/>
      <c r="O914"/>
      <c r="P914"/>
      <c r="Q914"/>
      <c r="R914"/>
      <c r="S914"/>
      <c r="T914"/>
      <c r="U914"/>
      <c r="V914"/>
      <c r="W914" s="52"/>
      <c r="Y914"/>
      <c r="Z914"/>
      <c r="AA914"/>
      <c r="AB914"/>
      <c r="AC914"/>
      <c r="AD914"/>
      <c r="AE914"/>
      <c r="AF914"/>
      <c r="AG914"/>
      <c r="AH914" s="52"/>
      <c r="AI914" s="148"/>
      <c r="AJ914" s="19"/>
      <c r="AK914" s="19"/>
      <c r="AL914" s="19"/>
      <c r="AM914" s="19"/>
      <c r="AN914" s="42"/>
      <c r="AO914" s="54"/>
      <c r="AP914" s="19"/>
      <c r="AQ914" s="1"/>
      <c r="AR914" s="74"/>
      <c r="AS914" s="42"/>
      <c r="AT914" s="54"/>
      <c r="AU914" s="54"/>
      <c r="AV914" s="19"/>
      <c r="AW914" s="54"/>
      <c r="AX914" s="57"/>
      <c r="AY914" s="54"/>
      <c r="AZ914" s="54"/>
      <c r="BA914" s="54"/>
      <c r="BB914" s="54"/>
      <c r="BC914" s="57"/>
      <c r="BD914" s="19"/>
      <c r="BE914" s="19"/>
      <c r="BF914" s="19"/>
      <c r="BG914" s="54"/>
      <c r="BI914" s="54"/>
      <c r="BJ914" s="55"/>
      <c r="BK914" s="55"/>
      <c r="BL914" s="54"/>
      <c r="BM914" s="56"/>
      <c r="BN914" s="56"/>
      <c r="BO914" s="52"/>
      <c r="BP914" s="52"/>
      <c r="BQ914" s="52"/>
      <c r="BR914" s="52"/>
      <c r="BS914" s="52"/>
      <c r="BT914" s="52"/>
      <c r="BU914" s="52"/>
      <c r="BV914" s="52"/>
      <c r="BW914" s="52"/>
      <c r="BX914" s="52"/>
      <c r="BY914" s="52"/>
      <c r="BZ914" s="52"/>
      <c r="CA914" s="52"/>
      <c r="CB914" s="52"/>
      <c r="CC914" s="52"/>
      <c r="CD914" s="52"/>
      <c r="CE914" s="52"/>
      <c r="CF914" s="52"/>
      <c r="CG914" s="52"/>
      <c r="CH914" s="52"/>
      <c r="CI914" s="52"/>
      <c r="CJ914" s="52"/>
      <c r="CK914" s="52"/>
      <c r="CL914" s="52"/>
      <c r="CM914" s="52"/>
      <c r="CN914" s="52"/>
      <c r="CO914" s="52"/>
      <c r="CP914" s="52"/>
      <c r="CQ914" s="52"/>
      <c r="CR914" s="52"/>
      <c r="CS914" s="52"/>
      <c r="CT914" s="52"/>
      <c r="CU914" s="52"/>
      <c r="CV914" s="52"/>
      <c r="CW914" s="52"/>
      <c r="CX914" s="52"/>
      <c r="CY914" s="52"/>
      <c r="CZ914" s="52"/>
      <c r="DA914" s="52"/>
      <c r="DB914" s="52"/>
      <c r="DC914" s="52"/>
      <c r="DD914" s="52"/>
      <c r="DE914" s="52"/>
      <c r="DF914" s="52"/>
      <c r="DG914" s="52"/>
      <c r="DH914" s="52"/>
      <c r="DI914" s="52"/>
      <c r="DJ914" s="52"/>
      <c r="DK914" s="52"/>
      <c r="DL914" s="52"/>
      <c r="DM914" s="52"/>
      <c r="DN914" s="52"/>
      <c r="DO914" s="52"/>
      <c r="DP914" s="52"/>
      <c r="DQ914" s="52"/>
      <c r="DR914" s="52"/>
      <c r="DS914" s="52"/>
      <c r="DT914" s="52"/>
      <c r="DU914" s="52"/>
      <c r="DV914" s="52"/>
      <c r="DW914" s="52"/>
      <c r="DX914" s="52"/>
      <c r="DZ914"/>
      <c r="EA914" s="19"/>
      <c r="EB914" s="19"/>
      <c r="EC914" s="9"/>
      <c r="ED914" s="9"/>
      <c r="EE914" s="9"/>
      <c r="EF914" s="9"/>
      <c r="EG914" s="9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  <c r="FT914" s="13"/>
      <c r="FU914" s="13"/>
      <c r="FV914" s="13"/>
      <c r="FW914" s="13"/>
      <c r="FX914" s="13"/>
      <c r="FY914" s="13"/>
      <c r="FZ914" s="13"/>
      <c r="GA914" s="13"/>
    </row>
    <row r="915" spans="1:183" s="43" customFormat="1" x14ac:dyDescent="0.25">
      <c r="A915" s="2"/>
      <c r="B915" s="2"/>
      <c r="C915" s="9">
        <v>9</v>
      </c>
      <c r="D915" s="9">
        <v>60</v>
      </c>
      <c r="E915" s="9">
        <v>72</v>
      </c>
      <c r="F915" s="9">
        <v>77</v>
      </c>
      <c r="G915" s="9">
        <v>78</v>
      </c>
      <c r="H915" s="9">
        <v>90</v>
      </c>
      <c r="J915" s="9">
        <v>90</v>
      </c>
      <c r="L915" s="39">
        <v>44562</v>
      </c>
      <c r="N915"/>
      <c r="O915"/>
      <c r="P915"/>
      <c r="Q915"/>
      <c r="R915"/>
      <c r="S915"/>
      <c r="T915"/>
      <c r="U915"/>
      <c r="V915"/>
      <c r="W915" s="52"/>
      <c r="Y915"/>
      <c r="Z915"/>
      <c r="AA915"/>
      <c r="AB915"/>
      <c r="AC915"/>
      <c r="AD915"/>
      <c r="AE915"/>
      <c r="AF915"/>
      <c r="AG915"/>
      <c r="AH915" s="52"/>
      <c r="AI915" s="148"/>
      <c r="AJ915" s="19"/>
      <c r="AK915" s="19"/>
      <c r="AL915" s="19"/>
      <c r="AM915" s="19"/>
      <c r="AN915" s="42"/>
      <c r="AO915" s="54"/>
      <c r="AP915" s="19"/>
      <c r="AQ915" s="1"/>
      <c r="AR915" s="74"/>
      <c r="AS915" s="42"/>
      <c r="AT915" s="54"/>
      <c r="AU915" s="54"/>
      <c r="AV915" s="19"/>
      <c r="AW915" s="54"/>
      <c r="AX915" s="57"/>
      <c r="AY915" s="54"/>
      <c r="AZ915" s="54"/>
      <c r="BA915" s="54"/>
      <c r="BB915" s="54"/>
      <c r="BC915" s="57"/>
      <c r="BD915" s="19"/>
      <c r="BE915" s="19"/>
      <c r="BF915" s="19"/>
      <c r="BG915" s="54"/>
      <c r="BI915" s="54"/>
      <c r="BJ915" s="55"/>
      <c r="BK915" s="55"/>
      <c r="BL915" s="54"/>
      <c r="BM915" s="56"/>
      <c r="BN915" s="56"/>
      <c r="BO915" s="52"/>
      <c r="BP915" s="52"/>
      <c r="BQ915" s="52"/>
      <c r="BR915" s="52"/>
      <c r="BS915" s="52"/>
      <c r="BT915" s="52"/>
      <c r="BU915" s="52"/>
      <c r="BV915" s="52"/>
      <c r="BW915" s="52"/>
      <c r="BX915" s="52"/>
      <c r="BY915" s="52"/>
      <c r="BZ915" s="52"/>
      <c r="CA915" s="52"/>
      <c r="CB915" s="52"/>
      <c r="CC915" s="52"/>
      <c r="CD915" s="52"/>
      <c r="CE915" s="52"/>
      <c r="CF915" s="52"/>
      <c r="CG915" s="52"/>
      <c r="CH915" s="52"/>
      <c r="CI915" s="52"/>
      <c r="CJ915" s="52"/>
      <c r="CK915" s="52"/>
      <c r="CL915" s="52"/>
      <c r="CM915" s="52"/>
      <c r="CN915" s="52"/>
      <c r="CO915" s="52"/>
      <c r="CP915" s="52"/>
      <c r="CQ915" s="52"/>
      <c r="CR915" s="52"/>
      <c r="CS915" s="52"/>
      <c r="CT915" s="52"/>
      <c r="CU915" s="52"/>
      <c r="CV915" s="52"/>
      <c r="CW915" s="52"/>
      <c r="CX915" s="52"/>
      <c r="CY915" s="52"/>
      <c r="CZ915" s="52"/>
      <c r="DA915" s="52"/>
      <c r="DB915" s="52"/>
      <c r="DC915" s="52"/>
      <c r="DD915" s="52"/>
      <c r="DE915" s="52"/>
      <c r="DF915" s="52"/>
      <c r="DG915" s="52"/>
      <c r="DH915" s="52"/>
      <c r="DI915" s="52"/>
      <c r="DJ915" s="52"/>
      <c r="DK915" s="52"/>
      <c r="DL915" s="52"/>
      <c r="DM915" s="52"/>
      <c r="DN915" s="52"/>
      <c r="DO915" s="52"/>
      <c r="DP915" s="52"/>
      <c r="DQ915" s="52"/>
      <c r="DR915" s="52"/>
      <c r="DS915" s="52"/>
      <c r="DT915" s="52"/>
      <c r="DU915" s="52"/>
      <c r="DV915" s="52"/>
      <c r="DW915" s="52"/>
      <c r="DX915" s="52"/>
      <c r="DZ915"/>
      <c r="EA915" s="19"/>
      <c r="EB915" s="19"/>
      <c r="EC915" s="9"/>
      <c r="ED915" s="9"/>
      <c r="EE915" s="9"/>
      <c r="EF915" s="9"/>
      <c r="EG915" s="9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3"/>
      <c r="FJ915" s="13"/>
      <c r="FK915" s="13"/>
      <c r="FL915" s="13"/>
      <c r="FM915" s="13"/>
      <c r="FN915" s="13"/>
      <c r="FO915" s="13"/>
      <c r="FP915" s="13"/>
      <c r="FQ915" s="13"/>
      <c r="FR915" s="13"/>
      <c r="FS915" s="13"/>
      <c r="FT915" s="13"/>
      <c r="FU915" s="13"/>
      <c r="FV915" s="13"/>
      <c r="FW915" s="13"/>
      <c r="FX915" s="13"/>
      <c r="FY915" s="13"/>
      <c r="FZ915" s="13"/>
      <c r="GA915" s="13"/>
    </row>
    <row r="916" spans="1:183" s="43" customFormat="1" x14ac:dyDescent="0.25">
      <c r="A916" s="2"/>
      <c r="B916" s="2"/>
      <c r="C916" s="9">
        <v>21</v>
      </c>
      <c r="D916" s="9">
        <v>45</v>
      </c>
      <c r="E916" s="9">
        <v>51</v>
      </c>
      <c r="F916" s="9">
        <v>58</v>
      </c>
      <c r="G916" s="9">
        <v>63</v>
      </c>
      <c r="H916" s="9">
        <v>87</v>
      </c>
      <c r="J916" s="9">
        <v>87</v>
      </c>
      <c r="L916" s="39">
        <v>44933</v>
      </c>
      <c r="N916"/>
      <c r="O916"/>
      <c r="P916"/>
      <c r="Q916"/>
      <c r="R916"/>
      <c r="S916"/>
      <c r="T916"/>
      <c r="U916"/>
      <c r="V916"/>
      <c r="W916" s="52"/>
      <c r="Y916"/>
      <c r="Z916"/>
      <c r="AA916"/>
      <c r="AB916"/>
      <c r="AC916"/>
      <c r="AD916"/>
      <c r="AE916"/>
      <c r="AF916"/>
      <c r="AG916"/>
      <c r="AH916" s="52"/>
      <c r="AI916" s="148"/>
      <c r="AJ916" s="19"/>
      <c r="AK916" s="19"/>
      <c r="AL916" s="19"/>
      <c r="AM916" s="19"/>
      <c r="AN916" s="42"/>
      <c r="AO916" s="54"/>
      <c r="AP916" s="19"/>
      <c r="AQ916" s="1"/>
      <c r="AR916" s="74"/>
      <c r="AS916" s="42"/>
      <c r="AT916" s="54"/>
      <c r="AU916" s="54"/>
      <c r="AV916" s="19"/>
      <c r="AW916" s="54"/>
      <c r="AX916" s="57"/>
      <c r="AY916" s="54"/>
      <c r="AZ916" s="54"/>
      <c r="BA916" s="54"/>
      <c r="BB916" s="54"/>
      <c r="BC916" s="57"/>
      <c r="BD916" s="19"/>
      <c r="BE916" s="19"/>
      <c r="BF916" s="19"/>
      <c r="BG916" s="54"/>
      <c r="BI916" s="54"/>
      <c r="BJ916" s="55"/>
      <c r="BK916" s="55"/>
      <c r="BL916" s="54"/>
      <c r="BM916" s="56"/>
      <c r="BN916" s="56"/>
      <c r="BO916" s="52"/>
      <c r="BP916" s="52"/>
      <c r="BQ916" s="52"/>
      <c r="BR916" s="52"/>
      <c r="BS916" s="52"/>
      <c r="BT916" s="52"/>
      <c r="BU916" s="52"/>
      <c r="BV916" s="52"/>
      <c r="BW916" s="52"/>
      <c r="BX916" s="52"/>
      <c r="BY916" s="52"/>
      <c r="BZ916" s="52"/>
      <c r="CA916" s="52"/>
      <c r="CB916" s="52"/>
      <c r="CC916" s="52"/>
      <c r="CD916" s="52"/>
      <c r="CE916" s="52"/>
      <c r="CF916" s="52"/>
      <c r="CG916" s="52"/>
      <c r="CH916" s="52"/>
      <c r="CI916" s="52"/>
      <c r="CJ916" s="52"/>
      <c r="CK916" s="52"/>
      <c r="CL916" s="52"/>
      <c r="CM916" s="52"/>
      <c r="CN916" s="52"/>
      <c r="CO916" s="52"/>
      <c r="CP916" s="52"/>
      <c r="CQ916" s="52"/>
      <c r="CR916" s="52"/>
      <c r="CS916" s="52"/>
      <c r="CT916" s="52"/>
      <c r="CU916" s="52"/>
      <c r="CV916" s="52"/>
      <c r="CW916" s="52"/>
      <c r="CX916" s="52"/>
      <c r="CY916" s="52"/>
      <c r="CZ916" s="52"/>
      <c r="DA916" s="52"/>
      <c r="DB916" s="52"/>
      <c r="DC916" s="52"/>
      <c r="DD916" s="52"/>
      <c r="DE916" s="52"/>
      <c r="DF916" s="52"/>
      <c r="DG916" s="52"/>
      <c r="DH916" s="52"/>
      <c r="DI916" s="52"/>
      <c r="DJ916" s="52"/>
      <c r="DK916" s="52"/>
      <c r="DL916" s="52"/>
      <c r="DM916" s="52"/>
      <c r="DN916" s="52"/>
      <c r="DO916" s="52"/>
      <c r="DP916" s="52"/>
      <c r="DQ916" s="52"/>
      <c r="DR916" s="52"/>
      <c r="DS916" s="52"/>
      <c r="DT916" s="52"/>
      <c r="DU916" s="52"/>
      <c r="DV916" s="52"/>
      <c r="DW916" s="52"/>
      <c r="DX916" s="52"/>
      <c r="DZ916"/>
      <c r="EA916" s="19"/>
      <c r="EB916" s="19"/>
      <c r="EC916" s="9"/>
      <c r="ED916" s="9"/>
      <c r="EE916" s="9"/>
      <c r="EF916" s="9"/>
      <c r="EG916" s="9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3"/>
      <c r="FD916" s="13"/>
      <c r="FE916" s="13"/>
      <c r="FF916" s="13"/>
      <c r="FG916" s="13"/>
      <c r="FH916" s="13"/>
      <c r="FI916" s="13"/>
      <c r="FJ916" s="13"/>
      <c r="FK916" s="13"/>
      <c r="FL916" s="13"/>
      <c r="FM916" s="13"/>
      <c r="FN916" s="13"/>
      <c r="FO916" s="13"/>
      <c r="FP916" s="13"/>
      <c r="FQ916" s="13"/>
      <c r="FR916" s="13"/>
      <c r="FS916" s="13"/>
      <c r="FT916" s="13"/>
      <c r="FU916" s="13"/>
      <c r="FV916" s="13"/>
      <c r="FW916" s="13"/>
      <c r="FX916" s="13"/>
      <c r="FY916" s="13"/>
      <c r="FZ916" s="13"/>
      <c r="GA916" s="13"/>
    </row>
    <row r="917" spans="1:183" s="43" customFormat="1" x14ac:dyDescent="0.25">
      <c r="A917" s="2"/>
      <c r="B917" s="2"/>
      <c r="C917" s="9">
        <v>5</v>
      </c>
      <c r="D917" s="9">
        <v>28</v>
      </c>
      <c r="E917" s="9">
        <v>48</v>
      </c>
      <c r="F917" s="9">
        <v>60</v>
      </c>
      <c r="G917" s="9">
        <v>63</v>
      </c>
      <c r="H917" s="9">
        <v>80</v>
      </c>
      <c r="J917" s="9">
        <v>80</v>
      </c>
      <c r="L917" s="39">
        <v>44930</v>
      </c>
      <c r="N917"/>
      <c r="O917"/>
      <c r="P917"/>
      <c r="Q917"/>
      <c r="R917"/>
      <c r="S917"/>
      <c r="T917"/>
      <c r="U917"/>
      <c r="V917"/>
      <c r="W917" s="52"/>
      <c r="Y917"/>
      <c r="Z917"/>
      <c r="AA917"/>
      <c r="AB917"/>
      <c r="AC917"/>
      <c r="AD917"/>
      <c r="AE917"/>
      <c r="AF917"/>
      <c r="AG917"/>
      <c r="AH917" s="52"/>
      <c r="AI917" s="148"/>
      <c r="AJ917" s="19"/>
      <c r="AK917" s="19"/>
      <c r="AL917" s="19"/>
      <c r="AM917" s="19"/>
      <c r="AN917" s="42"/>
      <c r="AO917" s="54"/>
      <c r="AP917" s="19"/>
      <c r="AQ917" s="1"/>
      <c r="AR917" s="74"/>
      <c r="AS917" s="42"/>
      <c r="AT917" s="54"/>
      <c r="AU917" s="54"/>
      <c r="AV917" s="19"/>
      <c r="AW917" s="54"/>
      <c r="AX917" s="57"/>
      <c r="AY917" s="54"/>
      <c r="AZ917" s="54"/>
      <c r="BA917" s="54"/>
      <c r="BB917" s="54"/>
      <c r="BC917" s="57"/>
      <c r="BD917" s="19"/>
      <c r="BE917" s="19"/>
      <c r="BF917" s="19"/>
      <c r="BG917" s="54"/>
      <c r="BI917" s="54"/>
      <c r="BJ917" s="55"/>
      <c r="BK917" s="55"/>
      <c r="BL917" s="54"/>
      <c r="BM917" s="56"/>
      <c r="BN917" s="56"/>
      <c r="BO917" s="52"/>
      <c r="BP917" s="52"/>
      <c r="BQ917" s="52"/>
      <c r="BR917" s="52"/>
      <c r="BS917" s="52"/>
      <c r="BT917" s="52"/>
      <c r="BU917" s="52"/>
      <c r="BV917" s="52"/>
      <c r="BW917" s="52"/>
      <c r="BX917" s="52"/>
      <c r="BY917" s="52"/>
      <c r="BZ917" s="52"/>
      <c r="CA917" s="52"/>
      <c r="CB917" s="52"/>
      <c r="CC917" s="52"/>
      <c r="CD917" s="52"/>
      <c r="CE917" s="52"/>
      <c r="CF917" s="52"/>
      <c r="CG917" s="52"/>
      <c r="CH917" s="52"/>
      <c r="CI917" s="52"/>
      <c r="CJ917" s="52"/>
      <c r="CK917" s="52"/>
      <c r="CL917" s="52"/>
      <c r="CM917" s="52"/>
      <c r="CN917" s="52"/>
      <c r="CO917" s="52"/>
      <c r="CP917" s="52"/>
      <c r="CQ917" s="52"/>
      <c r="CR917" s="52"/>
      <c r="CS917" s="52"/>
      <c r="CT917" s="52"/>
      <c r="CU917" s="52"/>
      <c r="CV917" s="52"/>
      <c r="CW917" s="52"/>
      <c r="CX917" s="52"/>
      <c r="CY917" s="52"/>
      <c r="CZ917" s="52"/>
      <c r="DA917" s="52"/>
      <c r="DB917" s="52"/>
      <c r="DC917" s="52"/>
      <c r="DD917" s="52"/>
      <c r="DE917" s="52"/>
      <c r="DF917" s="52"/>
      <c r="DG917" s="52"/>
      <c r="DH917" s="52"/>
      <c r="DI917" s="52"/>
      <c r="DJ917" s="52"/>
      <c r="DK917" s="52"/>
      <c r="DL917" s="52"/>
      <c r="DM917" s="52"/>
      <c r="DN917" s="52"/>
      <c r="DO917" s="52"/>
      <c r="DP917" s="52"/>
      <c r="DQ917" s="52"/>
      <c r="DR917" s="52"/>
      <c r="DS917" s="52"/>
      <c r="DT917" s="52"/>
      <c r="DU917" s="52"/>
      <c r="DV917" s="52"/>
      <c r="DW917" s="52"/>
      <c r="DX917" s="52"/>
      <c r="DZ917"/>
      <c r="EA917" s="19"/>
      <c r="EB917" s="19"/>
      <c r="EC917" s="9"/>
      <c r="ED917" s="9"/>
      <c r="EE917" s="9"/>
      <c r="EF917" s="9"/>
      <c r="EG917" s="9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3"/>
      <c r="FD917" s="13"/>
      <c r="FE917" s="13"/>
      <c r="FF917" s="13"/>
      <c r="FG917" s="13"/>
      <c r="FH917" s="13"/>
      <c r="FI917" s="13"/>
      <c r="FJ917" s="13"/>
      <c r="FK917" s="13"/>
      <c r="FL917" s="13"/>
      <c r="FM917" s="13"/>
      <c r="FN917" s="13"/>
      <c r="FO917" s="13"/>
      <c r="FP917" s="13"/>
      <c r="FQ917" s="13"/>
      <c r="FR917" s="13"/>
      <c r="FS917" s="13"/>
      <c r="FT917" s="13"/>
      <c r="FU917" s="13"/>
      <c r="FV917" s="13"/>
      <c r="FW917" s="13"/>
      <c r="FX917" s="13"/>
      <c r="FY917" s="13"/>
      <c r="FZ917" s="13"/>
      <c r="GA917" s="13"/>
    </row>
    <row r="918" spans="1:183" s="43" customFormat="1" x14ac:dyDescent="0.25">
      <c r="A918" s="2"/>
      <c r="B918" s="2"/>
      <c r="C918" s="9">
        <v>2</v>
      </c>
      <c r="D918" s="9">
        <v>6</v>
      </c>
      <c r="E918" s="9">
        <v>9</v>
      </c>
      <c r="F918" s="9">
        <v>25</v>
      </c>
      <c r="G918" s="9">
        <v>50</v>
      </c>
      <c r="H918" s="9">
        <v>65</v>
      </c>
      <c r="J918" s="9">
        <v>65</v>
      </c>
      <c r="L918" s="39">
        <v>44928</v>
      </c>
      <c r="N918"/>
      <c r="O918"/>
      <c r="P918"/>
      <c r="Q918"/>
      <c r="R918"/>
      <c r="S918"/>
      <c r="T918"/>
      <c r="U918"/>
      <c r="V918"/>
      <c r="W918" s="52"/>
      <c r="Y918"/>
      <c r="Z918"/>
      <c r="AA918"/>
      <c r="AB918"/>
      <c r="AC918"/>
      <c r="AD918"/>
      <c r="AE918"/>
      <c r="AF918"/>
      <c r="AG918"/>
      <c r="AH918" s="52"/>
      <c r="AI918" s="148"/>
      <c r="AJ918" s="19"/>
      <c r="AK918" s="19"/>
      <c r="AL918" s="19"/>
      <c r="AM918" s="19"/>
      <c r="AN918" s="42"/>
      <c r="AO918" s="54"/>
      <c r="AP918" s="19"/>
      <c r="AQ918" s="1"/>
      <c r="AR918" s="74"/>
      <c r="AS918" s="42"/>
      <c r="AT918" s="54"/>
      <c r="AU918" s="54"/>
      <c r="AV918" s="19"/>
      <c r="AW918" s="54"/>
      <c r="AX918" s="57"/>
      <c r="AY918" s="54"/>
      <c r="AZ918" s="54"/>
      <c r="BA918" s="54"/>
      <c r="BB918" s="54"/>
      <c r="BC918" s="57"/>
      <c r="BD918" s="19"/>
      <c r="BE918" s="19"/>
      <c r="BF918" s="19"/>
      <c r="BG918" s="54"/>
      <c r="BI918" s="54"/>
      <c r="BJ918" s="55"/>
      <c r="BK918" s="55"/>
      <c r="BL918" s="54"/>
      <c r="BM918" s="56"/>
      <c r="BN918" s="56"/>
      <c r="BO918" s="52"/>
      <c r="BP918" s="52"/>
      <c r="BQ918" s="52"/>
      <c r="BR918" s="52"/>
      <c r="BS918" s="52"/>
      <c r="BT918" s="52"/>
      <c r="BU918" s="52"/>
      <c r="BV918" s="52"/>
      <c r="BW918" s="52"/>
      <c r="BX918" s="52"/>
      <c r="BY918" s="52"/>
      <c r="BZ918" s="52"/>
      <c r="CA918" s="52"/>
      <c r="CB918" s="52"/>
      <c r="CC918" s="52"/>
      <c r="CD918" s="52"/>
      <c r="CE918" s="52"/>
      <c r="CF918" s="52"/>
      <c r="CG918" s="52"/>
      <c r="CH918" s="52"/>
      <c r="CI918" s="52"/>
      <c r="CJ918" s="52"/>
      <c r="CK918" s="52"/>
      <c r="CL918" s="52"/>
      <c r="CM918" s="52"/>
      <c r="CN918" s="52"/>
      <c r="CO918" s="52"/>
      <c r="CP918" s="52"/>
      <c r="CQ918" s="52"/>
      <c r="CR918" s="52"/>
      <c r="CS918" s="52"/>
      <c r="CT918" s="52"/>
      <c r="CU918" s="52"/>
      <c r="CV918" s="52"/>
      <c r="CW918" s="52"/>
      <c r="CX918" s="52"/>
      <c r="CY918" s="52"/>
      <c r="CZ918" s="52"/>
      <c r="DA918" s="52"/>
      <c r="DB918" s="52"/>
      <c r="DC918" s="52"/>
      <c r="DD918" s="52"/>
      <c r="DE918" s="52"/>
      <c r="DF918" s="52"/>
      <c r="DG918" s="52"/>
      <c r="DH918" s="52"/>
      <c r="DI918" s="52"/>
      <c r="DJ918" s="52"/>
      <c r="DK918" s="52"/>
      <c r="DL918" s="52"/>
      <c r="DM918" s="52"/>
      <c r="DN918" s="52"/>
      <c r="DO918" s="52"/>
      <c r="DP918" s="52"/>
      <c r="DQ918" s="52"/>
      <c r="DR918" s="52"/>
      <c r="DS918" s="52"/>
      <c r="DT918" s="52"/>
      <c r="DU918" s="52"/>
      <c r="DV918" s="52"/>
      <c r="DW918" s="52"/>
      <c r="DX918" s="52"/>
      <c r="DZ918"/>
      <c r="EA918" s="19"/>
      <c r="EB918" s="19"/>
      <c r="EC918" s="9"/>
      <c r="ED918" s="9"/>
      <c r="EE918" s="9"/>
      <c r="EF918" s="9"/>
      <c r="EG918" s="9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3"/>
      <c r="FD918" s="13"/>
      <c r="FE918" s="13"/>
      <c r="FF918" s="13"/>
      <c r="FG918" s="13"/>
      <c r="FH918" s="13"/>
      <c r="FI918" s="13"/>
      <c r="FJ918" s="13"/>
      <c r="FK918" s="13"/>
      <c r="FL918" s="13"/>
      <c r="FM918" s="13"/>
      <c r="FN918" s="13"/>
      <c r="FO918" s="13"/>
      <c r="FP918" s="13"/>
      <c r="FQ918" s="13"/>
      <c r="FR918" s="13"/>
      <c r="FS918" s="13"/>
      <c r="FT918" s="13"/>
      <c r="FU918" s="13"/>
      <c r="FV918" s="13"/>
      <c r="FW918" s="13"/>
      <c r="FX918" s="13"/>
      <c r="FY918" s="13"/>
      <c r="FZ918" s="13"/>
      <c r="GA918" s="13"/>
    </row>
    <row r="919" spans="1:183" s="43" customFormat="1" x14ac:dyDescent="0.25">
      <c r="A919" s="2"/>
      <c r="B919" s="2"/>
      <c r="C919" s="9">
        <v>5</v>
      </c>
      <c r="D919" s="9">
        <v>11</v>
      </c>
      <c r="E919" s="9">
        <v>12</v>
      </c>
      <c r="F919" s="9">
        <v>18</v>
      </c>
      <c r="G919" s="9">
        <v>34</v>
      </c>
      <c r="H919" s="9">
        <v>85</v>
      </c>
      <c r="J919" s="9">
        <v>85</v>
      </c>
      <c r="L919" s="39">
        <v>44246</v>
      </c>
      <c r="N919"/>
      <c r="O919"/>
      <c r="P919"/>
      <c r="Q919"/>
      <c r="R919"/>
      <c r="S919"/>
      <c r="T919"/>
      <c r="U919"/>
      <c r="V919"/>
      <c r="W919" s="52"/>
      <c r="Y919"/>
      <c r="Z919"/>
      <c r="AA919"/>
      <c r="AB919"/>
      <c r="AC919"/>
      <c r="AD919"/>
      <c r="AE919"/>
      <c r="AF919"/>
      <c r="AG919"/>
      <c r="AH919" s="52"/>
      <c r="AI919" s="148"/>
      <c r="AJ919" s="19"/>
      <c r="AK919" s="19"/>
      <c r="AL919" s="19"/>
      <c r="AM919" s="19"/>
      <c r="AN919" s="42"/>
      <c r="AO919" s="54"/>
      <c r="AP919" s="19"/>
      <c r="AQ919" s="1"/>
      <c r="AR919" s="74"/>
      <c r="AS919" s="42"/>
      <c r="AT919" s="54"/>
      <c r="AU919" s="54"/>
      <c r="AV919" s="19"/>
      <c r="AW919" s="54"/>
      <c r="AX919" s="57"/>
      <c r="AY919" s="54"/>
      <c r="AZ919" s="54"/>
      <c r="BA919" s="54"/>
      <c r="BB919" s="54"/>
      <c r="BC919" s="57"/>
      <c r="BD919" s="19"/>
      <c r="BE919" s="19"/>
      <c r="BF919" s="19"/>
      <c r="BG919" s="54"/>
      <c r="BI919" s="54"/>
      <c r="BJ919" s="55"/>
      <c r="BK919" s="55"/>
      <c r="BL919" s="54"/>
      <c r="BM919" s="56"/>
      <c r="BN919" s="56"/>
      <c r="BO919" s="52"/>
      <c r="BP919" s="52"/>
      <c r="BQ919" s="52"/>
      <c r="BR919" s="52"/>
      <c r="BS919" s="52"/>
      <c r="BT919" s="52"/>
      <c r="BU919" s="52"/>
      <c r="BV919" s="52"/>
      <c r="BW919" s="52"/>
      <c r="BX919" s="52"/>
      <c r="BY919" s="52"/>
      <c r="BZ919" s="52"/>
      <c r="CA919" s="52"/>
      <c r="CB919" s="52"/>
      <c r="CC919" s="52"/>
      <c r="CD919" s="52"/>
      <c r="CE919" s="52"/>
      <c r="CF919" s="52"/>
      <c r="CG919" s="52"/>
      <c r="CH919" s="52"/>
      <c r="CI919" s="52"/>
      <c r="CJ919" s="52"/>
      <c r="CK919" s="52"/>
      <c r="CL919" s="52"/>
      <c r="CM919" s="52"/>
      <c r="CN919" s="52"/>
      <c r="CO919" s="52"/>
      <c r="CP919" s="52"/>
      <c r="CQ919" s="52"/>
      <c r="CR919" s="52"/>
      <c r="CS919" s="52"/>
      <c r="CT919" s="52"/>
      <c r="CU919" s="52"/>
      <c r="CV919" s="52"/>
      <c r="CW919" s="52"/>
      <c r="CX919" s="52"/>
      <c r="CY919" s="52"/>
      <c r="CZ919" s="52"/>
      <c r="DA919" s="52"/>
      <c r="DB919" s="52"/>
      <c r="DC919" s="52"/>
      <c r="DD919" s="52"/>
      <c r="DE919" s="52"/>
      <c r="DF919" s="52"/>
      <c r="DG919" s="52"/>
      <c r="DH919" s="52"/>
      <c r="DI919" s="52"/>
      <c r="DJ919" s="52"/>
      <c r="DK919" s="52"/>
      <c r="DL919" s="52"/>
      <c r="DM919" s="52"/>
      <c r="DN919" s="52"/>
      <c r="DO919" s="52"/>
      <c r="DP919" s="52"/>
      <c r="DQ919" s="52"/>
      <c r="DR919" s="52"/>
      <c r="DS919" s="52"/>
      <c r="DT919" s="52"/>
      <c r="DU919" s="52"/>
      <c r="DV919" s="52"/>
      <c r="DW919" s="52"/>
      <c r="DX919" s="52"/>
      <c r="DZ919"/>
      <c r="EA919" s="19"/>
      <c r="EB919" s="19"/>
      <c r="EC919" s="9"/>
      <c r="ED919" s="9"/>
      <c r="EE919" s="9"/>
      <c r="EF919" s="9"/>
      <c r="EG919" s="9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  <c r="FI919" s="13"/>
      <c r="FJ919" s="13"/>
      <c r="FK919" s="13"/>
      <c r="FL919" s="13"/>
      <c r="FM919" s="13"/>
      <c r="FN919" s="13"/>
      <c r="FO919" s="13"/>
      <c r="FP919" s="13"/>
      <c r="FQ919" s="13"/>
      <c r="FR919" s="13"/>
      <c r="FS919" s="13"/>
      <c r="FT919" s="13"/>
      <c r="FU919" s="13"/>
      <c r="FV919" s="13"/>
      <c r="FW919" s="13"/>
      <c r="FX919" s="13"/>
      <c r="FY919" s="13"/>
      <c r="FZ919" s="13"/>
      <c r="GA919" s="13"/>
    </row>
    <row r="920" spans="1:183" s="43" customFormat="1" x14ac:dyDescent="0.25">
      <c r="A920" s="2"/>
      <c r="B920" s="2"/>
      <c r="C920" s="9">
        <v>23</v>
      </c>
      <c r="D920" s="9">
        <v>33</v>
      </c>
      <c r="E920" s="9">
        <v>38</v>
      </c>
      <c r="F920" s="9">
        <v>62</v>
      </c>
      <c r="G920" s="9">
        <v>80</v>
      </c>
      <c r="H920" s="9">
        <v>90</v>
      </c>
      <c r="J920" s="9">
        <v>90</v>
      </c>
      <c r="L920" s="39">
        <v>44239</v>
      </c>
      <c r="N920"/>
      <c r="O920"/>
      <c r="P920"/>
      <c r="Q920"/>
      <c r="R920"/>
      <c r="S920"/>
      <c r="T920"/>
      <c r="U920"/>
      <c r="V920"/>
      <c r="W920" s="52"/>
      <c r="Y920"/>
      <c r="Z920"/>
      <c r="AA920"/>
      <c r="AB920"/>
      <c r="AC920"/>
      <c r="AD920"/>
      <c r="AE920"/>
      <c r="AF920"/>
      <c r="AG920"/>
      <c r="AH920" s="52"/>
      <c r="AI920" s="148"/>
      <c r="AJ920" s="19"/>
      <c r="AK920" s="19"/>
      <c r="AL920" s="19"/>
      <c r="AM920" s="19"/>
      <c r="AN920" s="42"/>
      <c r="AO920" s="54"/>
      <c r="AP920" s="19"/>
      <c r="AQ920" s="1"/>
      <c r="AR920" s="74"/>
      <c r="AS920" s="42"/>
      <c r="AT920" s="54"/>
      <c r="AU920" s="54"/>
      <c r="AV920" s="19"/>
      <c r="AW920" s="54"/>
      <c r="AX920" s="57"/>
      <c r="AY920" s="54"/>
      <c r="AZ920" s="54"/>
      <c r="BA920" s="54"/>
      <c r="BB920" s="54"/>
      <c r="BC920" s="57"/>
      <c r="BD920" s="19"/>
      <c r="BE920" s="19"/>
      <c r="BF920" s="19"/>
      <c r="BG920" s="54"/>
      <c r="BI920" s="54"/>
      <c r="BJ920" s="55"/>
      <c r="BK920" s="55"/>
      <c r="BL920" s="54"/>
      <c r="BM920" s="56"/>
      <c r="BN920" s="56"/>
      <c r="BO920" s="52"/>
      <c r="BP920" s="52"/>
      <c r="BQ920" s="52"/>
      <c r="BR920" s="52"/>
      <c r="BS920" s="52"/>
      <c r="BT920" s="52"/>
      <c r="BU920" s="52"/>
      <c r="BV920" s="52"/>
      <c r="BW920" s="52"/>
      <c r="BX920" s="52"/>
      <c r="BY920" s="52"/>
      <c r="BZ920" s="52"/>
      <c r="CA920" s="52"/>
      <c r="CB920" s="52"/>
      <c r="CC920" s="52"/>
      <c r="CD920" s="52"/>
      <c r="CE920" s="52"/>
      <c r="CF920" s="52"/>
      <c r="CG920" s="52"/>
      <c r="CH920" s="52"/>
      <c r="CI920" s="52"/>
      <c r="CJ920" s="52"/>
      <c r="CK920" s="52"/>
      <c r="CL920" s="52"/>
      <c r="CM920" s="52"/>
      <c r="CN920" s="52"/>
      <c r="CO920" s="52"/>
      <c r="CP920" s="52"/>
      <c r="CQ920" s="52"/>
      <c r="CR920" s="52"/>
      <c r="CS920" s="52"/>
      <c r="CT920" s="52"/>
      <c r="CU920" s="52"/>
      <c r="CV920" s="52"/>
      <c r="CW920" s="52"/>
      <c r="CX920" s="52"/>
      <c r="CY920" s="52"/>
      <c r="CZ920" s="52"/>
      <c r="DA920" s="52"/>
      <c r="DB920" s="52"/>
      <c r="DC920" s="52"/>
      <c r="DD920" s="52"/>
      <c r="DE920" s="52"/>
      <c r="DF920" s="52"/>
      <c r="DG920" s="52"/>
      <c r="DH920" s="52"/>
      <c r="DI920" s="52"/>
      <c r="DJ920" s="52"/>
      <c r="DK920" s="52"/>
      <c r="DL920" s="52"/>
      <c r="DM920" s="52"/>
      <c r="DN920" s="52"/>
      <c r="DO920" s="52"/>
      <c r="DP920" s="52"/>
      <c r="DQ920" s="52"/>
      <c r="DR920" s="52"/>
      <c r="DS920" s="52"/>
      <c r="DT920" s="52"/>
      <c r="DU920" s="52"/>
      <c r="DV920" s="52"/>
      <c r="DW920" s="52"/>
      <c r="DX920" s="52"/>
      <c r="DZ920"/>
      <c r="EA920" s="19"/>
      <c r="EB920" s="19"/>
      <c r="EC920" s="9"/>
      <c r="ED920" s="9"/>
      <c r="EE920" s="9"/>
      <c r="EF920" s="9"/>
      <c r="EG920" s="9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  <c r="FT920" s="13"/>
      <c r="FU920" s="13"/>
      <c r="FV920" s="13"/>
      <c r="FW920" s="13"/>
      <c r="FX920" s="13"/>
      <c r="FY920" s="13"/>
      <c r="FZ920" s="13"/>
      <c r="GA920" s="13"/>
    </row>
    <row r="921" spans="1:183" s="43" customFormat="1" x14ac:dyDescent="0.25">
      <c r="A921" s="2"/>
      <c r="B921" s="2"/>
      <c r="C921" s="9">
        <v>34</v>
      </c>
      <c r="D921" s="9">
        <v>43</v>
      </c>
      <c r="E921" s="9">
        <v>47</v>
      </c>
      <c r="F921" s="9">
        <v>57</v>
      </c>
      <c r="G921" s="9">
        <v>73</v>
      </c>
      <c r="H921" s="9">
        <v>89</v>
      </c>
      <c r="J921" s="9">
        <v>89</v>
      </c>
      <c r="L921" s="39">
        <v>44559</v>
      </c>
      <c r="N921"/>
      <c r="O921"/>
      <c r="P921"/>
      <c r="Q921"/>
      <c r="R921"/>
      <c r="S921"/>
      <c r="T921"/>
      <c r="U921"/>
      <c r="V921"/>
      <c r="W921" s="52"/>
      <c r="Y921"/>
      <c r="Z921"/>
      <c r="AA921"/>
      <c r="AB921"/>
      <c r="AC921"/>
      <c r="AD921"/>
      <c r="AE921"/>
      <c r="AF921"/>
      <c r="AG921"/>
      <c r="AH921" s="52"/>
      <c r="AI921" s="148"/>
      <c r="AJ921" s="19"/>
      <c r="AK921" s="19"/>
      <c r="AL921" s="19"/>
      <c r="AM921" s="19"/>
      <c r="AN921" s="42"/>
      <c r="AO921" s="54"/>
      <c r="AP921" s="19"/>
      <c r="AQ921" s="1"/>
      <c r="AR921" s="74"/>
      <c r="AS921" s="42"/>
      <c r="AT921" s="54"/>
      <c r="AU921" s="54"/>
      <c r="AV921" s="19"/>
      <c r="AW921" s="54"/>
      <c r="AX921" s="57"/>
      <c r="AY921" s="54"/>
      <c r="AZ921" s="54"/>
      <c r="BA921" s="54"/>
      <c r="BB921" s="54"/>
      <c r="BC921" s="57"/>
      <c r="BD921" s="19"/>
      <c r="BE921" s="19"/>
      <c r="BF921" s="19"/>
      <c r="BG921" s="54"/>
      <c r="BI921" s="54"/>
      <c r="BJ921" s="55"/>
      <c r="BK921" s="55"/>
      <c r="BL921" s="54"/>
      <c r="BM921" s="56"/>
      <c r="BN921" s="56"/>
      <c r="BO921" s="52"/>
      <c r="BP921" s="52"/>
      <c r="BQ921" s="52"/>
      <c r="BR921" s="52"/>
      <c r="BS921" s="52"/>
      <c r="BT921" s="52"/>
      <c r="BU921" s="52"/>
      <c r="BV921" s="52"/>
      <c r="BW921" s="52"/>
      <c r="BX921" s="52"/>
      <c r="BY921" s="52"/>
      <c r="BZ921" s="52"/>
      <c r="CA921" s="52"/>
      <c r="CB921" s="52"/>
      <c r="CC921" s="52"/>
      <c r="CD921" s="52"/>
      <c r="CE921" s="52"/>
      <c r="CF921" s="52"/>
      <c r="CG921" s="52"/>
      <c r="CH921" s="52"/>
      <c r="CI921" s="52"/>
      <c r="CJ921" s="52"/>
      <c r="CK921" s="52"/>
      <c r="CL921" s="52"/>
      <c r="CM921" s="52"/>
      <c r="CN921" s="52"/>
      <c r="CO921" s="52"/>
      <c r="CP921" s="52"/>
      <c r="CQ921" s="52"/>
      <c r="CR921" s="52"/>
      <c r="CS921" s="52"/>
      <c r="CT921" s="52"/>
      <c r="CU921" s="52"/>
      <c r="CV921" s="52"/>
      <c r="CW921" s="52"/>
      <c r="CX921" s="52"/>
      <c r="CY921" s="52"/>
      <c r="CZ921" s="52"/>
      <c r="DA921" s="52"/>
      <c r="DB921" s="52"/>
      <c r="DC921" s="52"/>
      <c r="DD921" s="52"/>
      <c r="DE921" s="52"/>
      <c r="DF921" s="52"/>
      <c r="DG921" s="52"/>
      <c r="DH921" s="52"/>
      <c r="DI921" s="52"/>
      <c r="DJ921" s="52"/>
      <c r="DK921" s="52"/>
      <c r="DL921" s="52"/>
      <c r="DM921" s="52"/>
      <c r="DN921" s="52"/>
      <c r="DO921" s="52"/>
      <c r="DP921" s="52"/>
      <c r="DQ921" s="52"/>
      <c r="DR921" s="52"/>
      <c r="DS921" s="52"/>
      <c r="DT921" s="52"/>
      <c r="DU921" s="52"/>
      <c r="DV921" s="52"/>
      <c r="DW921" s="52"/>
      <c r="DX921" s="52"/>
      <c r="DZ921"/>
      <c r="EA921" s="19"/>
      <c r="EB921" s="19"/>
      <c r="EC921" s="9"/>
      <c r="ED921" s="9"/>
      <c r="EE921" s="9"/>
      <c r="EF921" s="9"/>
      <c r="EG921" s="9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/>
      <c r="FQ921" s="13"/>
      <c r="FR921" s="13"/>
      <c r="FS921" s="13"/>
      <c r="FT921" s="13"/>
      <c r="FU921" s="13"/>
      <c r="FV921" s="13"/>
      <c r="FW921" s="13"/>
      <c r="FX921" s="13"/>
      <c r="FY921" s="13"/>
      <c r="FZ921" s="13"/>
      <c r="GA921" s="13"/>
    </row>
    <row r="922" spans="1:183" s="43" customFormat="1" x14ac:dyDescent="0.25">
      <c r="A922" s="2"/>
      <c r="B922" s="2"/>
      <c r="C922" s="9">
        <v>6</v>
      </c>
      <c r="D922" s="9">
        <v>36</v>
      </c>
      <c r="E922" s="9">
        <v>54</v>
      </c>
      <c r="F922" s="9">
        <v>55</v>
      </c>
      <c r="G922" s="9">
        <v>85</v>
      </c>
      <c r="H922" s="9">
        <v>88</v>
      </c>
      <c r="J922" s="9">
        <v>88</v>
      </c>
      <c r="L922" s="39">
        <v>44557</v>
      </c>
      <c r="N922"/>
      <c r="O922"/>
      <c r="P922"/>
      <c r="Q922"/>
      <c r="R922"/>
      <c r="S922"/>
      <c r="T922"/>
      <c r="U922"/>
      <c r="V922"/>
      <c r="W922" s="52"/>
      <c r="Y922"/>
      <c r="Z922"/>
      <c r="AA922"/>
      <c r="AB922"/>
      <c r="AC922"/>
      <c r="AD922"/>
      <c r="AE922"/>
      <c r="AF922"/>
      <c r="AG922"/>
      <c r="AH922" s="52"/>
      <c r="AI922" s="148"/>
      <c r="AJ922" s="19"/>
      <c r="AK922" s="19"/>
      <c r="AL922" s="19"/>
      <c r="AM922" s="19"/>
      <c r="AN922" s="42"/>
      <c r="AO922" s="54"/>
      <c r="AP922" s="19"/>
      <c r="AQ922" s="1"/>
      <c r="AR922" s="74"/>
      <c r="AS922" s="42"/>
      <c r="AT922" s="54"/>
      <c r="AU922" s="54"/>
      <c r="AV922" s="19"/>
      <c r="AW922" s="54"/>
      <c r="AX922" s="57"/>
      <c r="AY922" s="54"/>
      <c r="AZ922" s="54"/>
      <c r="BA922" s="54"/>
      <c r="BB922" s="54"/>
      <c r="BC922" s="57"/>
      <c r="BD922" s="19"/>
      <c r="BE922" s="19"/>
      <c r="BF922" s="19"/>
      <c r="BG922" s="54"/>
      <c r="BI922" s="54"/>
      <c r="BJ922" s="55"/>
      <c r="BK922" s="55"/>
      <c r="BL922" s="54"/>
      <c r="BM922" s="56"/>
      <c r="BN922" s="56"/>
      <c r="BO922" s="52"/>
      <c r="BP922" s="52"/>
      <c r="BQ922" s="52"/>
      <c r="BR922" s="52"/>
      <c r="BS922" s="52"/>
      <c r="BT922" s="52"/>
      <c r="BU922" s="52"/>
      <c r="BV922" s="52"/>
      <c r="BW922" s="52"/>
      <c r="BX922" s="52"/>
      <c r="BY922" s="52"/>
      <c r="BZ922" s="52"/>
      <c r="CA922" s="52"/>
      <c r="CB922" s="52"/>
      <c r="CC922" s="52"/>
      <c r="CD922" s="52"/>
      <c r="CE922" s="52"/>
      <c r="CF922" s="52"/>
      <c r="CG922" s="52"/>
      <c r="CH922" s="52"/>
      <c r="CI922" s="52"/>
      <c r="CJ922" s="52"/>
      <c r="CK922" s="52"/>
      <c r="CL922" s="52"/>
      <c r="CM922" s="52"/>
      <c r="CN922" s="52"/>
      <c r="CO922" s="52"/>
      <c r="CP922" s="52"/>
      <c r="CQ922" s="52"/>
      <c r="CR922" s="52"/>
      <c r="CS922" s="52"/>
      <c r="CT922" s="52"/>
      <c r="CU922" s="52"/>
      <c r="CV922" s="52"/>
      <c r="CW922" s="52"/>
      <c r="CX922" s="52"/>
      <c r="CY922" s="52"/>
      <c r="CZ922" s="52"/>
      <c r="DA922" s="52"/>
      <c r="DB922" s="52"/>
      <c r="DC922" s="52"/>
      <c r="DD922" s="52"/>
      <c r="DE922" s="52"/>
      <c r="DF922" s="52"/>
      <c r="DG922" s="52"/>
      <c r="DH922" s="52"/>
      <c r="DI922" s="52"/>
      <c r="DJ922" s="52"/>
      <c r="DK922" s="52"/>
      <c r="DL922" s="52"/>
      <c r="DM922" s="52"/>
      <c r="DN922" s="52"/>
      <c r="DO922" s="52"/>
      <c r="DP922" s="52"/>
      <c r="DQ922" s="52"/>
      <c r="DR922" s="52"/>
      <c r="DS922" s="52"/>
      <c r="DT922" s="52"/>
      <c r="DU922" s="52"/>
      <c r="DV922" s="52"/>
      <c r="DW922" s="52"/>
      <c r="DX922" s="52"/>
      <c r="DZ922"/>
      <c r="EA922" s="19"/>
      <c r="EB922" s="19"/>
      <c r="EC922" s="9"/>
      <c r="ED922" s="9"/>
      <c r="EE922" s="9"/>
      <c r="EF922" s="9"/>
      <c r="EG922" s="9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3"/>
      <c r="FD922" s="13"/>
      <c r="FE922" s="13"/>
      <c r="FF922" s="13"/>
      <c r="FG922" s="13"/>
      <c r="FH922" s="13"/>
      <c r="FI922" s="13"/>
      <c r="FJ922" s="13"/>
      <c r="FK922" s="13"/>
      <c r="FL922" s="13"/>
      <c r="FM922" s="13"/>
      <c r="FN922" s="13"/>
      <c r="FO922" s="13"/>
      <c r="FP922" s="13"/>
      <c r="FQ922" s="13"/>
      <c r="FR922" s="13"/>
      <c r="FS922" s="13"/>
      <c r="FT922" s="13"/>
      <c r="FU922" s="13"/>
      <c r="FV922" s="13"/>
      <c r="FW922" s="13"/>
      <c r="FX922" s="13"/>
      <c r="FY922" s="13"/>
      <c r="FZ922" s="13"/>
      <c r="GA922" s="13"/>
    </row>
    <row r="923" spans="1:183" s="43" customFormat="1" x14ac:dyDescent="0.25">
      <c r="A923" s="2"/>
      <c r="B923" s="2"/>
      <c r="C923" s="9">
        <v>10</v>
      </c>
      <c r="D923" s="9">
        <v>45</v>
      </c>
      <c r="E923" s="9">
        <v>53</v>
      </c>
      <c r="F923" s="9">
        <v>66</v>
      </c>
      <c r="G923" s="9">
        <v>77</v>
      </c>
      <c r="H923" s="9">
        <v>88</v>
      </c>
      <c r="J923" s="9">
        <v>88</v>
      </c>
      <c r="L923" s="39">
        <v>44555</v>
      </c>
      <c r="N923"/>
      <c r="O923"/>
      <c r="P923"/>
      <c r="Q923"/>
      <c r="R923"/>
      <c r="S923"/>
      <c r="T923"/>
      <c r="U923"/>
      <c r="V923"/>
      <c r="W923" s="52"/>
      <c r="Y923"/>
      <c r="Z923"/>
      <c r="AA923"/>
      <c r="AB923"/>
      <c r="AC923"/>
      <c r="AD923"/>
      <c r="AE923"/>
      <c r="AF923"/>
      <c r="AG923"/>
      <c r="AH923" s="52"/>
      <c r="AI923" s="148"/>
      <c r="AJ923" s="19"/>
      <c r="AK923" s="19"/>
      <c r="AL923" s="19"/>
      <c r="AM923" s="19"/>
      <c r="AN923" s="42"/>
      <c r="AO923" s="54"/>
      <c r="AP923" s="19"/>
      <c r="AQ923" s="1"/>
      <c r="AR923" s="74"/>
      <c r="AS923" s="42"/>
      <c r="AT923" s="54"/>
      <c r="AU923" s="54"/>
      <c r="AV923" s="19"/>
      <c r="AW923" s="54"/>
      <c r="AX923" s="57"/>
      <c r="AY923" s="54"/>
      <c r="AZ923" s="54"/>
      <c r="BA923" s="54"/>
      <c r="BB923" s="54"/>
      <c r="BC923" s="57"/>
      <c r="BD923" s="19"/>
      <c r="BE923" s="19"/>
      <c r="BF923" s="19"/>
      <c r="BG923" s="54"/>
      <c r="BI923" s="54"/>
      <c r="BJ923" s="55"/>
      <c r="BK923" s="55"/>
      <c r="BL923" s="54"/>
      <c r="BM923" s="56"/>
      <c r="BN923" s="56"/>
      <c r="BO923" s="52"/>
      <c r="BP923" s="52"/>
      <c r="BQ923" s="52"/>
      <c r="BR923" s="52"/>
      <c r="BS923" s="52"/>
      <c r="BT923" s="52"/>
      <c r="BU923" s="52"/>
      <c r="BV923" s="52"/>
      <c r="BW923" s="52"/>
      <c r="BX923" s="52"/>
      <c r="BY923" s="52"/>
      <c r="BZ923" s="52"/>
      <c r="CA923" s="52"/>
      <c r="CB923" s="52"/>
      <c r="CC923" s="52"/>
      <c r="CD923" s="52"/>
      <c r="CE923" s="52"/>
      <c r="CF923" s="52"/>
      <c r="CG923" s="52"/>
      <c r="CH923" s="52"/>
      <c r="CI923" s="52"/>
      <c r="CJ923" s="52"/>
      <c r="CK923" s="52"/>
      <c r="CL923" s="52"/>
      <c r="CM923" s="52"/>
      <c r="CN923" s="52"/>
      <c r="CO923" s="52"/>
      <c r="CP923" s="52"/>
      <c r="CQ923" s="52"/>
      <c r="CR923" s="52"/>
      <c r="CS923" s="52"/>
      <c r="CT923" s="52"/>
      <c r="CU923" s="52"/>
      <c r="CV923" s="52"/>
      <c r="CW923" s="52"/>
      <c r="CX923" s="52"/>
      <c r="CY923" s="52"/>
      <c r="CZ923" s="52"/>
      <c r="DA923" s="52"/>
      <c r="DB923" s="52"/>
      <c r="DC923" s="52"/>
      <c r="DD923" s="52"/>
      <c r="DE923" s="52"/>
      <c r="DF923" s="52"/>
      <c r="DG923" s="52"/>
      <c r="DH923" s="52"/>
      <c r="DI923" s="52"/>
      <c r="DJ923" s="52"/>
      <c r="DK923" s="52"/>
      <c r="DL923" s="52"/>
      <c r="DM923" s="52"/>
      <c r="DN923" s="52"/>
      <c r="DO923" s="52"/>
      <c r="DP923" s="52"/>
      <c r="DQ923" s="52"/>
      <c r="DR923" s="52"/>
      <c r="DS923" s="52"/>
      <c r="DT923" s="52"/>
      <c r="DU923" s="52"/>
      <c r="DV923" s="52"/>
      <c r="DW923" s="52"/>
      <c r="DX923" s="52"/>
      <c r="DZ923"/>
      <c r="EA923" s="19"/>
      <c r="EB923" s="19"/>
      <c r="EC923" s="9"/>
      <c r="ED923" s="9"/>
      <c r="EE923" s="9"/>
      <c r="EF923" s="9"/>
      <c r="EG923" s="9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3"/>
      <c r="FD923" s="13"/>
      <c r="FE923" s="13"/>
      <c r="FF923" s="13"/>
      <c r="FG923" s="13"/>
      <c r="FH923" s="13"/>
      <c r="FI923" s="13"/>
      <c r="FJ923" s="13"/>
      <c r="FK923" s="13"/>
      <c r="FL923" s="13"/>
      <c r="FM923" s="13"/>
      <c r="FN923" s="13"/>
      <c r="FO923" s="13"/>
      <c r="FP923" s="13"/>
      <c r="FQ923" s="13"/>
      <c r="FR923" s="13"/>
      <c r="FS923" s="13"/>
      <c r="FT923" s="13"/>
      <c r="FU923" s="13"/>
      <c r="FV923" s="13"/>
      <c r="FW923" s="13"/>
      <c r="FX923" s="13"/>
      <c r="FY923" s="13"/>
      <c r="FZ923" s="13"/>
      <c r="GA923" s="13"/>
    </row>
    <row r="924" spans="1:183" s="43" customFormat="1" x14ac:dyDescent="0.25">
      <c r="A924" s="2"/>
      <c r="B924" s="2"/>
      <c r="C924" s="9">
        <v>6</v>
      </c>
      <c r="D924" s="9">
        <v>12</v>
      </c>
      <c r="E924" s="9">
        <v>14</v>
      </c>
      <c r="F924" s="9">
        <v>48</v>
      </c>
      <c r="G924" s="9">
        <v>55</v>
      </c>
      <c r="H924" s="9">
        <v>72</v>
      </c>
      <c r="J924" s="9">
        <v>72</v>
      </c>
      <c r="L924" s="39">
        <v>44552</v>
      </c>
      <c r="N924"/>
      <c r="O924"/>
      <c r="P924"/>
      <c r="Q924"/>
      <c r="R924"/>
      <c r="S924"/>
      <c r="T924"/>
      <c r="U924"/>
      <c r="V924"/>
      <c r="W924" s="52"/>
      <c r="Y924"/>
      <c r="Z924"/>
      <c r="AA924"/>
      <c r="AB924"/>
      <c r="AC924"/>
      <c r="AD924"/>
      <c r="AE924"/>
      <c r="AF924"/>
      <c r="AG924"/>
      <c r="AH924" s="52"/>
      <c r="AI924" s="148"/>
      <c r="AJ924" s="19"/>
      <c r="AK924" s="19"/>
      <c r="AL924" s="19"/>
      <c r="AM924" s="19"/>
      <c r="AN924" s="42"/>
      <c r="AO924" s="54"/>
      <c r="AP924" s="19"/>
      <c r="AQ924" s="1"/>
      <c r="AR924" s="74"/>
      <c r="AS924" s="42"/>
      <c r="AT924" s="54"/>
      <c r="AU924" s="54"/>
      <c r="AV924" s="19"/>
      <c r="AW924" s="54"/>
      <c r="AX924" s="57"/>
      <c r="AY924" s="54"/>
      <c r="AZ924" s="54"/>
      <c r="BA924" s="54"/>
      <c r="BB924" s="54"/>
      <c r="BC924" s="57"/>
      <c r="BD924" s="19"/>
      <c r="BE924" s="19"/>
      <c r="BF924" s="19"/>
      <c r="BG924" s="54"/>
      <c r="BI924" s="54"/>
      <c r="BJ924" s="55"/>
      <c r="BK924" s="55"/>
      <c r="BL924" s="54"/>
      <c r="BM924" s="56"/>
      <c r="BN924" s="56"/>
      <c r="BO924" s="52"/>
      <c r="BP924" s="52"/>
      <c r="BQ924" s="52"/>
      <c r="BR924" s="52"/>
      <c r="BS924" s="52"/>
      <c r="BT924" s="52"/>
      <c r="BU924" s="52"/>
      <c r="BV924" s="52"/>
      <c r="BW924" s="52"/>
      <c r="BX924" s="52"/>
      <c r="BY924" s="52"/>
      <c r="BZ924" s="52"/>
      <c r="CA924" s="52"/>
      <c r="CB924" s="52"/>
      <c r="CC924" s="52"/>
      <c r="CD924" s="52"/>
      <c r="CE924" s="52"/>
      <c r="CF924" s="52"/>
      <c r="CG924" s="52"/>
      <c r="CH924" s="52"/>
      <c r="CI924" s="52"/>
      <c r="CJ924" s="52"/>
      <c r="CK924" s="52"/>
      <c r="CL924" s="52"/>
      <c r="CM924" s="52"/>
      <c r="CN924" s="52"/>
      <c r="CO924" s="52"/>
      <c r="CP924" s="52"/>
      <c r="CQ924" s="52"/>
      <c r="CR924" s="52"/>
      <c r="CS924" s="52"/>
      <c r="CT924" s="52"/>
      <c r="CU924" s="52"/>
      <c r="CV924" s="52"/>
      <c r="CW924" s="52"/>
      <c r="CX924" s="52"/>
      <c r="CY924" s="52"/>
      <c r="CZ924" s="52"/>
      <c r="DA924" s="52"/>
      <c r="DB924" s="52"/>
      <c r="DC924" s="52"/>
      <c r="DD924" s="52"/>
      <c r="DE924" s="52"/>
      <c r="DF924" s="52"/>
      <c r="DG924" s="52"/>
      <c r="DH924" s="52"/>
      <c r="DI924" s="52"/>
      <c r="DJ924" s="52"/>
      <c r="DK924" s="52"/>
      <c r="DL924" s="52"/>
      <c r="DM924" s="52"/>
      <c r="DN924" s="52"/>
      <c r="DO924" s="52"/>
      <c r="DP924" s="52"/>
      <c r="DQ924" s="52"/>
      <c r="DR924" s="52"/>
      <c r="DS924" s="52"/>
      <c r="DT924" s="52"/>
      <c r="DU924" s="52"/>
      <c r="DV924" s="52"/>
      <c r="DW924" s="52"/>
      <c r="DX924" s="52"/>
      <c r="DZ924"/>
      <c r="EA924" s="19"/>
      <c r="EB924" s="19"/>
      <c r="EC924" s="9"/>
      <c r="ED924" s="9"/>
      <c r="EE924" s="9"/>
      <c r="EF924" s="9"/>
      <c r="EG924" s="9"/>
      <c r="EH924" s="13"/>
      <c r="EI924" s="13"/>
      <c r="EJ924" s="13"/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3"/>
      <c r="FD924" s="13"/>
      <c r="FE924" s="13"/>
      <c r="FF924" s="13"/>
      <c r="FG924" s="13"/>
      <c r="FH924" s="13"/>
      <c r="FI924" s="13"/>
      <c r="FJ924" s="13"/>
      <c r="FK924" s="13"/>
      <c r="FL924" s="13"/>
      <c r="FM924" s="13"/>
      <c r="FN924" s="13"/>
      <c r="FO924" s="13"/>
      <c r="FP924" s="13"/>
      <c r="FQ924" s="13"/>
      <c r="FR924" s="13"/>
      <c r="FS924" s="13"/>
      <c r="FT924" s="13"/>
      <c r="FU924" s="13"/>
      <c r="FV924" s="13"/>
      <c r="FW924" s="13"/>
      <c r="FX924" s="13"/>
      <c r="FY924" s="13"/>
      <c r="FZ924" s="13"/>
      <c r="GA924" s="13"/>
    </row>
    <row r="925" spans="1:183" s="43" customFormat="1" x14ac:dyDescent="0.25">
      <c r="A925" s="2"/>
      <c r="B925" s="2"/>
      <c r="C925" s="9">
        <v>7</v>
      </c>
      <c r="D925" s="9">
        <v>18</v>
      </c>
      <c r="E925" s="9">
        <v>63</v>
      </c>
      <c r="F925" s="9">
        <v>67</v>
      </c>
      <c r="G925" s="9">
        <v>69</v>
      </c>
      <c r="H925" s="9">
        <v>78</v>
      </c>
      <c r="J925" s="9">
        <v>78</v>
      </c>
      <c r="L925" s="39">
        <v>44550</v>
      </c>
      <c r="N925"/>
      <c r="O925"/>
      <c r="P925"/>
      <c r="Q925"/>
      <c r="R925"/>
      <c r="S925"/>
      <c r="T925"/>
      <c r="U925"/>
      <c r="V925"/>
      <c r="W925" s="52"/>
      <c r="Y925"/>
      <c r="Z925"/>
      <c r="AA925"/>
      <c r="AB925"/>
      <c r="AC925"/>
      <c r="AD925"/>
      <c r="AE925"/>
      <c r="AF925"/>
      <c r="AG925"/>
      <c r="AH925" s="52"/>
      <c r="AI925" s="148"/>
      <c r="AJ925" s="19"/>
      <c r="AK925" s="19"/>
      <c r="AL925" s="19"/>
      <c r="AM925" s="19"/>
      <c r="AN925" s="42"/>
      <c r="AO925" s="54"/>
      <c r="AP925" s="19"/>
      <c r="AQ925" s="1"/>
      <c r="AR925" s="74"/>
      <c r="AS925" s="42"/>
      <c r="AT925" s="54"/>
      <c r="AU925" s="54"/>
      <c r="AV925" s="19"/>
      <c r="AW925" s="54"/>
      <c r="AX925" s="57"/>
      <c r="AY925" s="54"/>
      <c r="AZ925" s="54"/>
      <c r="BA925" s="54"/>
      <c r="BB925" s="54"/>
      <c r="BC925" s="57"/>
      <c r="BD925" s="19"/>
      <c r="BE925" s="19"/>
      <c r="BF925" s="19"/>
      <c r="BG925" s="54"/>
      <c r="BI925" s="54"/>
      <c r="BJ925" s="55"/>
      <c r="BK925" s="55"/>
      <c r="BL925" s="54"/>
      <c r="BM925" s="56"/>
      <c r="BN925" s="56"/>
      <c r="BO925" s="52"/>
      <c r="BP925" s="52"/>
      <c r="BQ925" s="52"/>
      <c r="BR925" s="52"/>
      <c r="BS925" s="52"/>
      <c r="BT925" s="52"/>
      <c r="BU925" s="52"/>
      <c r="BV925" s="52"/>
      <c r="BW925" s="52"/>
      <c r="BX925" s="52"/>
      <c r="BY925" s="52"/>
      <c r="BZ925" s="52"/>
      <c r="CA925" s="52"/>
      <c r="CB925" s="52"/>
      <c r="CC925" s="52"/>
      <c r="CD925" s="52"/>
      <c r="CE925" s="52"/>
      <c r="CF925" s="52"/>
      <c r="CG925" s="52"/>
      <c r="CH925" s="52"/>
      <c r="CI925" s="52"/>
      <c r="CJ925" s="52"/>
      <c r="CK925" s="52"/>
      <c r="CL925" s="52"/>
      <c r="CM925" s="52"/>
      <c r="CN925" s="52"/>
      <c r="CO925" s="52"/>
      <c r="CP925" s="52"/>
      <c r="CQ925" s="52"/>
      <c r="CR925" s="52"/>
      <c r="CS925" s="52"/>
      <c r="CT925" s="52"/>
      <c r="CU925" s="52"/>
      <c r="CV925" s="52"/>
      <c r="CW925" s="52"/>
      <c r="CX925" s="52"/>
      <c r="CY925" s="52"/>
      <c r="CZ925" s="52"/>
      <c r="DA925" s="52"/>
      <c r="DB925" s="52"/>
      <c r="DC925" s="52"/>
      <c r="DD925" s="52"/>
      <c r="DE925" s="52"/>
      <c r="DF925" s="52"/>
      <c r="DG925" s="52"/>
      <c r="DH925" s="52"/>
      <c r="DI925" s="52"/>
      <c r="DJ925" s="52"/>
      <c r="DK925" s="52"/>
      <c r="DL925" s="52"/>
      <c r="DM925" s="52"/>
      <c r="DN925" s="52"/>
      <c r="DO925" s="52"/>
      <c r="DP925" s="52"/>
      <c r="DQ925" s="52"/>
      <c r="DR925" s="52"/>
      <c r="DS925" s="52"/>
      <c r="DT925" s="52"/>
      <c r="DU925" s="52"/>
      <c r="DV925" s="52"/>
      <c r="DW925" s="52"/>
      <c r="DX925" s="52"/>
      <c r="DZ925"/>
      <c r="EA925" s="19"/>
      <c r="EB925" s="19"/>
      <c r="EC925" s="9"/>
      <c r="ED925" s="9"/>
      <c r="EE925" s="9"/>
      <c r="EF925" s="9"/>
      <c r="EG925" s="9"/>
      <c r="EH925" s="13"/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3"/>
      <c r="FD925" s="13"/>
      <c r="FE925" s="13"/>
      <c r="FF925" s="13"/>
      <c r="FG925" s="13"/>
      <c r="FH925" s="13"/>
      <c r="FI925" s="13"/>
      <c r="FJ925" s="13"/>
      <c r="FK925" s="13"/>
      <c r="FL925" s="13"/>
      <c r="FM925" s="13"/>
      <c r="FN925" s="13"/>
      <c r="FO925" s="13"/>
      <c r="FP925" s="13"/>
      <c r="FQ925" s="13"/>
      <c r="FR925" s="13"/>
      <c r="FS925" s="13"/>
      <c r="FT925" s="13"/>
      <c r="FU925" s="13"/>
      <c r="FV925" s="13"/>
      <c r="FW925" s="13"/>
      <c r="FX925" s="13"/>
      <c r="FY925" s="13"/>
      <c r="FZ925" s="13"/>
      <c r="GA925" s="13"/>
    </row>
    <row r="926" spans="1:183" s="43" customFormat="1" x14ac:dyDescent="0.25">
      <c r="A926" s="2"/>
      <c r="B926" s="2"/>
      <c r="C926" s="9">
        <v>2</v>
      </c>
      <c r="D926" s="9">
        <v>13</v>
      </c>
      <c r="E926" s="9">
        <v>14</v>
      </c>
      <c r="F926" s="9">
        <v>33</v>
      </c>
      <c r="G926" s="9">
        <v>63</v>
      </c>
      <c r="H926" s="9">
        <v>88</v>
      </c>
      <c r="J926" s="9">
        <v>88</v>
      </c>
      <c r="L926" s="39">
        <v>44548</v>
      </c>
      <c r="N926"/>
      <c r="O926"/>
      <c r="P926"/>
      <c r="Q926"/>
      <c r="R926"/>
      <c r="S926"/>
      <c r="T926"/>
      <c r="U926"/>
      <c r="V926"/>
      <c r="W926" s="52"/>
      <c r="Y926"/>
      <c r="Z926"/>
      <c r="AA926"/>
      <c r="AB926"/>
      <c r="AC926"/>
      <c r="AD926"/>
      <c r="AE926"/>
      <c r="AF926"/>
      <c r="AG926"/>
      <c r="AH926" s="52"/>
      <c r="AI926" s="148"/>
      <c r="AJ926" s="19"/>
      <c r="AK926" s="19"/>
      <c r="AL926" s="19"/>
      <c r="AM926" s="19"/>
      <c r="AN926" s="42"/>
      <c r="AO926" s="54"/>
      <c r="AP926" s="19"/>
      <c r="AQ926" s="1"/>
      <c r="AR926" s="74"/>
      <c r="AS926" s="42"/>
      <c r="AT926" s="54"/>
      <c r="AU926" s="54"/>
      <c r="AV926" s="19"/>
      <c r="AW926" s="54"/>
      <c r="AX926" s="57"/>
      <c r="AY926" s="54"/>
      <c r="AZ926" s="54"/>
      <c r="BA926" s="54"/>
      <c r="BB926" s="54"/>
      <c r="BC926" s="57"/>
      <c r="BD926" s="19"/>
      <c r="BE926" s="19"/>
      <c r="BF926" s="19"/>
      <c r="BG926" s="54"/>
      <c r="BI926" s="54"/>
      <c r="BJ926" s="55"/>
      <c r="BK926" s="55"/>
      <c r="BL926" s="54"/>
      <c r="BM926" s="56"/>
      <c r="BN926" s="56"/>
      <c r="BO926" s="52"/>
      <c r="BP926" s="52"/>
      <c r="BQ926" s="52"/>
      <c r="BR926" s="52"/>
      <c r="BS926" s="52"/>
      <c r="BT926" s="52"/>
      <c r="BU926" s="52"/>
      <c r="BV926" s="52"/>
      <c r="BW926" s="52"/>
      <c r="BX926" s="52"/>
      <c r="BY926" s="52"/>
      <c r="BZ926" s="52"/>
      <c r="CA926" s="52"/>
      <c r="CB926" s="52"/>
      <c r="CC926" s="52"/>
      <c r="CD926" s="52"/>
      <c r="CE926" s="52"/>
      <c r="CF926" s="52"/>
      <c r="CG926" s="52"/>
      <c r="CH926" s="52"/>
      <c r="CI926" s="52"/>
      <c r="CJ926" s="52"/>
      <c r="CK926" s="52"/>
      <c r="CL926" s="52"/>
      <c r="CM926" s="52"/>
      <c r="CN926" s="52"/>
      <c r="CO926" s="52"/>
      <c r="CP926" s="52"/>
      <c r="CQ926" s="52"/>
      <c r="CR926" s="52"/>
      <c r="CS926" s="52"/>
      <c r="CT926" s="52"/>
      <c r="CU926" s="52"/>
      <c r="CV926" s="52"/>
      <c r="CW926" s="52"/>
      <c r="CX926" s="52"/>
      <c r="CY926" s="52"/>
      <c r="CZ926" s="52"/>
      <c r="DA926" s="52"/>
      <c r="DB926" s="52"/>
      <c r="DC926" s="52"/>
      <c r="DD926" s="52"/>
      <c r="DE926" s="52"/>
      <c r="DF926" s="52"/>
      <c r="DG926" s="52"/>
      <c r="DH926" s="52"/>
      <c r="DI926" s="52"/>
      <c r="DJ926" s="52"/>
      <c r="DK926" s="52"/>
      <c r="DL926" s="52"/>
      <c r="DM926" s="52"/>
      <c r="DN926" s="52"/>
      <c r="DO926" s="52"/>
      <c r="DP926" s="52"/>
      <c r="DQ926" s="52"/>
      <c r="DR926" s="52"/>
      <c r="DS926" s="52"/>
      <c r="DT926" s="52"/>
      <c r="DU926" s="52"/>
      <c r="DV926" s="52"/>
      <c r="DW926" s="52"/>
      <c r="DX926" s="52"/>
      <c r="DZ926"/>
      <c r="EA926" s="19"/>
      <c r="EB926" s="19"/>
      <c r="EC926" s="9"/>
      <c r="ED926" s="9"/>
      <c r="EE926" s="9"/>
      <c r="EF926" s="9"/>
      <c r="EG926" s="9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3"/>
      <c r="FD926" s="13"/>
      <c r="FE926" s="13"/>
      <c r="FF926" s="13"/>
      <c r="FG926" s="13"/>
      <c r="FH926" s="13"/>
      <c r="FI926" s="13"/>
      <c r="FJ926" s="13"/>
      <c r="FK926" s="13"/>
      <c r="FL926" s="13"/>
      <c r="FM926" s="13"/>
      <c r="FN926" s="13"/>
      <c r="FO926" s="13"/>
      <c r="FP926" s="13"/>
      <c r="FQ926" s="13"/>
      <c r="FR926" s="13"/>
      <c r="FS926" s="13"/>
      <c r="FT926" s="13"/>
      <c r="FU926" s="13"/>
      <c r="FV926" s="13"/>
      <c r="FW926" s="13"/>
      <c r="FX926" s="13"/>
      <c r="FY926" s="13"/>
      <c r="FZ926" s="13"/>
      <c r="GA926" s="13"/>
    </row>
    <row r="927" spans="1:183" s="43" customFormat="1" x14ac:dyDescent="0.25">
      <c r="A927" s="2"/>
      <c r="B927" s="2"/>
      <c r="C927" s="9">
        <v>2</v>
      </c>
      <c r="D927" s="9">
        <v>21</v>
      </c>
      <c r="E927" s="9">
        <v>24</v>
      </c>
      <c r="F927" s="9">
        <v>45</v>
      </c>
      <c r="G927" s="9">
        <v>83</v>
      </c>
      <c r="H927" s="9">
        <v>84</v>
      </c>
      <c r="J927" s="9">
        <v>84</v>
      </c>
      <c r="L927" s="39">
        <v>44545</v>
      </c>
      <c r="N927"/>
      <c r="O927"/>
      <c r="P927"/>
      <c r="Q927"/>
      <c r="R927"/>
      <c r="S927"/>
      <c r="T927"/>
      <c r="U927"/>
      <c r="V927"/>
      <c r="W927" s="52"/>
      <c r="Y927"/>
      <c r="Z927"/>
      <c r="AA927"/>
      <c r="AB927"/>
      <c r="AC927"/>
      <c r="AD927"/>
      <c r="AE927"/>
      <c r="AF927"/>
      <c r="AG927"/>
      <c r="AH927" s="52"/>
      <c r="AI927" s="148"/>
      <c r="AJ927" s="19"/>
      <c r="AK927" s="19"/>
      <c r="AL927" s="19"/>
      <c r="AM927" s="19"/>
      <c r="AN927" s="42"/>
      <c r="AO927" s="54"/>
      <c r="AP927" s="19"/>
      <c r="AQ927" s="1"/>
      <c r="AR927" s="74"/>
      <c r="AS927" s="42"/>
      <c r="AT927" s="54"/>
      <c r="AU927" s="54"/>
      <c r="AV927" s="19"/>
      <c r="AW927" s="54"/>
      <c r="AX927" s="57"/>
      <c r="AY927" s="54"/>
      <c r="AZ927" s="54"/>
      <c r="BA927" s="54"/>
      <c r="BB927" s="54"/>
      <c r="BC927" s="57"/>
      <c r="BD927" s="19"/>
      <c r="BE927" s="19"/>
      <c r="BF927" s="19"/>
      <c r="BG927" s="54"/>
      <c r="BI927" s="54"/>
      <c r="BJ927" s="55"/>
      <c r="BK927" s="55"/>
      <c r="BL927" s="54"/>
      <c r="BM927" s="56"/>
      <c r="BN927" s="56"/>
      <c r="BO927" s="52"/>
      <c r="BP927" s="52"/>
      <c r="BQ927" s="52"/>
      <c r="BR927" s="52"/>
      <c r="BS927" s="52"/>
      <c r="BT927" s="52"/>
      <c r="BU927" s="52"/>
      <c r="BV927" s="52"/>
      <c r="BW927" s="52"/>
      <c r="BX927" s="52"/>
      <c r="BY927" s="52"/>
      <c r="BZ927" s="52"/>
      <c r="CA927" s="52"/>
      <c r="CB927" s="52"/>
      <c r="CC927" s="52"/>
      <c r="CD927" s="52"/>
      <c r="CE927" s="52"/>
      <c r="CF927" s="52"/>
      <c r="CG927" s="52"/>
      <c r="CH927" s="52"/>
      <c r="CI927" s="52"/>
      <c r="CJ927" s="52"/>
      <c r="CK927" s="52"/>
      <c r="CL927" s="52"/>
      <c r="CM927" s="52"/>
      <c r="CN927" s="52"/>
      <c r="CO927" s="52"/>
      <c r="CP927" s="52"/>
      <c r="CQ927" s="52"/>
      <c r="CR927" s="52"/>
      <c r="CS927" s="52"/>
      <c r="CT927" s="52"/>
      <c r="CU927" s="52"/>
      <c r="CV927" s="52"/>
      <c r="CW927" s="52"/>
      <c r="CX927" s="52"/>
      <c r="CY927" s="52"/>
      <c r="CZ927" s="52"/>
      <c r="DA927" s="52"/>
      <c r="DB927" s="52"/>
      <c r="DC927" s="52"/>
      <c r="DD927" s="52"/>
      <c r="DE927" s="52"/>
      <c r="DF927" s="52"/>
      <c r="DG927" s="52"/>
      <c r="DH927" s="52"/>
      <c r="DI927" s="52"/>
      <c r="DJ927" s="52"/>
      <c r="DK927" s="52"/>
      <c r="DL927" s="52"/>
      <c r="DM927" s="52"/>
      <c r="DN927" s="52"/>
      <c r="DO927" s="52"/>
      <c r="DP927" s="52"/>
      <c r="DQ927" s="52"/>
      <c r="DR927" s="52"/>
      <c r="DS927" s="52"/>
      <c r="DT927" s="52"/>
      <c r="DU927" s="52"/>
      <c r="DV927" s="52"/>
      <c r="DW927" s="52"/>
      <c r="DX927" s="52"/>
      <c r="DZ927"/>
      <c r="EA927" s="19"/>
      <c r="EB927" s="19"/>
      <c r="EC927" s="9"/>
      <c r="ED927" s="9"/>
      <c r="EE927" s="9"/>
      <c r="EF927" s="9"/>
      <c r="EG927" s="9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3"/>
      <c r="FD927" s="13"/>
      <c r="FE927" s="13"/>
      <c r="FF927" s="13"/>
      <c r="FG927" s="13"/>
      <c r="FH927" s="13"/>
      <c r="FI927" s="13"/>
      <c r="FJ927" s="13"/>
      <c r="FK927" s="13"/>
      <c r="FL927" s="13"/>
      <c r="FM927" s="13"/>
      <c r="FN927" s="13"/>
      <c r="FO927" s="13"/>
      <c r="FP927" s="13"/>
      <c r="FQ927" s="13"/>
      <c r="FR927" s="13"/>
      <c r="FS927" s="13"/>
      <c r="FT927" s="13"/>
      <c r="FU927" s="13"/>
      <c r="FV927" s="13"/>
      <c r="FW927" s="13"/>
      <c r="FX927" s="13"/>
      <c r="FY927" s="13"/>
      <c r="FZ927" s="13"/>
      <c r="GA927" s="13"/>
    </row>
    <row r="928" spans="1:183" s="43" customFormat="1" x14ac:dyDescent="0.25">
      <c r="A928" s="2"/>
      <c r="B928" s="2"/>
      <c r="C928" s="9">
        <v>1</v>
      </c>
      <c r="D928" s="9">
        <v>9</v>
      </c>
      <c r="E928" s="9">
        <v>18</v>
      </c>
      <c r="F928" s="9">
        <v>41</v>
      </c>
      <c r="G928" s="9">
        <v>56</v>
      </c>
      <c r="H928" s="9">
        <v>79</v>
      </c>
      <c r="J928" s="9">
        <v>79</v>
      </c>
      <c r="L928" s="39">
        <v>44543</v>
      </c>
      <c r="N928"/>
      <c r="O928"/>
      <c r="P928"/>
      <c r="Q928"/>
      <c r="R928"/>
      <c r="S928"/>
      <c r="T928"/>
      <c r="U928"/>
      <c r="V928"/>
      <c r="W928" s="52"/>
      <c r="Y928"/>
      <c r="Z928"/>
      <c r="AA928"/>
      <c r="AB928"/>
      <c r="AC928"/>
      <c r="AD928"/>
      <c r="AE928"/>
      <c r="AF928"/>
      <c r="AG928"/>
      <c r="AH928" s="52"/>
      <c r="AI928" s="148"/>
      <c r="AJ928" s="19"/>
      <c r="AK928" s="19"/>
      <c r="AL928" s="19"/>
      <c r="AM928" s="19"/>
      <c r="AN928" s="42"/>
      <c r="AO928" s="54"/>
      <c r="AP928" s="19"/>
      <c r="AQ928" s="1"/>
      <c r="AR928" s="74"/>
      <c r="AS928" s="42"/>
      <c r="AT928" s="54"/>
      <c r="AU928" s="54"/>
      <c r="AV928" s="19"/>
      <c r="AW928" s="54"/>
      <c r="AX928" s="57"/>
      <c r="AY928" s="54"/>
      <c r="AZ928" s="54"/>
      <c r="BA928" s="54"/>
      <c r="BB928" s="54"/>
      <c r="BC928" s="57"/>
      <c r="BD928" s="19"/>
      <c r="BE928" s="19"/>
      <c r="BF928" s="19"/>
      <c r="BG928" s="54"/>
      <c r="BI928" s="54"/>
      <c r="BJ928" s="55"/>
      <c r="BK928" s="55"/>
      <c r="BL928" s="54"/>
      <c r="BM928" s="56"/>
      <c r="BN928" s="56"/>
      <c r="BO928" s="52"/>
      <c r="BP928" s="52"/>
      <c r="BQ928" s="52"/>
      <c r="BR928" s="52"/>
      <c r="BS928" s="52"/>
      <c r="BT928" s="52"/>
      <c r="BU928" s="52"/>
      <c r="BV928" s="52"/>
      <c r="BW928" s="52"/>
      <c r="BX928" s="52"/>
      <c r="BY928" s="52"/>
      <c r="BZ928" s="52"/>
      <c r="CA928" s="52"/>
      <c r="CB928" s="52"/>
      <c r="CC928" s="52"/>
      <c r="CD928" s="52"/>
      <c r="CE928" s="52"/>
      <c r="CF928" s="52"/>
      <c r="CG928" s="52"/>
      <c r="CH928" s="52"/>
      <c r="CI928" s="52"/>
      <c r="CJ928" s="52"/>
      <c r="CK928" s="52"/>
      <c r="CL928" s="52"/>
      <c r="CM928" s="52"/>
      <c r="CN928" s="52"/>
      <c r="CO928" s="52"/>
      <c r="CP928" s="52"/>
      <c r="CQ928" s="52"/>
      <c r="CR928" s="52"/>
      <c r="CS928" s="52"/>
      <c r="CT928" s="52"/>
      <c r="CU928" s="52"/>
      <c r="CV928" s="52"/>
      <c r="CW928" s="52"/>
      <c r="CX928" s="52"/>
      <c r="CY928" s="52"/>
      <c r="CZ928" s="52"/>
      <c r="DA928" s="52"/>
      <c r="DB928" s="52"/>
      <c r="DC928" s="52"/>
      <c r="DD928" s="52"/>
      <c r="DE928" s="52"/>
      <c r="DF928" s="52"/>
      <c r="DG928" s="52"/>
      <c r="DH928" s="52"/>
      <c r="DI928" s="52"/>
      <c r="DJ928" s="52"/>
      <c r="DK928" s="52"/>
      <c r="DL928" s="52"/>
      <c r="DM928" s="52"/>
      <c r="DN928" s="52"/>
      <c r="DO928" s="52"/>
      <c r="DP928" s="52"/>
      <c r="DQ928" s="52"/>
      <c r="DR928" s="52"/>
      <c r="DS928" s="52"/>
      <c r="DT928" s="52"/>
      <c r="DU928" s="52"/>
      <c r="DV928" s="52"/>
      <c r="DW928" s="52"/>
      <c r="DX928" s="52"/>
      <c r="DZ928"/>
      <c r="EA928" s="19"/>
      <c r="EB928" s="19"/>
      <c r="EC928" s="9"/>
      <c r="ED928" s="9"/>
      <c r="EE928" s="9"/>
      <c r="EF928" s="9"/>
      <c r="EG928" s="9"/>
      <c r="EH928" s="13"/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3"/>
      <c r="FD928" s="13"/>
      <c r="FE928" s="13"/>
      <c r="FF928" s="13"/>
      <c r="FG928" s="13"/>
      <c r="FH928" s="13"/>
      <c r="FI928" s="13"/>
      <c r="FJ928" s="13"/>
      <c r="FK928" s="13"/>
      <c r="FL928" s="13"/>
      <c r="FM928" s="13"/>
      <c r="FN928" s="13"/>
      <c r="FO928" s="13"/>
      <c r="FP928" s="13"/>
      <c r="FQ928" s="13"/>
      <c r="FR928" s="13"/>
      <c r="FS928" s="13"/>
      <c r="FT928" s="13"/>
      <c r="FU928" s="13"/>
      <c r="FV928" s="13"/>
      <c r="FW928" s="13"/>
      <c r="FX928" s="13"/>
      <c r="FY928" s="13"/>
      <c r="FZ928" s="13"/>
      <c r="GA928" s="13"/>
    </row>
    <row r="929" spans="1:183" s="43" customFormat="1" x14ac:dyDescent="0.25">
      <c r="A929" s="2"/>
      <c r="B929" s="2"/>
      <c r="C929" s="9">
        <v>18</v>
      </c>
      <c r="D929" s="9">
        <v>33</v>
      </c>
      <c r="E929" s="9">
        <v>41</v>
      </c>
      <c r="F929" s="9">
        <v>59</v>
      </c>
      <c r="G929" s="9">
        <v>77</v>
      </c>
      <c r="H929" s="9">
        <v>87</v>
      </c>
      <c r="J929" s="9">
        <v>87</v>
      </c>
      <c r="L929" s="39">
        <v>44541</v>
      </c>
      <c r="N929"/>
      <c r="O929"/>
      <c r="P929"/>
      <c r="Q929"/>
      <c r="R929"/>
      <c r="S929"/>
      <c r="T929"/>
      <c r="U929"/>
      <c r="V929"/>
      <c r="W929" s="52"/>
      <c r="Y929"/>
      <c r="Z929"/>
      <c r="AA929"/>
      <c r="AB929"/>
      <c r="AC929"/>
      <c r="AD929"/>
      <c r="AE929"/>
      <c r="AF929"/>
      <c r="AG929"/>
      <c r="AH929" s="52"/>
      <c r="AI929" s="148"/>
      <c r="AJ929" s="19"/>
      <c r="AK929" s="19"/>
      <c r="AL929" s="19"/>
      <c r="AM929" s="19"/>
      <c r="AN929" s="42"/>
      <c r="AO929" s="54"/>
      <c r="AP929" s="19"/>
      <c r="AQ929" s="1"/>
      <c r="AR929" s="74"/>
      <c r="AS929" s="42"/>
      <c r="AT929" s="54"/>
      <c r="AU929" s="54"/>
      <c r="AV929" s="19"/>
      <c r="AW929" s="54"/>
      <c r="AX929" s="57"/>
      <c r="AY929" s="54"/>
      <c r="AZ929" s="54"/>
      <c r="BA929" s="54"/>
      <c r="BB929" s="54"/>
      <c r="BC929" s="57"/>
      <c r="BD929" s="19"/>
      <c r="BE929" s="19"/>
      <c r="BF929" s="19"/>
      <c r="BG929" s="54"/>
      <c r="BI929" s="54"/>
      <c r="BJ929" s="55"/>
      <c r="BK929" s="55"/>
      <c r="BL929" s="54"/>
      <c r="BM929" s="56"/>
      <c r="BN929" s="56"/>
      <c r="BO929" s="52"/>
      <c r="BP929" s="52"/>
      <c r="BQ929" s="52"/>
      <c r="BR929" s="52"/>
      <c r="BS929" s="52"/>
      <c r="BT929" s="52"/>
      <c r="BU929" s="52"/>
      <c r="BV929" s="52"/>
      <c r="BW929" s="52"/>
      <c r="BX929" s="52"/>
      <c r="BY929" s="52"/>
      <c r="BZ929" s="52"/>
      <c r="CA929" s="52"/>
      <c r="CB929" s="52"/>
      <c r="CC929" s="52"/>
      <c r="CD929" s="52"/>
      <c r="CE929" s="52"/>
      <c r="CF929" s="52"/>
      <c r="CG929" s="52"/>
      <c r="CH929" s="52"/>
      <c r="CI929" s="52"/>
      <c r="CJ929" s="52"/>
      <c r="CK929" s="52"/>
      <c r="CL929" s="52"/>
      <c r="CM929" s="52"/>
      <c r="CN929" s="52"/>
      <c r="CO929" s="52"/>
      <c r="CP929" s="52"/>
      <c r="CQ929" s="52"/>
      <c r="CR929" s="52"/>
      <c r="CS929" s="52"/>
      <c r="CT929" s="52"/>
      <c r="CU929" s="52"/>
      <c r="CV929" s="52"/>
      <c r="CW929" s="52"/>
      <c r="CX929" s="52"/>
      <c r="CY929" s="52"/>
      <c r="CZ929" s="52"/>
      <c r="DA929" s="52"/>
      <c r="DB929" s="52"/>
      <c r="DC929" s="52"/>
      <c r="DD929" s="52"/>
      <c r="DE929" s="52"/>
      <c r="DF929" s="52"/>
      <c r="DG929" s="52"/>
      <c r="DH929" s="52"/>
      <c r="DI929" s="52"/>
      <c r="DJ929" s="52"/>
      <c r="DK929" s="52"/>
      <c r="DL929" s="52"/>
      <c r="DM929" s="52"/>
      <c r="DN929" s="52"/>
      <c r="DO929" s="52"/>
      <c r="DP929" s="52"/>
      <c r="DQ929" s="52"/>
      <c r="DR929" s="52"/>
      <c r="DS929" s="52"/>
      <c r="DT929" s="52"/>
      <c r="DU929" s="52"/>
      <c r="DV929" s="52"/>
      <c r="DW929" s="52"/>
      <c r="DX929" s="52"/>
      <c r="DZ929"/>
      <c r="EA929" s="19"/>
      <c r="EB929" s="19"/>
      <c r="EC929" s="9"/>
      <c r="ED929" s="9"/>
      <c r="EE929" s="9"/>
      <c r="EF929" s="9"/>
      <c r="EG929" s="9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3"/>
      <c r="FD929" s="13"/>
      <c r="FE929" s="13"/>
      <c r="FF929" s="13"/>
      <c r="FG929" s="13"/>
      <c r="FH929" s="13"/>
      <c r="FI929" s="13"/>
      <c r="FJ929" s="13"/>
      <c r="FK929" s="13"/>
      <c r="FL929" s="13"/>
      <c r="FM929" s="13"/>
      <c r="FN929" s="13"/>
      <c r="FO929" s="13"/>
      <c r="FP929" s="13"/>
      <c r="FQ929" s="13"/>
      <c r="FR929" s="13"/>
      <c r="FS929" s="13"/>
      <c r="FT929" s="13"/>
      <c r="FU929" s="13"/>
      <c r="FV929" s="13"/>
      <c r="FW929" s="13"/>
      <c r="FX929" s="13"/>
      <c r="FY929" s="13"/>
      <c r="FZ929" s="13"/>
      <c r="GA929" s="13"/>
    </row>
    <row r="930" spans="1:183" s="43" customFormat="1" x14ac:dyDescent="0.25">
      <c r="A930" s="2"/>
      <c r="B930" s="2"/>
      <c r="C930" s="9">
        <v>5</v>
      </c>
      <c r="D930" s="9">
        <v>17</v>
      </c>
      <c r="E930" s="9">
        <v>26</v>
      </c>
      <c r="F930" s="9">
        <v>44</v>
      </c>
      <c r="G930" s="9">
        <v>58</v>
      </c>
      <c r="H930" s="9">
        <v>71</v>
      </c>
      <c r="J930" s="9">
        <v>71</v>
      </c>
      <c r="L930" s="39">
        <v>44538</v>
      </c>
      <c r="N930"/>
      <c r="O930"/>
      <c r="P930"/>
      <c r="Q930"/>
      <c r="R930"/>
      <c r="S930"/>
      <c r="T930"/>
      <c r="U930"/>
      <c r="V930"/>
      <c r="W930" s="52"/>
      <c r="Y930"/>
      <c r="Z930"/>
      <c r="AA930"/>
      <c r="AB930"/>
      <c r="AC930"/>
      <c r="AD930"/>
      <c r="AE930"/>
      <c r="AF930"/>
      <c r="AG930"/>
      <c r="AH930" s="52"/>
      <c r="AI930" s="148"/>
      <c r="AJ930" s="19"/>
      <c r="AK930" s="19"/>
      <c r="AL930" s="19"/>
      <c r="AM930" s="19"/>
      <c r="AN930" s="42"/>
      <c r="AO930" s="54"/>
      <c r="AP930" s="19"/>
      <c r="AQ930" s="1"/>
      <c r="AR930" s="74"/>
      <c r="AS930" s="42"/>
      <c r="AT930" s="54"/>
      <c r="AU930" s="54"/>
      <c r="AV930" s="19"/>
      <c r="AW930" s="54"/>
      <c r="AX930" s="57"/>
      <c r="AY930" s="54"/>
      <c r="AZ930" s="54"/>
      <c r="BA930" s="54"/>
      <c r="BB930" s="54"/>
      <c r="BC930" s="57"/>
      <c r="BD930" s="19"/>
      <c r="BE930" s="19"/>
      <c r="BF930" s="19"/>
      <c r="BG930" s="54"/>
      <c r="BI930" s="54"/>
      <c r="BJ930" s="55"/>
      <c r="BK930" s="55"/>
      <c r="BL930" s="54"/>
      <c r="BM930" s="56"/>
      <c r="BN930" s="56"/>
      <c r="BO930" s="52"/>
      <c r="BP930" s="52"/>
      <c r="BQ930" s="52"/>
      <c r="BR930" s="52"/>
      <c r="BS930" s="52"/>
      <c r="BT930" s="52"/>
      <c r="BU930" s="52"/>
      <c r="BV930" s="52"/>
      <c r="BW930" s="52"/>
      <c r="BX930" s="52"/>
      <c r="BY930" s="52"/>
      <c r="BZ930" s="52"/>
      <c r="CA930" s="52"/>
      <c r="CB930" s="52"/>
      <c r="CC930" s="52"/>
      <c r="CD930" s="52"/>
      <c r="CE930" s="52"/>
      <c r="CF930" s="52"/>
      <c r="CG930" s="52"/>
      <c r="CH930" s="52"/>
      <c r="CI930" s="52"/>
      <c r="CJ930" s="52"/>
      <c r="CK930" s="52"/>
      <c r="CL930" s="52"/>
      <c r="CM930" s="52"/>
      <c r="CN930" s="52"/>
      <c r="CO930" s="52"/>
      <c r="CP930" s="52"/>
      <c r="CQ930" s="52"/>
      <c r="CR930" s="52"/>
      <c r="CS930" s="52"/>
      <c r="CT930" s="52"/>
      <c r="CU930" s="52"/>
      <c r="CV930" s="52"/>
      <c r="CW930" s="52"/>
      <c r="CX930" s="52"/>
      <c r="CY930" s="52"/>
      <c r="CZ930" s="52"/>
      <c r="DA930" s="52"/>
      <c r="DB930" s="52"/>
      <c r="DC930" s="52"/>
      <c r="DD930" s="52"/>
      <c r="DE930" s="52"/>
      <c r="DF930" s="52"/>
      <c r="DG930" s="52"/>
      <c r="DH930" s="52"/>
      <c r="DI930" s="52"/>
      <c r="DJ930" s="52"/>
      <c r="DK930" s="52"/>
      <c r="DL930" s="52"/>
      <c r="DM930" s="52"/>
      <c r="DN930" s="52"/>
      <c r="DO930" s="52"/>
      <c r="DP930" s="52"/>
      <c r="DQ930" s="52"/>
      <c r="DR930" s="52"/>
      <c r="DS930" s="52"/>
      <c r="DT930" s="52"/>
      <c r="DU930" s="52"/>
      <c r="DV930" s="52"/>
      <c r="DW930" s="52"/>
      <c r="DX930" s="52"/>
      <c r="DZ930"/>
      <c r="EA930" s="19"/>
      <c r="EB930" s="19"/>
      <c r="EC930" s="9"/>
      <c r="ED930" s="9"/>
      <c r="EE930" s="9"/>
      <c r="EF930" s="9"/>
      <c r="EG930" s="9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3"/>
      <c r="FJ930" s="13"/>
      <c r="FK930" s="13"/>
      <c r="FL930" s="13"/>
      <c r="FM930" s="13"/>
      <c r="FN930" s="13"/>
      <c r="FO930" s="13"/>
      <c r="FP930" s="13"/>
      <c r="FQ930" s="13"/>
      <c r="FR930" s="13"/>
      <c r="FS930" s="13"/>
      <c r="FT930" s="13"/>
      <c r="FU930" s="13"/>
      <c r="FV930" s="13"/>
      <c r="FW930" s="13"/>
      <c r="FX930" s="13"/>
      <c r="FY930" s="13"/>
      <c r="FZ930" s="13"/>
      <c r="GA930" s="13"/>
    </row>
    <row r="931" spans="1:183" s="43" customFormat="1" x14ac:dyDescent="0.25">
      <c r="A931" s="2"/>
      <c r="B931" s="2"/>
      <c r="C931" s="9">
        <v>35</v>
      </c>
      <c r="D931" s="9">
        <v>37</v>
      </c>
      <c r="E931" s="9">
        <v>38</v>
      </c>
      <c r="F931" s="9">
        <v>56</v>
      </c>
      <c r="G931" s="9">
        <v>79</v>
      </c>
      <c r="H931" s="9">
        <v>88</v>
      </c>
      <c r="J931" s="9">
        <v>88</v>
      </c>
      <c r="L931" s="39">
        <v>44536</v>
      </c>
      <c r="N931"/>
      <c r="O931"/>
      <c r="P931"/>
      <c r="Q931"/>
      <c r="R931"/>
      <c r="S931"/>
      <c r="T931"/>
      <c r="U931"/>
      <c r="V931"/>
      <c r="W931" s="52"/>
      <c r="Y931"/>
      <c r="Z931"/>
      <c r="AA931"/>
      <c r="AB931"/>
      <c r="AC931"/>
      <c r="AD931"/>
      <c r="AE931"/>
      <c r="AF931"/>
      <c r="AG931"/>
      <c r="AH931" s="52"/>
      <c r="AI931" s="148"/>
      <c r="AJ931" s="19"/>
      <c r="AK931" s="19"/>
      <c r="AL931" s="19"/>
      <c r="AM931" s="19"/>
      <c r="AN931" s="42"/>
      <c r="AO931" s="54"/>
      <c r="AP931" s="19"/>
      <c r="AQ931" s="1"/>
      <c r="AR931" s="74"/>
      <c r="AS931" s="42"/>
      <c r="AT931" s="54"/>
      <c r="AU931" s="54"/>
      <c r="AV931" s="19"/>
      <c r="AW931" s="54"/>
      <c r="AX931" s="57"/>
      <c r="AY931" s="54"/>
      <c r="AZ931" s="54"/>
      <c r="BA931" s="54"/>
      <c r="BB931" s="54"/>
      <c r="BC931" s="57"/>
      <c r="BD931" s="19"/>
      <c r="BE931" s="19"/>
      <c r="BF931" s="19"/>
      <c r="BG931" s="54"/>
      <c r="BI931" s="54"/>
      <c r="BJ931" s="55"/>
      <c r="BK931" s="55"/>
      <c r="BL931" s="54"/>
      <c r="BM931" s="56"/>
      <c r="BN931" s="56"/>
      <c r="BO931" s="52"/>
      <c r="BP931" s="52"/>
      <c r="BQ931" s="52"/>
      <c r="BR931" s="52"/>
      <c r="BS931" s="52"/>
      <c r="BT931" s="52"/>
      <c r="BU931" s="52"/>
      <c r="BV931" s="52"/>
      <c r="BW931" s="52"/>
      <c r="BX931" s="52"/>
      <c r="BY931" s="52"/>
      <c r="BZ931" s="52"/>
      <c r="CA931" s="52"/>
      <c r="CB931" s="52"/>
      <c r="CC931" s="52"/>
      <c r="CD931" s="52"/>
      <c r="CE931" s="52"/>
      <c r="CF931" s="52"/>
      <c r="CG931" s="52"/>
      <c r="CH931" s="52"/>
      <c r="CI931" s="52"/>
      <c r="CJ931" s="52"/>
      <c r="CK931" s="52"/>
      <c r="CL931" s="52"/>
      <c r="CM931" s="52"/>
      <c r="CN931" s="52"/>
      <c r="CO931" s="52"/>
      <c r="CP931" s="52"/>
      <c r="CQ931" s="52"/>
      <c r="CR931" s="52"/>
      <c r="CS931" s="52"/>
      <c r="CT931" s="52"/>
      <c r="CU931" s="52"/>
      <c r="CV931" s="52"/>
      <c r="CW931" s="52"/>
      <c r="CX931" s="52"/>
      <c r="CY931" s="52"/>
      <c r="CZ931" s="52"/>
      <c r="DA931" s="52"/>
      <c r="DB931" s="52"/>
      <c r="DC931" s="52"/>
      <c r="DD931" s="52"/>
      <c r="DE931" s="52"/>
      <c r="DF931" s="52"/>
      <c r="DG931" s="52"/>
      <c r="DH931" s="52"/>
      <c r="DI931" s="52"/>
      <c r="DJ931" s="52"/>
      <c r="DK931" s="52"/>
      <c r="DL931" s="52"/>
      <c r="DM931" s="52"/>
      <c r="DN931" s="52"/>
      <c r="DO931" s="52"/>
      <c r="DP931" s="52"/>
      <c r="DQ931" s="52"/>
      <c r="DR931" s="52"/>
      <c r="DS931" s="52"/>
      <c r="DT931" s="52"/>
      <c r="DU931" s="52"/>
      <c r="DV931" s="52"/>
      <c r="DW931" s="52"/>
      <c r="DX931" s="52"/>
      <c r="DZ931"/>
      <c r="EA931" s="19"/>
      <c r="EB931" s="19"/>
      <c r="EC931" s="9"/>
      <c r="ED931" s="9"/>
      <c r="EE931" s="9"/>
      <c r="EF931" s="9"/>
      <c r="EG931" s="9"/>
      <c r="EH931" s="13"/>
      <c r="EI931" s="13"/>
      <c r="EJ931" s="13"/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3"/>
      <c r="FD931" s="13"/>
      <c r="FE931" s="13"/>
      <c r="FF931" s="13"/>
      <c r="FG931" s="13"/>
      <c r="FH931" s="13"/>
      <c r="FI931" s="13"/>
      <c r="FJ931" s="13"/>
      <c r="FK931" s="13"/>
      <c r="FL931" s="13"/>
      <c r="FM931" s="13"/>
      <c r="FN931" s="13"/>
      <c r="FO931" s="13"/>
      <c r="FP931" s="13"/>
      <c r="FQ931" s="13"/>
      <c r="FR931" s="13"/>
      <c r="FS931" s="13"/>
      <c r="FT931" s="13"/>
      <c r="FU931" s="13"/>
      <c r="FV931" s="13"/>
      <c r="FW931" s="13"/>
      <c r="FX931" s="13"/>
      <c r="FY931" s="13"/>
      <c r="FZ931" s="13"/>
      <c r="GA931" s="13"/>
    </row>
    <row r="932" spans="1:183" s="43" customFormat="1" x14ac:dyDescent="0.25">
      <c r="A932" s="2"/>
      <c r="B932" s="2"/>
      <c r="C932" s="9">
        <v>15</v>
      </c>
      <c r="D932" s="9">
        <v>36</v>
      </c>
      <c r="E932" s="9">
        <v>39</v>
      </c>
      <c r="F932" s="9">
        <v>45</v>
      </c>
      <c r="G932" s="9">
        <v>81</v>
      </c>
      <c r="H932" s="9">
        <v>89</v>
      </c>
      <c r="J932" s="9">
        <v>89</v>
      </c>
      <c r="L932" s="39">
        <v>44534</v>
      </c>
      <c r="N932"/>
      <c r="O932"/>
      <c r="P932"/>
      <c r="Q932"/>
      <c r="R932"/>
      <c r="S932"/>
      <c r="T932"/>
      <c r="U932"/>
      <c r="V932"/>
      <c r="W932" s="52"/>
      <c r="Y932"/>
      <c r="Z932"/>
      <c r="AA932"/>
      <c r="AB932"/>
      <c r="AC932"/>
      <c r="AD932"/>
      <c r="AE932"/>
      <c r="AF932"/>
      <c r="AG932"/>
      <c r="AH932" s="52"/>
      <c r="AI932" s="148"/>
      <c r="AJ932" s="19"/>
      <c r="AK932" s="19"/>
      <c r="AL932" s="19"/>
      <c r="AM932" s="19"/>
      <c r="AN932" s="42"/>
      <c r="AO932" s="54"/>
      <c r="AP932" s="19"/>
      <c r="AQ932" s="1"/>
      <c r="AR932" s="74"/>
      <c r="AS932" s="42"/>
      <c r="AT932" s="54"/>
      <c r="AU932" s="54"/>
      <c r="AV932" s="19"/>
      <c r="AW932" s="54"/>
      <c r="AX932" s="57"/>
      <c r="AY932" s="54"/>
      <c r="AZ932" s="54"/>
      <c r="BA932" s="54"/>
      <c r="BB932" s="54"/>
      <c r="BC932" s="57"/>
      <c r="BD932" s="19"/>
      <c r="BE932" s="19"/>
      <c r="BF932" s="19"/>
      <c r="BG932" s="54"/>
      <c r="BI932" s="54"/>
      <c r="BJ932" s="55"/>
      <c r="BK932" s="55"/>
      <c r="BL932" s="54"/>
      <c r="BM932" s="56"/>
      <c r="BN932" s="56"/>
      <c r="BO932" s="52"/>
      <c r="BP932" s="52"/>
      <c r="BQ932" s="52"/>
      <c r="BR932" s="52"/>
      <c r="BS932" s="52"/>
      <c r="BT932" s="52"/>
      <c r="BU932" s="52"/>
      <c r="BV932" s="52"/>
      <c r="BW932" s="52"/>
      <c r="BX932" s="52"/>
      <c r="BY932" s="52"/>
      <c r="BZ932" s="52"/>
      <c r="CA932" s="52"/>
      <c r="CB932" s="52"/>
      <c r="CC932" s="52"/>
      <c r="CD932" s="52"/>
      <c r="CE932" s="52"/>
      <c r="CF932" s="52"/>
      <c r="CG932" s="52"/>
      <c r="CH932" s="52"/>
      <c r="CI932" s="52"/>
      <c r="CJ932" s="52"/>
      <c r="CK932" s="52"/>
      <c r="CL932" s="52"/>
      <c r="CM932" s="52"/>
      <c r="CN932" s="52"/>
      <c r="CO932" s="52"/>
      <c r="CP932" s="52"/>
      <c r="CQ932" s="52"/>
      <c r="CR932" s="52"/>
      <c r="CS932" s="52"/>
      <c r="CT932" s="52"/>
      <c r="CU932" s="52"/>
      <c r="CV932" s="52"/>
      <c r="CW932" s="52"/>
      <c r="CX932" s="52"/>
      <c r="CY932" s="52"/>
      <c r="CZ932" s="52"/>
      <c r="DA932" s="52"/>
      <c r="DB932" s="52"/>
      <c r="DC932" s="52"/>
      <c r="DD932" s="52"/>
      <c r="DE932" s="52"/>
      <c r="DF932" s="52"/>
      <c r="DG932" s="52"/>
      <c r="DH932" s="52"/>
      <c r="DI932" s="52"/>
      <c r="DJ932" s="52"/>
      <c r="DK932" s="52"/>
      <c r="DL932" s="52"/>
      <c r="DM932" s="52"/>
      <c r="DN932" s="52"/>
      <c r="DO932" s="52"/>
      <c r="DP932" s="52"/>
      <c r="DQ932" s="52"/>
      <c r="DR932" s="52"/>
      <c r="DS932" s="52"/>
      <c r="DT932" s="52"/>
      <c r="DU932" s="52"/>
      <c r="DV932" s="52"/>
      <c r="DW932" s="52"/>
      <c r="DX932" s="52"/>
      <c r="DZ932"/>
      <c r="EA932" s="19"/>
      <c r="EB932" s="19"/>
      <c r="EC932" s="9"/>
      <c r="ED932" s="9"/>
      <c r="EE932" s="9"/>
      <c r="EF932" s="9"/>
      <c r="EG932" s="9"/>
      <c r="EH932" s="13"/>
      <c r="EI932" s="13"/>
      <c r="EJ932" s="13"/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  <c r="EV932" s="13"/>
      <c r="EW932" s="13"/>
      <c r="EX932" s="13"/>
      <c r="EY932" s="13"/>
      <c r="EZ932" s="13"/>
      <c r="FA932" s="13"/>
      <c r="FB932" s="13"/>
      <c r="FC932" s="13"/>
      <c r="FD932" s="13"/>
      <c r="FE932" s="13"/>
      <c r="FF932" s="13"/>
      <c r="FG932" s="13"/>
      <c r="FH932" s="13"/>
      <c r="FI932" s="13"/>
      <c r="FJ932" s="13"/>
      <c r="FK932" s="13"/>
      <c r="FL932" s="13"/>
      <c r="FM932" s="13"/>
      <c r="FN932" s="13"/>
      <c r="FO932" s="13"/>
      <c r="FP932" s="13"/>
      <c r="FQ932" s="13"/>
      <c r="FR932" s="13"/>
      <c r="FS932" s="13"/>
      <c r="FT932" s="13"/>
      <c r="FU932" s="13"/>
      <c r="FV932" s="13"/>
      <c r="FW932" s="13"/>
      <c r="FX932" s="13"/>
      <c r="FY932" s="13"/>
      <c r="FZ932" s="13"/>
      <c r="GA932" s="13"/>
    </row>
    <row r="933" spans="1:183" s="43" customFormat="1" x14ac:dyDescent="0.25">
      <c r="A933" s="2"/>
      <c r="B933" s="2"/>
      <c r="C933" s="9">
        <v>5</v>
      </c>
      <c r="D933" s="9">
        <v>34</v>
      </c>
      <c r="E933" s="9">
        <v>47</v>
      </c>
      <c r="F933" s="9">
        <v>61</v>
      </c>
      <c r="G933" s="9">
        <v>64</v>
      </c>
      <c r="H933" s="9">
        <v>66</v>
      </c>
      <c r="J933" s="9">
        <v>66</v>
      </c>
      <c r="L933" s="39">
        <v>44531</v>
      </c>
      <c r="N933"/>
      <c r="O933"/>
      <c r="P933"/>
      <c r="Q933"/>
      <c r="R933"/>
      <c r="S933"/>
      <c r="T933"/>
      <c r="U933"/>
      <c r="V933"/>
      <c r="W933" s="52"/>
      <c r="Y933"/>
      <c r="Z933"/>
      <c r="AA933"/>
      <c r="AB933"/>
      <c r="AC933"/>
      <c r="AD933"/>
      <c r="AE933"/>
      <c r="AF933"/>
      <c r="AG933"/>
      <c r="AH933" s="52"/>
      <c r="AI933" s="148"/>
      <c r="AJ933" s="19"/>
      <c r="AK933" s="19"/>
      <c r="AL933" s="19"/>
      <c r="AM933" s="19"/>
      <c r="AN933" s="42"/>
      <c r="AO933" s="54"/>
      <c r="AP933" s="19"/>
      <c r="AQ933" s="1"/>
      <c r="AR933" s="74"/>
      <c r="AS933" s="42"/>
      <c r="AT933" s="54"/>
      <c r="AU933" s="54"/>
      <c r="AV933" s="19"/>
      <c r="AW933" s="54"/>
      <c r="AX933" s="57"/>
      <c r="AY933" s="54"/>
      <c r="AZ933" s="54"/>
      <c r="BA933" s="54"/>
      <c r="BB933" s="54"/>
      <c r="BC933" s="57"/>
      <c r="BD933" s="19"/>
      <c r="BE933" s="19"/>
      <c r="BF933" s="19"/>
      <c r="BG933" s="54"/>
      <c r="BI933" s="54"/>
      <c r="BJ933" s="55"/>
      <c r="BK933" s="55"/>
      <c r="BL933" s="54"/>
      <c r="BM933" s="56"/>
      <c r="BN933" s="56"/>
      <c r="BO933" s="52"/>
      <c r="BP933" s="52"/>
      <c r="BQ933" s="52"/>
      <c r="BR933" s="52"/>
      <c r="BS933" s="52"/>
      <c r="BT933" s="52"/>
      <c r="BU933" s="52"/>
      <c r="BV933" s="52"/>
      <c r="BW933" s="52"/>
      <c r="BX933" s="52"/>
      <c r="BY933" s="52"/>
      <c r="BZ933" s="52"/>
      <c r="CA933" s="52"/>
      <c r="CB933" s="52"/>
      <c r="CC933" s="52"/>
      <c r="CD933" s="52"/>
      <c r="CE933" s="52"/>
      <c r="CF933" s="52"/>
      <c r="CG933" s="52"/>
      <c r="CH933" s="52"/>
      <c r="CI933" s="52"/>
      <c r="CJ933" s="52"/>
      <c r="CK933" s="52"/>
      <c r="CL933" s="52"/>
      <c r="CM933" s="52"/>
      <c r="CN933" s="52"/>
      <c r="CO933" s="52"/>
      <c r="CP933" s="52"/>
      <c r="CQ933" s="52"/>
      <c r="CR933" s="52"/>
      <c r="CS933" s="52"/>
      <c r="CT933" s="52"/>
      <c r="CU933" s="52"/>
      <c r="CV933" s="52"/>
      <c r="CW933" s="52"/>
      <c r="CX933" s="52"/>
      <c r="CY933" s="52"/>
      <c r="CZ933" s="52"/>
      <c r="DA933" s="52"/>
      <c r="DB933" s="52"/>
      <c r="DC933" s="52"/>
      <c r="DD933" s="52"/>
      <c r="DE933" s="52"/>
      <c r="DF933" s="52"/>
      <c r="DG933" s="52"/>
      <c r="DH933" s="52"/>
      <c r="DI933" s="52"/>
      <c r="DJ933" s="52"/>
      <c r="DK933" s="52"/>
      <c r="DL933" s="52"/>
      <c r="DM933" s="52"/>
      <c r="DN933" s="52"/>
      <c r="DO933" s="52"/>
      <c r="DP933" s="52"/>
      <c r="DQ933" s="52"/>
      <c r="DR933" s="52"/>
      <c r="DS933" s="52"/>
      <c r="DT933" s="52"/>
      <c r="DU933" s="52"/>
      <c r="DV933" s="52"/>
      <c r="DW933" s="52"/>
      <c r="DX933" s="52"/>
      <c r="DZ933"/>
      <c r="EA933" s="19"/>
      <c r="EB933" s="19"/>
      <c r="EC933" s="9"/>
      <c r="ED933" s="9"/>
      <c r="EE933" s="9"/>
      <c r="EF933" s="9"/>
      <c r="EG933" s="9"/>
      <c r="EH933" s="13"/>
      <c r="EI933" s="13"/>
      <c r="EJ933" s="13"/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13"/>
      <c r="EX933" s="13"/>
      <c r="EY933" s="13"/>
      <c r="EZ933" s="13"/>
      <c r="FA933" s="13"/>
      <c r="FB933" s="13"/>
      <c r="FC933" s="13"/>
      <c r="FD933" s="13"/>
      <c r="FE933" s="13"/>
      <c r="FF933" s="13"/>
      <c r="FG933" s="13"/>
      <c r="FH933" s="13"/>
      <c r="FI933" s="13"/>
      <c r="FJ933" s="13"/>
      <c r="FK933" s="13"/>
      <c r="FL933" s="13"/>
      <c r="FM933" s="13"/>
      <c r="FN933" s="13"/>
      <c r="FO933" s="13"/>
      <c r="FP933" s="13"/>
      <c r="FQ933" s="13"/>
      <c r="FR933" s="13"/>
      <c r="FS933" s="13"/>
      <c r="FT933" s="13"/>
      <c r="FU933" s="13"/>
      <c r="FV933" s="13"/>
      <c r="FW933" s="13"/>
      <c r="FX933" s="13"/>
      <c r="FY933" s="13"/>
      <c r="FZ933" s="13"/>
      <c r="GA933" s="13"/>
    </row>
    <row r="934" spans="1:183" s="43" customFormat="1" x14ac:dyDescent="0.25">
      <c r="A934" s="2"/>
      <c r="B934" s="2"/>
      <c r="C934" s="9">
        <v>27</v>
      </c>
      <c r="D934" s="9">
        <v>35</v>
      </c>
      <c r="E934" s="9">
        <v>37</v>
      </c>
      <c r="F934" s="9">
        <v>42</v>
      </c>
      <c r="G934" s="9">
        <v>60</v>
      </c>
      <c r="H934" s="9">
        <v>63</v>
      </c>
      <c r="J934" s="9">
        <v>63</v>
      </c>
      <c r="L934" s="39">
        <v>44529</v>
      </c>
      <c r="N934"/>
      <c r="O934"/>
      <c r="P934"/>
      <c r="Q934"/>
      <c r="R934"/>
      <c r="S934"/>
      <c r="T934"/>
      <c r="U934"/>
      <c r="V934"/>
      <c r="W934" s="52"/>
      <c r="Y934"/>
      <c r="Z934"/>
      <c r="AA934"/>
      <c r="AB934"/>
      <c r="AC934"/>
      <c r="AD934"/>
      <c r="AE934"/>
      <c r="AF934"/>
      <c r="AG934"/>
      <c r="AH934" s="52"/>
      <c r="AI934" s="148"/>
      <c r="AJ934" s="19"/>
      <c r="AK934" s="19"/>
      <c r="AL934" s="19"/>
      <c r="AM934" s="19"/>
      <c r="AN934" s="42"/>
      <c r="AO934" s="54"/>
      <c r="AP934" s="19"/>
      <c r="AQ934" s="1"/>
      <c r="AR934" s="74"/>
      <c r="AS934" s="42"/>
      <c r="AT934" s="54"/>
      <c r="AU934" s="54"/>
      <c r="AV934" s="19"/>
      <c r="AW934" s="54"/>
      <c r="AX934" s="57"/>
      <c r="AY934" s="54"/>
      <c r="AZ934" s="54"/>
      <c r="BA934" s="54"/>
      <c r="BB934" s="54"/>
      <c r="BC934" s="57"/>
      <c r="BD934" s="19"/>
      <c r="BE934" s="19"/>
      <c r="BF934" s="19"/>
      <c r="BG934" s="54"/>
      <c r="BI934" s="54"/>
      <c r="BJ934" s="55"/>
      <c r="BK934" s="55"/>
      <c r="BL934" s="54"/>
      <c r="BM934" s="56"/>
      <c r="BN934" s="56"/>
      <c r="BO934" s="52"/>
      <c r="BP934" s="52"/>
      <c r="BQ934" s="52"/>
      <c r="BR934" s="52"/>
      <c r="BS934" s="52"/>
      <c r="BT934" s="52"/>
      <c r="BU934" s="52"/>
      <c r="BV934" s="52"/>
      <c r="BW934" s="52"/>
      <c r="BX934" s="52"/>
      <c r="BY934" s="52"/>
      <c r="BZ934" s="52"/>
      <c r="CA934" s="52"/>
      <c r="CB934" s="52"/>
      <c r="CC934" s="52"/>
      <c r="CD934" s="52"/>
      <c r="CE934" s="52"/>
      <c r="CF934" s="52"/>
      <c r="CG934" s="52"/>
      <c r="CH934" s="52"/>
      <c r="CI934" s="52"/>
      <c r="CJ934" s="52"/>
      <c r="CK934" s="52"/>
      <c r="CL934" s="52"/>
      <c r="CM934" s="52"/>
      <c r="CN934" s="52"/>
      <c r="CO934" s="52"/>
      <c r="CP934" s="52"/>
      <c r="CQ934" s="52"/>
      <c r="CR934" s="52"/>
      <c r="CS934" s="52"/>
      <c r="CT934" s="52"/>
      <c r="CU934" s="52"/>
      <c r="CV934" s="52"/>
      <c r="CW934" s="52"/>
      <c r="CX934" s="52"/>
      <c r="CY934" s="52"/>
      <c r="CZ934" s="52"/>
      <c r="DA934" s="52"/>
      <c r="DB934" s="52"/>
      <c r="DC934" s="52"/>
      <c r="DD934" s="52"/>
      <c r="DE934" s="52"/>
      <c r="DF934" s="52"/>
      <c r="DG934" s="52"/>
      <c r="DH934" s="52"/>
      <c r="DI934" s="52"/>
      <c r="DJ934" s="52"/>
      <c r="DK934" s="52"/>
      <c r="DL934" s="52"/>
      <c r="DM934" s="52"/>
      <c r="DN934" s="52"/>
      <c r="DO934" s="52"/>
      <c r="DP934" s="52"/>
      <c r="DQ934" s="52"/>
      <c r="DR934" s="52"/>
      <c r="DS934" s="52"/>
      <c r="DT934" s="52"/>
      <c r="DU934" s="52"/>
      <c r="DV934" s="52"/>
      <c r="DW934" s="52"/>
      <c r="DX934" s="52"/>
      <c r="DZ934"/>
      <c r="EA934" s="19"/>
      <c r="EB934" s="19"/>
      <c r="EC934" s="9"/>
      <c r="ED934" s="9"/>
      <c r="EE934" s="9"/>
      <c r="EF934" s="9"/>
      <c r="EG934" s="9"/>
      <c r="EH934" s="13"/>
      <c r="EI934" s="13"/>
      <c r="EJ934" s="13"/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13"/>
      <c r="EX934" s="13"/>
      <c r="EY934" s="13"/>
      <c r="EZ934" s="13"/>
      <c r="FA934" s="13"/>
      <c r="FB934" s="13"/>
      <c r="FC934" s="13"/>
      <c r="FD934" s="13"/>
      <c r="FE934" s="13"/>
      <c r="FF934" s="13"/>
      <c r="FG934" s="13"/>
      <c r="FH934" s="13"/>
      <c r="FI934" s="13"/>
      <c r="FJ934" s="13"/>
      <c r="FK934" s="13"/>
      <c r="FL934" s="13"/>
      <c r="FM934" s="13"/>
      <c r="FN934" s="13"/>
      <c r="FO934" s="13"/>
      <c r="FP934" s="13"/>
      <c r="FQ934" s="13"/>
      <c r="FR934" s="13"/>
      <c r="FS934" s="13"/>
      <c r="FT934" s="13"/>
      <c r="FU934" s="13"/>
      <c r="FV934" s="13"/>
      <c r="FW934" s="13"/>
      <c r="FX934" s="13"/>
      <c r="FY934" s="13"/>
      <c r="FZ934" s="13"/>
      <c r="GA934" s="13"/>
    </row>
    <row r="935" spans="1:183" s="43" customFormat="1" x14ac:dyDescent="0.25">
      <c r="A935" s="2"/>
      <c r="B935" s="2"/>
      <c r="C935" s="9">
        <v>17</v>
      </c>
      <c r="D935" s="9">
        <v>43</v>
      </c>
      <c r="E935" s="9">
        <v>46</v>
      </c>
      <c r="F935" s="9">
        <v>61</v>
      </c>
      <c r="G935" s="9">
        <v>69</v>
      </c>
      <c r="H935" s="9">
        <v>89</v>
      </c>
      <c r="J935" s="9">
        <v>89</v>
      </c>
      <c r="L935" s="39">
        <v>44527</v>
      </c>
      <c r="N935"/>
      <c r="O935"/>
      <c r="P935"/>
      <c r="Q935"/>
      <c r="R935"/>
      <c r="S935"/>
      <c r="T935"/>
      <c r="U935"/>
      <c r="V935"/>
      <c r="W935" s="52"/>
      <c r="Y935"/>
      <c r="Z935"/>
      <c r="AA935"/>
      <c r="AB935"/>
      <c r="AC935"/>
      <c r="AD935"/>
      <c r="AE935"/>
      <c r="AF935"/>
      <c r="AG935"/>
      <c r="AH935" s="52"/>
      <c r="AI935" s="148"/>
      <c r="AJ935" s="19"/>
      <c r="AK935" s="19"/>
      <c r="AL935" s="19"/>
      <c r="AM935" s="19"/>
      <c r="AN935" s="42"/>
      <c r="AO935" s="54"/>
      <c r="AP935" s="19"/>
      <c r="AQ935" s="1"/>
      <c r="AR935" s="74"/>
      <c r="AS935" s="42"/>
      <c r="AT935" s="54"/>
      <c r="AU935" s="54"/>
      <c r="AV935" s="19"/>
      <c r="AW935" s="54"/>
      <c r="AX935" s="57"/>
      <c r="AY935" s="54"/>
      <c r="AZ935" s="54"/>
      <c r="BA935" s="54"/>
      <c r="BB935" s="54"/>
      <c r="BC935" s="57"/>
      <c r="BD935" s="19"/>
      <c r="BE935" s="19"/>
      <c r="BF935" s="19"/>
      <c r="BG935" s="54"/>
      <c r="BI935" s="54"/>
      <c r="BJ935" s="55"/>
      <c r="BK935" s="55"/>
      <c r="BL935" s="54"/>
      <c r="BM935" s="56"/>
      <c r="BN935" s="56"/>
      <c r="BO935" s="52"/>
      <c r="BP935" s="52"/>
      <c r="BQ935" s="52"/>
      <c r="BR935" s="52"/>
      <c r="BS935" s="52"/>
      <c r="BT935" s="52"/>
      <c r="BU935" s="52"/>
      <c r="BV935" s="52"/>
      <c r="BW935" s="52"/>
      <c r="BX935" s="52"/>
      <c r="BY935" s="52"/>
      <c r="BZ935" s="52"/>
      <c r="CA935" s="52"/>
      <c r="CB935" s="52"/>
      <c r="CC935" s="52"/>
      <c r="CD935" s="52"/>
      <c r="CE935" s="52"/>
      <c r="CF935" s="52"/>
      <c r="CG935" s="52"/>
      <c r="CH935" s="52"/>
      <c r="CI935" s="52"/>
      <c r="CJ935" s="52"/>
      <c r="CK935" s="52"/>
      <c r="CL935" s="52"/>
      <c r="CM935" s="52"/>
      <c r="CN935" s="52"/>
      <c r="CO935" s="52"/>
      <c r="CP935" s="52"/>
      <c r="CQ935" s="52"/>
      <c r="CR935" s="52"/>
      <c r="CS935" s="52"/>
      <c r="CT935" s="52"/>
      <c r="CU935" s="52"/>
      <c r="CV935" s="52"/>
      <c r="CW935" s="52"/>
      <c r="CX935" s="52"/>
      <c r="CY935" s="52"/>
      <c r="CZ935" s="52"/>
      <c r="DA935" s="52"/>
      <c r="DB935" s="52"/>
      <c r="DC935" s="52"/>
      <c r="DD935" s="52"/>
      <c r="DE935" s="52"/>
      <c r="DF935" s="52"/>
      <c r="DG935" s="52"/>
      <c r="DH935" s="52"/>
      <c r="DI935" s="52"/>
      <c r="DJ935" s="52"/>
      <c r="DK935" s="52"/>
      <c r="DL935" s="52"/>
      <c r="DM935" s="52"/>
      <c r="DN935" s="52"/>
      <c r="DO935" s="52"/>
      <c r="DP935" s="52"/>
      <c r="DQ935" s="52"/>
      <c r="DR935" s="52"/>
      <c r="DS935" s="52"/>
      <c r="DT935" s="52"/>
      <c r="DU935" s="52"/>
      <c r="DV935" s="52"/>
      <c r="DW935" s="52"/>
      <c r="DX935" s="52"/>
      <c r="DZ935"/>
      <c r="EA935" s="19"/>
      <c r="EB935" s="19"/>
      <c r="EC935" s="9"/>
      <c r="ED935" s="9"/>
      <c r="EE935" s="9"/>
      <c r="EF935" s="9"/>
      <c r="EG935" s="9"/>
      <c r="EH935" s="13"/>
      <c r="EI935" s="13"/>
      <c r="EJ935" s="13"/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/>
      <c r="FB935" s="13"/>
      <c r="FC935" s="13"/>
      <c r="FD935" s="13"/>
      <c r="FE935" s="13"/>
      <c r="FF935" s="13"/>
      <c r="FG935" s="13"/>
      <c r="FH935" s="13"/>
      <c r="FI935" s="13"/>
      <c r="FJ935" s="13"/>
      <c r="FK935" s="13"/>
      <c r="FL935" s="13"/>
      <c r="FM935" s="13"/>
      <c r="FN935" s="13"/>
      <c r="FO935" s="13"/>
      <c r="FP935" s="13"/>
      <c r="FQ935" s="13"/>
      <c r="FR935" s="13"/>
      <c r="FS935" s="13"/>
      <c r="FT935" s="13"/>
      <c r="FU935" s="13"/>
      <c r="FV935" s="13"/>
      <c r="FW935" s="13"/>
      <c r="FX935" s="13"/>
      <c r="FY935" s="13"/>
      <c r="FZ935" s="13"/>
      <c r="GA935" s="13"/>
    </row>
    <row r="936" spans="1:183" s="43" customFormat="1" x14ac:dyDescent="0.25">
      <c r="A936" s="2"/>
      <c r="B936" s="2"/>
      <c r="C936" s="9">
        <v>32</v>
      </c>
      <c r="D936" s="9">
        <v>52</v>
      </c>
      <c r="E936" s="9">
        <v>71</v>
      </c>
      <c r="F936" s="9">
        <v>73</v>
      </c>
      <c r="G936" s="9">
        <v>77</v>
      </c>
      <c r="H936" s="9">
        <v>84</v>
      </c>
      <c r="J936" s="9">
        <v>84</v>
      </c>
      <c r="L936" s="39">
        <v>44524</v>
      </c>
      <c r="N936"/>
      <c r="O936"/>
      <c r="P936"/>
      <c r="Q936"/>
      <c r="R936"/>
      <c r="S936"/>
      <c r="T936"/>
      <c r="U936"/>
      <c r="V936"/>
      <c r="W936" s="52"/>
      <c r="Y936"/>
      <c r="Z936"/>
      <c r="AA936"/>
      <c r="AB936"/>
      <c r="AC936"/>
      <c r="AD936"/>
      <c r="AE936"/>
      <c r="AF936"/>
      <c r="AG936"/>
      <c r="AH936" s="52"/>
      <c r="AI936" s="148"/>
      <c r="AJ936" s="19"/>
      <c r="AK936" s="19"/>
      <c r="AL936" s="19"/>
      <c r="AM936" s="19"/>
      <c r="AN936" s="42"/>
      <c r="AO936" s="54"/>
      <c r="AP936" s="19"/>
      <c r="AQ936" s="1"/>
      <c r="AR936" s="74"/>
      <c r="AS936" s="42"/>
      <c r="AT936" s="54"/>
      <c r="AU936" s="54"/>
      <c r="AV936" s="19"/>
      <c r="AW936" s="54"/>
      <c r="AX936" s="57"/>
      <c r="AY936" s="54"/>
      <c r="AZ936" s="54"/>
      <c r="BA936" s="54"/>
      <c r="BB936" s="54"/>
      <c r="BC936" s="57"/>
      <c r="BD936" s="19"/>
      <c r="BE936" s="19"/>
      <c r="BF936" s="19"/>
      <c r="BG936" s="54"/>
      <c r="BI936" s="54"/>
      <c r="BJ936" s="55"/>
      <c r="BK936" s="55"/>
      <c r="BL936" s="54"/>
      <c r="BM936" s="56"/>
      <c r="BN936" s="56"/>
      <c r="BO936" s="52"/>
      <c r="BP936" s="52"/>
      <c r="BQ936" s="52"/>
      <c r="BR936" s="52"/>
      <c r="BS936" s="52"/>
      <c r="BT936" s="52"/>
      <c r="BU936" s="52"/>
      <c r="BV936" s="52"/>
      <c r="BW936" s="52"/>
      <c r="BX936" s="52"/>
      <c r="BY936" s="52"/>
      <c r="BZ936" s="52"/>
      <c r="CA936" s="52"/>
      <c r="CB936" s="52"/>
      <c r="CC936" s="52"/>
      <c r="CD936" s="52"/>
      <c r="CE936" s="52"/>
      <c r="CF936" s="52"/>
      <c r="CG936" s="52"/>
      <c r="CH936" s="52"/>
      <c r="CI936" s="52"/>
      <c r="CJ936" s="52"/>
      <c r="CK936" s="52"/>
      <c r="CL936" s="52"/>
      <c r="CM936" s="52"/>
      <c r="CN936" s="52"/>
      <c r="CO936" s="52"/>
      <c r="CP936" s="52"/>
      <c r="CQ936" s="52"/>
      <c r="CR936" s="52"/>
      <c r="CS936" s="52"/>
      <c r="CT936" s="52"/>
      <c r="CU936" s="52"/>
      <c r="CV936" s="52"/>
      <c r="CW936" s="52"/>
      <c r="CX936" s="52"/>
      <c r="CY936" s="52"/>
      <c r="CZ936" s="52"/>
      <c r="DA936" s="52"/>
      <c r="DB936" s="52"/>
      <c r="DC936" s="52"/>
      <c r="DD936" s="52"/>
      <c r="DE936" s="52"/>
      <c r="DF936" s="52"/>
      <c r="DG936" s="52"/>
      <c r="DH936" s="52"/>
      <c r="DI936" s="52"/>
      <c r="DJ936" s="52"/>
      <c r="DK936" s="52"/>
      <c r="DL936" s="52"/>
      <c r="DM936" s="52"/>
      <c r="DN936" s="52"/>
      <c r="DO936" s="52"/>
      <c r="DP936" s="52"/>
      <c r="DQ936" s="52"/>
      <c r="DR936" s="52"/>
      <c r="DS936" s="52"/>
      <c r="DT936" s="52"/>
      <c r="DU936" s="52"/>
      <c r="DV936" s="52"/>
      <c r="DW936" s="52"/>
      <c r="DX936" s="52"/>
      <c r="DZ936"/>
      <c r="EA936" s="19"/>
      <c r="EB936" s="19"/>
      <c r="EC936" s="9"/>
      <c r="ED936" s="9"/>
      <c r="EE936" s="9"/>
      <c r="EF936" s="9"/>
      <c r="EG936" s="9"/>
      <c r="EH936" s="13"/>
      <c r="EI936" s="13"/>
      <c r="EJ936" s="13"/>
      <c r="EK936" s="13"/>
      <c r="EL936" s="13"/>
      <c r="EM936" s="13"/>
      <c r="EN936" s="13"/>
      <c r="EO936" s="13"/>
      <c r="EP936" s="13"/>
      <c r="EQ936" s="13"/>
      <c r="ER936" s="13"/>
      <c r="ES936" s="13"/>
      <c r="ET936" s="13"/>
      <c r="EU936" s="13"/>
      <c r="EV936" s="13"/>
      <c r="EW936" s="13"/>
      <c r="EX936" s="13"/>
      <c r="EY936" s="13"/>
      <c r="EZ936" s="13"/>
      <c r="FA936" s="13"/>
      <c r="FB936" s="13"/>
      <c r="FC936" s="13"/>
      <c r="FD936" s="13"/>
      <c r="FE936" s="13"/>
      <c r="FF936" s="13"/>
      <c r="FG936" s="13"/>
      <c r="FH936" s="13"/>
      <c r="FI936" s="13"/>
      <c r="FJ936" s="13"/>
      <c r="FK936" s="13"/>
      <c r="FL936" s="13"/>
      <c r="FM936" s="13"/>
      <c r="FN936" s="13"/>
      <c r="FO936" s="13"/>
      <c r="FP936" s="13"/>
      <c r="FQ936" s="13"/>
      <c r="FR936" s="13"/>
      <c r="FS936" s="13"/>
      <c r="FT936" s="13"/>
      <c r="FU936" s="13"/>
      <c r="FV936" s="13"/>
      <c r="FW936" s="13"/>
      <c r="FX936" s="13"/>
      <c r="FY936" s="13"/>
      <c r="FZ936" s="13"/>
      <c r="GA936" s="13"/>
    </row>
    <row r="937" spans="1:183" s="43" customFormat="1" x14ac:dyDescent="0.25">
      <c r="A937" s="2"/>
      <c r="B937" s="2"/>
      <c r="C937" s="9">
        <v>7</v>
      </c>
      <c r="D937" s="9">
        <v>47</v>
      </c>
      <c r="E937" s="9">
        <v>48</v>
      </c>
      <c r="F937" s="9">
        <v>62</v>
      </c>
      <c r="G937" s="9">
        <v>69</v>
      </c>
      <c r="H937" s="9">
        <v>83</v>
      </c>
      <c r="J937" s="9">
        <v>83</v>
      </c>
      <c r="L937" s="39">
        <v>44522</v>
      </c>
      <c r="N937"/>
      <c r="O937"/>
      <c r="P937"/>
      <c r="Q937"/>
      <c r="R937"/>
      <c r="S937"/>
      <c r="T937"/>
      <c r="U937"/>
      <c r="V937"/>
      <c r="W937" s="52"/>
      <c r="Y937"/>
      <c r="Z937"/>
      <c r="AA937"/>
      <c r="AB937"/>
      <c r="AC937"/>
      <c r="AD937"/>
      <c r="AE937"/>
      <c r="AF937"/>
      <c r="AG937"/>
      <c r="AH937" s="52"/>
      <c r="AI937" s="148"/>
      <c r="AJ937" s="19"/>
      <c r="AK937" s="19"/>
      <c r="AL937" s="19"/>
      <c r="AM937" s="19"/>
      <c r="AN937" s="42"/>
      <c r="AO937" s="54"/>
      <c r="AP937" s="19"/>
      <c r="AQ937" s="1"/>
      <c r="AR937" s="74"/>
      <c r="AS937" s="42"/>
      <c r="AT937" s="54"/>
      <c r="AU937" s="54"/>
      <c r="AV937" s="19"/>
      <c r="AW937" s="54"/>
      <c r="AX937" s="57"/>
      <c r="AY937" s="54"/>
      <c r="AZ937" s="54"/>
      <c r="BA937" s="54"/>
      <c r="BB937" s="54"/>
      <c r="BC937" s="57"/>
      <c r="BD937" s="19"/>
      <c r="BE937" s="19"/>
      <c r="BF937" s="19"/>
      <c r="BG937" s="54"/>
      <c r="BI937" s="54"/>
      <c r="BJ937" s="55"/>
      <c r="BK937" s="55"/>
      <c r="BL937" s="54"/>
      <c r="BM937" s="56"/>
      <c r="BN937" s="56"/>
      <c r="BO937" s="52"/>
      <c r="BP937" s="52"/>
      <c r="BQ937" s="52"/>
      <c r="BR937" s="52"/>
      <c r="BS937" s="52"/>
      <c r="BT937" s="52"/>
      <c r="BU937" s="52"/>
      <c r="BV937" s="52"/>
      <c r="BW937" s="52"/>
      <c r="BX937" s="52"/>
      <c r="BY937" s="52"/>
      <c r="BZ937" s="52"/>
      <c r="CA937" s="52"/>
      <c r="CB937" s="52"/>
      <c r="CC937" s="52"/>
      <c r="CD937" s="52"/>
      <c r="CE937" s="52"/>
      <c r="CF937" s="52"/>
      <c r="CG937" s="52"/>
      <c r="CH937" s="52"/>
      <c r="CI937" s="52"/>
      <c r="CJ937" s="52"/>
      <c r="CK937" s="52"/>
      <c r="CL937" s="52"/>
      <c r="CM937" s="52"/>
      <c r="CN937" s="52"/>
      <c r="CO937" s="52"/>
      <c r="CP937" s="52"/>
      <c r="CQ937" s="52"/>
      <c r="CR937" s="52"/>
      <c r="CS937" s="52"/>
      <c r="CT937" s="52"/>
      <c r="CU937" s="52"/>
      <c r="CV937" s="52"/>
      <c r="CW937" s="52"/>
      <c r="CX937" s="52"/>
      <c r="CY937" s="52"/>
      <c r="CZ937" s="52"/>
      <c r="DA937" s="52"/>
      <c r="DB937" s="52"/>
      <c r="DC937" s="52"/>
      <c r="DD937" s="52"/>
      <c r="DE937" s="52"/>
      <c r="DF937" s="52"/>
      <c r="DG937" s="52"/>
      <c r="DH937" s="52"/>
      <c r="DI937" s="52"/>
      <c r="DJ937" s="52"/>
      <c r="DK937" s="52"/>
      <c r="DL937" s="52"/>
      <c r="DM937" s="52"/>
      <c r="DN937" s="52"/>
      <c r="DO937" s="52"/>
      <c r="DP937" s="52"/>
      <c r="DQ937" s="52"/>
      <c r="DR937" s="52"/>
      <c r="DS937" s="52"/>
      <c r="DT937" s="52"/>
      <c r="DU937" s="52"/>
      <c r="DV937" s="52"/>
      <c r="DW937" s="52"/>
      <c r="DX937" s="52"/>
      <c r="DZ937"/>
      <c r="EA937" s="19"/>
      <c r="EB937" s="19"/>
      <c r="EC937" s="9"/>
      <c r="ED937" s="9"/>
      <c r="EE937" s="9"/>
      <c r="EF937" s="9"/>
      <c r="EG937" s="9"/>
      <c r="EH937" s="13"/>
      <c r="EI937" s="13"/>
      <c r="EJ937" s="13"/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3"/>
      <c r="FD937" s="13"/>
      <c r="FE937" s="13"/>
      <c r="FF937" s="13"/>
      <c r="FG937" s="13"/>
      <c r="FH937" s="13"/>
      <c r="FI937" s="13"/>
      <c r="FJ937" s="13"/>
      <c r="FK937" s="13"/>
      <c r="FL937" s="13"/>
      <c r="FM937" s="13"/>
      <c r="FN937" s="13"/>
      <c r="FO937" s="13"/>
      <c r="FP937" s="13"/>
      <c r="FQ937" s="13"/>
      <c r="FR937" s="13"/>
      <c r="FS937" s="13"/>
      <c r="FT937" s="13"/>
      <c r="FU937" s="13"/>
      <c r="FV937" s="13"/>
      <c r="FW937" s="13"/>
      <c r="FX937" s="13"/>
      <c r="FY937" s="13"/>
      <c r="FZ937" s="13"/>
      <c r="GA937" s="13"/>
    </row>
    <row r="938" spans="1:183" s="43" customFormat="1" x14ac:dyDescent="0.25">
      <c r="A938" s="2"/>
      <c r="B938" s="2"/>
      <c r="C938" s="9">
        <v>13</v>
      </c>
      <c r="D938" s="9">
        <v>43</v>
      </c>
      <c r="E938" s="9">
        <v>48</v>
      </c>
      <c r="F938" s="9">
        <v>53</v>
      </c>
      <c r="G938" s="9">
        <v>63</v>
      </c>
      <c r="H938" s="9">
        <v>67</v>
      </c>
      <c r="J938" s="9">
        <v>67</v>
      </c>
      <c r="L938" s="39">
        <v>44520</v>
      </c>
      <c r="N938"/>
      <c r="O938"/>
      <c r="P938"/>
      <c r="Q938"/>
      <c r="R938"/>
      <c r="S938"/>
      <c r="T938"/>
      <c r="U938"/>
      <c r="V938"/>
      <c r="W938" s="52"/>
      <c r="Y938"/>
      <c r="Z938"/>
      <c r="AA938"/>
      <c r="AB938"/>
      <c r="AC938"/>
      <c r="AD938"/>
      <c r="AE938"/>
      <c r="AF938"/>
      <c r="AG938"/>
      <c r="AH938" s="52"/>
      <c r="AI938" s="148"/>
      <c r="AJ938" s="19"/>
      <c r="AK938" s="19"/>
      <c r="AL938" s="19"/>
      <c r="AM938" s="19"/>
      <c r="AN938" s="42"/>
      <c r="AO938" s="54"/>
      <c r="AP938" s="19"/>
      <c r="AQ938" s="1"/>
      <c r="AR938" s="74"/>
      <c r="AS938" s="42"/>
      <c r="AT938" s="54"/>
      <c r="AU938" s="54"/>
      <c r="AV938" s="19"/>
      <c r="AW938" s="54"/>
      <c r="AX938" s="57"/>
      <c r="AY938" s="54"/>
      <c r="AZ938" s="54"/>
      <c r="BA938" s="54"/>
      <c r="BB938" s="54"/>
      <c r="BC938" s="57"/>
      <c r="BD938" s="19"/>
      <c r="BE938" s="19"/>
      <c r="BF938" s="19"/>
      <c r="BG938" s="54"/>
      <c r="BI938" s="54"/>
      <c r="BJ938" s="55"/>
      <c r="BK938" s="55"/>
      <c r="BL938" s="54"/>
      <c r="BM938" s="56"/>
      <c r="BN938" s="56"/>
      <c r="BO938" s="52"/>
      <c r="BP938" s="52"/>
      <c r="BQ938" s="52"/>
      <c r="BR938" s="52"/>
      <c r="BS938" s="52"/>
      <c r="BT938" s="52"/>
      <c r="BU938" s="52"/>
      <c r="BV938" s="52"/>
      <c r="BW938" s="52"/>
      <c r="BX938" s="52"/>
      <c r="BY938" s="52"/>
      <c r="BZ938" s="52"/>
      <c r="CA938" s="52"/>
      <c r="CB938" s="52"/>
      <c r="CC938" s="52"/>
      <c r="CD938" s="52"/>
      <c r="CE938" s="52"/>
      <c r="CF938" s="52"/>
      <c r="CG938" s="52"/>
      <c r="CH938" s="52"/>
      <c r="CI938" s="52"/>
      <c r="CJ938" s="52"/>
      <c r="CK938" s="52"/>
      <c r="CL938" s="52"/>
      <c r="CM938" s="52"/>
      <c r="CN938" s="52"/>
      <c r="CO938" s="52"/>
      <c r="CP938" s="52"/>
      <c r="CQ938" s="52"/>
      <c r="CR938" s="52"/>
      <c r="CS938" s="52"/>
      <c r="CT938" s="52"/>
      <c r="CU938" s="52"/>
      <c r="CV938" s="52"/>
      <c r="CW938" s="52"/>
      <c r="CX938" s="52"/>
      <c r="CY938" s="52"/>
      <c r="CZ938" s="52"/>
      <c r="DA938" s="52"/>
      <c r="DB938" s="52"/>
      <c r="DC938" s="52"/>
      <c r="DD938" s="52"/>
      <c r="DE938" s="52"/>
      <c r="DF938" s="52"/>
      <c r="DG938" s="52"/>
      <c r="DH938" s="52"/>
      <c r="DI938" s="52"/>
      <c r="DJ938" s="52"/>
      <c r="DK938" s="52"/>
      <c r="DL938" s="52"/>
      <c r="DM938" s="52"/>
      <c r="DN938" s="52"/>
      <c r="DO938" s="52"/>
      <c r="DP938" s="52"/>
      <c r="DQ938" s="52"/>
      <c r="DR938" s="52"/>
      <c r="DS938" s="52"/>
      <c r="DT938" s="52"/>
      <c r="DU938" s="52"/>
      <c r="DV938" s="52"/>
      <c r="DW938" s="52"/>
      <c r="DX938" s="52"/>
      <c r="DZ938"/>
      <c r="EA938" s="19"/>
      <c r="EB938" s="19"/>
      <c r="EC938" s="9"/>
      <c r="ED938" s="9"/>
      <c r="EE938" s="9"/>
      <c r="EF938" s="9"/>
      <c r="EG938" s="9"/>
      <c r="EH938" s="13"/>
      <c r="EI938" s="13"/>
      <c r="EJ938" s="13"/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/>
      <c r="FB938" s="13"/>
      <c r="FC938" s="13"/>
      <c r="FD938" s="13"/>
      <c r="FE938" s="13"/>
      <c r="FF938" s="13"/>
      <c r="FG938" s="13"/>
      <c r="FH938" s="13"/>
      <c r="FI938" s="13"/>
      <c r="FJ938" s="13"/>
      <c r="FK938" s="13"/>
      <c r="FL938" s="13"/>
      <c r="FM938" s="13"/>
      <c r="FN938" s="13"/>
      <c r="FO938" s="13"/>
      <c r="FP938" s="13"/>
      <c r="FQ938" s="13"/>
      <c r="FR938" s="13"/>
      <c r="FS938" s="13"/>
      <c r="FT938" s="13"/>
      <c r="FU938" s="13"/>
      <c r="FV938" s="13"/>
      <c r="FW938" s="13"/>
      <c r="FX938" s="13"/>
      <c r="FY938" s="13"/>
      <c r="FZ938" s="13"/>
      <c r="GA938" s="13"/>
    </row>
    <row r="939" spans="1:183" s="43" customFormat="1" x14ac:dyDescent="0.25">
      <c r="A939" s="2"/>
      <c r="B939" s="2"/>
      <c r="C939" s="9">
        <v>53</v>
      </c>
      <c r="D939" s="9">
        <v>56</v>
      </c>
      <c r="E939" s="9">
        <v>61</v>
      </c>
      <c r="F939" s="9">
        <v>65</v>
      </c>
      <c r="G939" s="9">
        <v>71</v>
      </c>
      <c r="H939" s="9">
        <v>81</v>
      </c>
      <c r="J939" s="9">
        <v>81</v>
      </c>
      <c r="L939" s="39">
        <v>44517</v>
      </c>
      <c r="N939"/>
      <c r="O939"/>
      <c r="P939"/>
      <c r="Q939"/>
      <c r="R939"/>
      <c r="S939"/>
      <c r="T939"/>
      <c r="U939"/>
      <c r="V939"/>
      <c r="W939" s="52"/>
      <c r="Y939"/>
      <c r="Z939"/>
      <c r="AA939"/>
      <c r="AB939"/>
      <c r="AC939"/>
      <c r="AD939"/>
      <c r="AE939"/>
      <c r="AF939"/>
      <c r="AG939"/>
      <c r="AH939" s="52"/>
      <c r="AI939" s="148"/>
      <c r="AJ939" s="19"/>
      <c r="AK939" s="19"/>
      <c r="AL939" s="19"/>
      <c r="AM939" s="19"/>
      <c r="AN939" s="42"/>
      <c r="AO939" s="54"/>
      <c r="AP939" s="19"/>
      <c r="AQ939" s="1"/>
      <c r="AR939" s="74"/>
      <c r="AS939" s="42"/>
      <c r="AT939" s="54"/>
      <c r="AU939" s="54"/>
      <c r="AV939" s="19"/>
      <c r="AW939" s="54"/>
      <c r="AX939" s="57"/>
      <c r="AY939" s="54"/>
      <c r="AZ939" s="54"/>
      <c r="BA939" s="54"/>
      <c r="BB939" s="54"/>
      <c r="BC939" s="57"/>
      <c r="BD939" s="19"/>
      <c r="BE939" s="19"/>
      <c r="BF939" s="19"/>
      <c r="BG939" s="54"/>
      <c r="BI939" s="54"/>
      <c r="BJ939" s="55"/>
      <c r="BK939" s="55"/>
      <c r="BL939" s="54"/>
      <c r="BM939" s="56"/>
      <c r="BN939" s="56"/>
      <c r="BO939" s="52"/>
      <c r="BP939" s="52"/>
      <c r="BQ939" s="52"/>
      <c r="BR939" s="52"/>
      <c r="BS939" s="52"/>
      <c r="BT939" s="52"/>
      <c r="BU939" s="52"/>
      <c r="BV939" s="52"/>
      <c r="BW939" s="52"/>
      <c r="BX939" s="52"/>
      <c r="BY939" s="52"/>
      <c r="BZ939" s="52"/>
      <c r="CA939" s="52"/>
      <c r="CB939" s="52"/>
      <c r="CC939" s="52"/>
      <c r="CD939" s="52"/>
      <c r="CE939" s="52"/>
      <c r="CF939" s="52"/>
      <c r="CG939" s="52"/>
      <c r="CH939" s="52"/>
      <c r="CI939" s="52"/>
      <c r="CJ939" s="52"/>
      <c r="CK939" s="52"/>
      <c r="CL939" s="52"/>
      <c r="CM939" s="52"/>
      <c r="CN939" s="52"/>
      <c r="CO939" s="52"/>
      <c r="CP939" s="52"/>
      <c r="CQ939" s="52"/>
      <c r="CR939" s="52"/>
      <c r="CS939" s="52"/>
      <c r="CT939" s="52"/>
      <c r="CU939" s="52"/>
      <c r="CV939" s="52"/>
      <c r="CW939" s="52"/>
      <c r="CX939" s="52"/>
      <c r="CY939" s="52"/>
      <c r="CZ939" s="52"/>
      <c r="DA939" s="52"/>
      <c r="DB939" s="52"/>
      <c r="DC939" s="52"/>
      <c r="DD939" s="52"/>
      <c r="DE939" s="52"/>
      <c r="DF939" s="52"/>
      <c r="DG939" s="52"/>
      <c r="DH939" s="52"/>
      <c r="DI939" s="52"/>
      <c r="DJ939" s="52"/>
      <c r="DK939" s="52"/>
      <c r="DL939" s="52"/>
      <c r="DM939" s="52"/>
      <c r="DN939" s="52"/>
      <c r="DO939" s="52"/>
      <c r="DP939" s="52"/>
      <c r="DQ939" s="52"/>
      <c r="DR939" s="52"/>
      <c r="DS939" s="52"/>
      <c r="DT939" s="52"/>
      <c r="DU939" s="52"/>
      <c r="DV939" s="52"/>
      <c r="DW939" s="52"/>
      <c r="DX939" s="52"/>
      <c r="DZ939"/>
      <c r="EA939" s="19"/>
      <c r="EB939" s="19"/>
      <c r="EC939" s="9"/>
      <c r="ED939" s="9"/>
      <c r="EE939" s="9"/>
      <c r="EF939" s="9"/>
      <c r="EG939" s="9"/>
      <c r="EH939" s="13"/>
      <c r="EI939" s="13"/>
      <c r="EJ939" s="13"/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  <c r="EV939" s="13"/>
      <c r="EW939" s="13"/>
      <c r="EX939" s="13"/>
      <c r="EY939" s="13"/>
      <c r="EZ939" s="13"/>
      <c r="FA939" s="13"/>
      <c r="FB939" s="13"/>
      <c r="FC939" s="13"/>
      <c r="FD939" s="13"/>
      <c r="FE939" s="13"/>
      <c r="FF939" s="13"/>
      <c r="FG939" s="13"/>
      <c r="FH939" s="13"/>
      <c r="FI939" s="13"/>
      <c r="FJ939" s="13"/>
      <c r="FK939" s="13"/>
      <c r="FL939" s="13"/>
      <c r="FM939" s="13"/>
      <c r="FN939" s="13"/>
      <c r="FO939" s="13"/>
      <c r="FP939" s="13"/>
      <c r="FQ939" s="13"/>
      <c r="FR939" s="13"/>
      <c r="FS939" s="13"/>
      <c r="FT939" s="13"/>
      <c r="FU939" s="13"/>
      <c r="FV939" s="13"/>
      <c r="FW939" s="13"/>
      <c r="FX939" s="13"/>
      <c r="FY939" s="13"/>
      <c r="FZ939" s="13"/>
      <c r="GA939" s="13"/>
    </row>
    <row r="940" spans="1:183" s="43" customFormat="1" x14ac:dyDescent="0.25">
      <c r="A940" s="2"/>
      <c r="B940" s="2"/>
      <c r="C940" s="9">
        <v>13</v>
      </c>
      <c r="D940" s="9">
        <v>15</v>
      </c>
      <c r="E940" s="9">
        <v>43</v>
      </c>
      <c r="F940" s="9">
        <v>51</v>
      </c>
      <c r="G940" s="9">
        <v>71</v>
      </c>
      <c r="H940" s="9">
        <v>88</v>
      </c>
      <c r="J940" s="9">
        <v>88</v>
      </c>
      <c r="L940" s="39">
        <v>44515</v>
      </c>
      <c r="N940"/>
      <c r="O940"/>
      <c r="P940"/>
      <c r="Q940"/>
      <c r="R940"/>
      <c r="S940"/>
      <c r="T940"/>
      <c r="U940"/>
      <c r="V940"/>
      <c r="W940" s="52"/>
      <c r="Y940"/>
      <c r="Z940"/>
      <c r="AA940"/>
      <c r="AB940"/>
      <c r="AC940"/>
      <c r="AD940"/>
      <c r="AE940"/>
      <c r="AF940"/>
      <c r="AG940"/>
      <c r="AH940" s="52"/>
      <c r="AI940" s="148"/>
      <c r="AJ940" s="19"/>
      <c r="AK940" s="19"/>
      <c r="AL940" s="19"/>
      <c r="AM940" s="19"/>
      <c r="AN940" s="42"/>
      <c r="AO940" s="54"/>
      <c r="AP940" s="19"/>
      <c r="AQ940" s="1"/>
      <c r="AR940" s="74"/>
      <c r="AS940" s="42"/>
      <c r="AT940" s="54"/>
      <c r="AU940" s="54"/>
      <c r="AV940" s="19"/>
      <c r="AW940" s="54"/>
      <c r="AX940" s="57"/>
      <c r="AY940" s="54"/>
      <c r="AZ940" s="54"/>
      <c r="BA940" s="54"/>
      <c r="BB940" s="54"/>
      <c r="BC940" s="57"/>
      <c r="BD940" s="19"/>
      <c r="BE940" s="19"/>
      <c r="BF940" s="19"/>
      <c r="BG940" s="54"/>
      <c r="BI940" s="54"/>
      <c r="BJ940" s="55"/>
      <c r="BK940" s="55"/>
      <c r="BL940" s="54"/>
      <c r="BM940" s="56"/>
      <c r="BN940" s="56"/>
      <c r="BO940" s="52"/>
      <c r="BP940" s="52"/>
      <c r="BQ940" s="52"/>
      <c r="BR940" s="52"/>
      <c r="BS940" s="52"/>
      <c r="BT940" s="52"/>
      <c r="BU940" s="52"/>
      <c r="BV940" s="52"/>
      <c r="BW940" s="52"/>
      <c r="BX940" s="52"/>
      <c r="BY940" s="52"/>
      <c r="BZ940" s="52"/>
      <c r="CA940" s="52"/>
      <c r="CB940" s="52"/>
      <c r="CC940" s="52"/>
      <c r="CD940" s="52"/>
      <c r="CE940" s="52"/>
      <c r="CF940" s="52"/>
      <c r="CG940" s="52"/>
      <c r="CH940" s="52"/>
      <c r="CI940" s="52"/>
      <c r="CJ940" s="52"/>
      <c r="CK940" s="52"/>
      <c r="CL940" s="52"/>
      <c r="CM940" s="52"/>
      <c r="CN940" s="52"/>
      <c r="CO940" s="52"/>
      <c r="CP940" s="52"/>
      <c r="CQ940" s="52"/>
      <c r="CR940" s="52"/>
      <c r="CS940" s="52"/>
      <c r="CT940" s="52"/>
      <c r="CU940" s="52"/>
      <c r="CV940" s="52"/>
      <c r="CW940" s="52"/>
      <c r="CX940" s="52"/>
      <c r="CY940" s="52"/>
      <c r="CZ940" s="52"/>
      <c r="DA940" s="52"/>
      <c r="DB940" s="52"/>
      <c r="DC940" s="52"/>
      <c r="DD940" s="52"/>
      <c r="DE940" s="52"/>
      <c r="DF940" s="52"/>
      <c r="DG940" s="52"/>
      <c r="DH940" s="52"/>
      <c r="DI940" s="52"/>
      <c r="DJ940" s="52"/>
      <c r="DK940" s="52"/>
      <c r="DL940" s="52"/>
      <c r="DM940" s="52"/>
      <c r="DN940" s="52"/>
      <c r="DO940" s="52"/>
      <c r="DP940" s="52"/>
      <c r="DQ940" s="52"/>
      <c r="DR940" s="52"/>
      <c r="DS940" s="52"/>
      <c r="DT940" s="52"/>
      <c r="DU940" s="52"/>
      <c r="DV940" s="52"/>
      <c r="DW940" s="52"/>
      <c r="DX940" s="52"/>
      <c r="DZ940"/>
      <c r="EA940" s="19"/>
      <c r="EB940" s="19"/>
      <c r="EC940" s="9"/>
      <c r="ED940" s="9"/>
      <c r="EE940" s="9"/>
      <c r="EF940" s="9"/>
      <c r="EG940" s="9"/>
      <c r="EH940" s="13"/>
      <c r="EI940" s="13"/>
      <c r="EJ940" s="13"/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/>
      <c r="FB940" s="13"/>
      <c r="FC940" s="13"/>
      <c r="FD940" s="13"/>
      <c r="FE940" s="13"/>
      <c r="FF940" s="13"/>
      <c r="FG940" s="13"/>
      <c r="FH940" s="13"/>
      <c r="FI940" s="13"/>
      <c r="FJ940" s="13"/>
      <c r="FK940" s="13"/>
      <c r="FL940" s="13"/>
      <c r="FM940" s="13"/>
      <c r="FN940" s="13"/>
      <c r="FO940" s="13"/>
      <c r="FP940" s="13"/>
      <c r="FQ940" s="13"/>
      <c r="FR940" s="13"/>
      <c r="FS940" s="13"/>
      <c r="FT940" s="13"/>
      <c r="FU940" s="13"/>
      <c r="FV940" s="13"/>
      <c r="FW940" s="13"/>
      <c r="FX940" s="13"/>
      <c r="FY940" s="13"/>
      <c r="FZ940" s="13"/>
      <c r="GA940" s="13"/>
    </row>
    <row r="941" spans="1:183" s="43" customFormat="1" x14ac:dyDescent="0.25">
      <c r="A941" s="2"/>
      <c r="B941" s="2"/>
      <c r="C941" s="9">
        <v>31</v>
      </c>
      <c r="D941" s="9">
        <v>47</v>
      </c>
      <c r="E941" s="9">
        <v>67</v>
      </c>
      <c r="F941" s="9">
        <v>74</v>
      </c>
      <c r="G941" s="9">
        <v>79</v>
      </c>
      <c r="H941" s="9">
        <v>86</v>
      </c>
      <c r="J941" s="9">
        <v>86</v>
      </c>
      <c r="L941" s="39">
        <v>44513</v>
      </c>
      <c r="N941"/>
      <c r="O941"/>
      <c r="P941"/>
      <c r="Q941"/>
      <c r="R941"/>
      <c r="S941"/>
      <c r="T941"/>
      <c r="U941"/>
      <c r="V941"/>
      <c r="W941" s="52"/>
      <c r="Y941"/>
      <c r="Z941"/>
      <c r="AA941"/>
      <c r="AB941"/>
      <c r="AC941"/>
      <c r="AD941"/>
      <c r="AE941"/>
      <c r="AF941"/>
      <c r="AG941"/>
      <c r="AH941" s="52"/>
      <c r="AI941" s="148"/>
      <c r="AJ941" s="19"/>
      <c r="AK941" s="19"/>
      <c r="AL941" s="19"/>
      <c r="AM941" s="19"/>
      <c r="AN941" s="42"/>
      <c r="AO941" s="54"/>
      <c r="AP941" s="19"/>
      <c r="AQ941" s="1"/>
      <c r="AR941" s="74"/>
      <c r="AS941" s="42"/>
      <c r="AT941" s="54"/>
      <c r="AU941" s="54"/>
      <c r="AV941" s="19"/>
      <c r="AW941" s="54"/>
      <c r="AX941" s="57"/>
      <c r="AY941" s="54"/>
      <c r="AZ941" s="54"/>
      <c r="BA941" s="54"/>
      <c r="BB941" s="54"/>
      <c r="BC941" s="57"/>
      <c r="BD941" s="19"/>
      <c r="BE941" s="19"/>
      <c r="BF941" s="19"/>
      <c r="BG941" s="54"/>
      <c r="BI941" s="54"/>
      <c r="BJ941" s="55"/>
      <c r="BK941" s="55"/>
      <c r="BL941" s="54"/>
      <c r="BM941" s="56"/>
      <c r="BN941" s="56"/>
      <c r="BO941" s="52"/>
      <c r="BP941" s="52"/>
      <c r="BQ941" s="52"/>
      <c r="BR941" s="52"/>
      <c r="BS941" s="52"/>
      <c r="BT941" s="52"/>
      <c r="BU941" s="52"/>
      <c r="BV941" s="52"/>
      <c r="BW941" s="52"/>
      <c r="BX941" s="52"/>
      <c r="BY941" s="52"/>
      <c r="BZ941" s="52"/>
      <c r="CA941" s="52"/>
      <c r="CB941" s="52"/>
      <c r="CC941" s="52"/>
      <c r="CD941" s="52"/>
      <c r="CE941" s="52"/>
      <c r="CF941" s="52"/>
      <c r="CG941" s="52"/>
      <c r="CH941" s="52"/>
      <c r="CI941" s="52"/>
      <c r="CJ941" s="52"/>
      <c r="CK941" s="52"/>
      <c r="CL941" s="52"/>
      <c r="CM941" s="52"/>
      <c r="CN941" s="52"/>
      <c r="CO941" s="52"/>
      <c r="CP941" s="52"/>
      <c r="CQ941" s="52"/>
      <c r="CR941" s="52"/>
      <c r="CS941" s="52"/>
      <c r="CT941" s="52"/>
      <c r="CU941" s="52"/>
      <c r="CV941" s="52"/>
      <c r="CW941" s="52"/>
      <c r="CX941" s="52"/>
      <c r="CY941" s="52"/>
      <c r="CZ941" s="52"/>
      <c r="DA941" s="52"/>
      <c r="DB941" s="52"/>
      <c r="DC941" s="52"/>
      <c r="DD941" s="52"/>
      <c r="DE941" s="52"/>
      <c r="DF941" s="52"/>
      <c r="DG941" s="52"/>
      <c r="DH941" s="52"/>
      <c r="DI941" s="52"/>
      <c r="DJ941" s="52"/>
      <c r="DK941" s="52"/>
      <c r="DL941" s="52"/>
      <c r="DM941" s="52"/>
      <c r="DN941" s="52"/>
      <c r="DO941" s="52"/>
      <c r="DP941" s="52"/>
      <c r="DQ941" s="52"/>
      <c r="DR941" s="52"/>
      <c r="DS941" s="52"/>
      <c r="DT941" s="52"/>
      <c r="DU941" s="52"/>
      <c r="DV941" s="52"/>
      <c r="DW941" s="52"/>
      <c r="DX941" s="52"/>
      <c r="DZ941"/>
      <c r="EA941" s="19"/>
      <c r="EB941" s="19"/>
      <c r="EC941" s="9"/>
      <c r="ED941" s="9"/>
      <c r="EE941" s="9"/>
      <c r="EF941" s="9"/>
      <c r="EG941" s="9"/>
      <c r="EH941" s="13"/>
      <c r="EI941" s="13"/>
      <c r="EJ941" s="13"/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/>
      <c r="FB941" s="13"/>
      <c r="FC941" s="13"/>
      <c r="FD941" s="13"/>
      <c r="FE941" s="13"/>
      <c r="FF941" s="13"/>
      <c r="FG941" s="13"/>
      <c r="FH941" s="13"/>
      <c r="FI941" s="13"/>
      <c r="FJ941" s="13"/>
      <c r="FK941" s="13"/>
      <c r="FL941" s="13"/>
      <c r="FM941" s="13"/>
      <c r="FN941" s="13"/>
      <c r="FO941" s="13"/>
      <c r="FP941" s="13"/>
      <c r="FQ941" s="13"/>
      <c r="FR941" s="13"/>
      <c r="FS941" s="13"/>
      <c r="FT941" s="13"/>
      <c r="FU941" s="13"/>
      <c r="FV941" s="13"/>
      <c r="FW941" s="13"/>
      <c r="FX941" s="13"/>
      <c r="FY941" s="13"/>
      <c r="FZ941" s="13"/>
      <c r="GA941" s="13"/>
    </row>
    <row r="942" spans="1:183" s="43" customFormat="1" x14ac:dyDescent="0.25">
      <c r="A942" s="2"/>
      <c r="B942" s="2"/>
      <c r="C942" s="9">
        <v>8</v>
      </c>
      <c r="D942" s="9">
        <v>31</v>
      </c>
      <c r="E942" s="9">
        <v>32</v>
      </c>
      <c r="F942" s="9">
        <v>55</v>
      </c>
      <c r="G942" s="9">
        <v>65</v>
      </c>
      <c r="H942" s="9">
        <v>71</v>
      </c>
      <c r="J942" s="9">
        <v>71</v>
      </c>
      <c r="L942" s="39">
        <v>44510</v>
      </c>
      <c r="N942"/>
      <c r="O942"/>
      <c r="P942"/>
      <c r="Q942"/>
      <c r="R942"/>
      <c r="S942"/>
      <c r="T942"/>
      <c r="U942"/>
      <c r="V942"/>
      <c r="W942" s="52"/>
      <c r="Y942"/>
      <c r="Z942"/>
      <c r="AA942"/>
      <c r="AB942"/>
      <c r="AC942"/>
      <c r="AD942"/>
      <c r="AE942"/>
      <c r="AF942"/>
      <c r="AG942"/>
      <c r="AH942" s="52"/>
      <c r="AI942" s="148"/>
      <c r="AJ942" s="19"/>
      <c r="AK942" s="19"/>
      <c r="AL942" s="19"/>
      <c r="AM942" s="19"/>
      <c r="AN942" s="42"/>
      <c r="AO942" s="54"/>
      <c r="AP942" s="19"/>
      <c r="AQ942" s="1"/>
      <c r="AR942" s="74"/>
      <c r="AS942" s="42"/>
      <c r="AT942" s="54"/>
      <c r="AU942" s="54"/>
      <c r="AV942" s="19"/>
      <c r="AW942" s="54"/>
      <c r="AX942" s="57"/>
      <c r="AY942" s="54"/>
      <c r="AZ942" s="54"/>
      <c r="BA942" s="54"/>
      <c r="BB942" s="54"/>
      <c r="BC942" s="57"/>
      <c r="BD942" s="19"/>
      <c r="BE942" s="19"/>
      <c r="BF942" s="19"/>
      <c r="BG942" s="54"/>
      <c r="BI942" s="54"/>
      <c r="BJ942" s="55"/>
      <c r="BK942" s="55"/>
      <c r="BL942" s="54"/>
      <c r="BM942" s="56"/>
      <c r="BN942" s="56"/>
      <c r="BO942" s="52"/>
      <c r="BP942" s="52"/>
      <c r="BQ942" s="52"/>
      <c r="BR942" s="52"/>
      <c r="BS942" s="52"/>
      <c r="BT942" s="52"/>
      <c r="BU942" s="52"/>
      <c r="BV942" s="52"/>
      <c r="BW942" s="52"/>
      <c r="BX942" s="52"/>
      <c r="BY942" s="52"/>
      <c r="BZ942" s="52"/>
      <c r="CA942" s="52"/>
      <c r="CB942" s="52"/>
      <c r="CC942" s="52"/>
      <c r="CD942" s="52"/>
      <c r="CE942" s="52"/>
      <c r="CF942" s="52"/>
      <c r="CG942" s="52"/>
      <c r="CH942" s="52"/>
      <c r="CI942" s="52"/>
      <c r="CJ942" s="52"/>
      <c r="CK942" s="52"/>
      <c r="CL942" s="52"/>
      <c r="CM942" s="52"/>
      <c r="CN942" s="52"/>
      <c r="CO942" s="52"/>
      <c r="CP942" s="52"/>
      <c r="CQ942" s="52"/>
      <c r="CR942" s="52"/>
      <c r="CS942" s="52"/>
      <c r="CT942" s="52"/>
      <c r="CU942" s="52"/>
      <c r="CV942" s="52"/>
      <c r="CW942" s="52"/>
      <c r="CX942" s="52"/>
      <c r="CY942" s="52"/>
      <c r="CZ942" s="52"/>
      <c r="DA942" s="52"/>
      <c r="DB942" s="52"/>
      <c r="DC942" s="52"/>
      <c r="DD942" s="52"/>
      <c r="DE942" s="52"/>
      <c r="DF942" s="52"/>
      <c r="DG942" s="52"/>
      <c r="DH942" s="52"/>
      <c r="DI942" s="52"/>
      <c r="DJ942" s="52"/>
      <c r="DK942" s="52"/>
      <c r="DL942" s="52"/>
      <c r="DM942" s="52"/>
      <c r="DN942" s="52"/>
      <c r="DO942" s="52"/>
      <c r="DP942" s="52"/>
      <c r="DQ942" s="52"/>
      <c r="DR942" s="52"/>
      <c r="DS942" s="52"/>
      <c r="DT942" s="52"/>
      <c r="DU942" s="52"/>
      <c r="DV942" s="52"/>
      <c r="DW942" s="52"/>
      <c r="DX942" s="52"/>
      <c r="DZ942"/>
      <c r="EA942" s="19"/>
      <c r="EB942" s="19"/>
      <c r="EC942" s="9"/>
      <c r="ED942" s="9"/>
      <c r="EE942" s="9"/>
      <c r="EF942" s="9"/>
      <c r="EG942" s="9"/>
      <c r="EH942" s="13"/>
      <c r="EI942" s="13"/>
      <c r="EJ942" s="13"/>
      <c r="EK942" s="13"/>
      <c r="EL942" s="13"/>
      <c r="EM942" s="13"/>
      <c r="EN942" s="13"/>
      <c r="EO942" s="13"/>
      <c r="EP942" s="13"/>
      <c r="EQ942" s="13"/>
      <c r="ER942" s="13"/>
      <c r="ES942" s="13"/>
      <c r="ET942" s="13"/>
      <c r="EU942" s="13"/>
      <c r="EV942" s="13"/>
      <c r="EW942" s="13"/>
      <c r="EX942" s="13"/>
      <c r="EY942" s="13"/>
      <c r="EZ942" s="13"/>
      <c r="FA942" s="13"/>
      <c r="FB942" s="13"/>
      <c r="FC942" s="13"/>
      <c r="FD942" s="13"/>
      <c r="FE942" s="13"/>
      <c r="FF942" s="13"/>
      <c r="FG942" s="13"/>
      <c r="FH942" s="13"/>
      <c r="FI942" s="13"/>
      <c r="FJ942" s="13"/>
      <c r="FK942" s="13"/>
      <c r="FL942" s="13"/>
      <c r="FM942" s="13"/>
      <c r="FN942" s="13"/>
      <c r="FO942" s="13"/>
      <c r="FP942" s="13"/>
      <c r="FQ942" s="13"/>
      <c r="FR942" s="13"/>
      <c r="FS942" s="13"/>
      <c r="FT942" s="13"/>
      <c r="FU942" s="13"/>
      <c r="FV942" s="13"/>
      <c r="FW942" s="13"/>
      <c r="FX942" s="13"/>
      <c r="FY942" s="13"/>
      <c r="FZ942" s="13"/>
      <c r="GA942" s="13"/>
    </row>
    <row r="943" spans="1:183" s="43" customFormat="1" x14ac:dyDescent="0.25">
      <c r="A943" s="2"/>
      <c r="B943" s="2"/>
      <c r="C943" s="9">
        <v>16</v>
      </c>
      <c r="D943" s="9">
        <v>25</v>
      </c>
      <c r="E943" s="9">
        <v>36</v>
      </c>
      <c r="F943" s="9">
        <v>54</v>
      </c>
      <c r="G943" s="9">
        <v>56</v>
      </c>
      <c r="H943" s="9">
        <v>61</v>
      </c>
      <c r="J943" s="9">
        <v>61</v>
      </c>
      <c r="L943" s="39">
        <v>44508</v>
      </c>
      <c r="N943"/>
      <c r="O943"/>
      <c r="P943"/>
      <c r="Q943"/>
      <c r="R943"/>
      <c r="S943"/>
      <c r="T943"/>
      <c r="U943"/>
      <c r="V943"/>
      <c r="W943" s="52"/>
      <c r="Y943"/>
      <c r="Z943"/>
      <c r="AA943"/>
      <c r="AB943"/>
      <c r="AC943"/>
      <c r="AD943"/>
      <c r="AE943"/>
      <c r="AF943"/>
      <c r="AG943"/>
      <c r="AH943" s="52"/>
      <c r="AI943" s="148"/>
      <c r="AJ943" s="19"/>
      <c r="AK943" s="19"/>
      <c r="AL943" s="19"/>
      <c r="AM943" s="19"/>
      <c r="AN943" s="42"/>
      <c r="AO943" s="54"/>
      <c r="AP943" s="19"/>
      <c r="AQ943" s="1"/>
      <c r="AR943" s="74"/>
      <c r="AS943" s="42"/>
      <c r="AT943" s="54"/>
      <c r="AU943" s="54"/>
      <c r="AV943" s="19"/>
      <c r="AW943" s="54"/>
      <c r="AX943" s="57"/>
      <c r="AY943" s="54"/>
      <c r="AZ943" s="54"/>
      <c r="BA943" s="54"/>
      <c r="BB943" s="54"/>
      <c r="BC943" s="57"/>
      <c r="BD943" s="19"/>
      <c r="BE943" s="19"/>
      <c r="BF943" s="19"/>
      <c r="BG943" s="54"/>
      <c r="BI943" s="54"/>
      <c r="BJ943" s="55"/>
      <c r="BK943" s="55"/>
      <c r="BL943" s="54"/>
      <c r="BM943" s="56"/>
      <c r="BN943" s="56"/>
      <c r="BO943" s="52"/>
      <c r="BP943" s="52"/>
      <c r="BQ943" s="52"/>
      <c r="BR943" s="52"/>
      <c r="BS943" s="52"/>
      <c r="BT943" s="52"/>
      <c r="BU943" s="52"/>
      <c r="BV943" s="52"/>
      <c r="BW943" s="52"/>
      <c r="BX943" s="52"/>
      <c r="BY943" s="52"/>
      <c r="BZ943" s="52"/>
      <c r="CA943" s="52"/>
      <c r="CB943" s="52"/>
      <c r="CC943" s="52"/>
      <c r="CD943" s="52"/>
      <c r="CE943" s="52"/>
      <c r="CF943" s="52"/>
      <c r="CG943" s="52"/>
      <c r="CH943" s="52"/>
      <c r="CI943" s="52"/>
      <c r="CJ943" s="52"/>
      <c r="CK943" s="52"/>
      <c r="CL943" s="52"/>
      <c r="CM943" s="52"/>
      <c r="CN943" s="52"/>
      <c r="CO943" s="52"/>
      <c r="CP943" s="52"/>
      <c r="CQ943" s="52"/>
      <c r="CR943" s="52"/>
      <c r="CS943" s="52"/>
      <c r="CT943" s="52"/>
      <c r="CU943" s="52"/>
      <c r="CV943" s="52"/>
      <c r="CW943" s="52"/>
      <c r="CX943" s="52"/>
      <c r="CY943" s="52"/>
      <c r="CZ943" s="52"/>
      <c r="DA943" s="52"/>
      <c r="DB943" s="52"/>
      <c r="DC943" s="52"/>
      <c r="DD943" s="52"/>
      <c r="DE943" s="52"/>
      <c r="DF943" s="52"/>
      <c r="DG943" s="52"/>
      <c r="DH943" s="52"/>
      <c r="DI943" s="52"/>
      <c r="DJ943" s="52"/>
      <c r="DK943" s="52"/>
      <c r="DL943" s="52"/>
      <c r="DM943" s="52"/>
      <c r="DN943" s="52"/>
      <c r="DO943" s="52"/>
      <c r="DP943" s="52"/>
      <c r="DQ943" s="52"/>
      <c r="DR943" s="52"/>
      <c r="DS943" s="52"/>
      <c r="DT943" s="52"/>
      <c r="DU943" s="52"/>
      <c r="DV943" s="52"/>
      <c r="DW943" s="52"/>
      <c r="DX943" s="52"/>
      <c r="DZ943"/>
      <c r="EA943" s="19"/>
      <c r="EB943" s="19"/>
      <c r="EC943" s="9"/>
      <c r="ED943" s="9"/>
      <c r="EE943" s="9"/>
      <c r="EF943" s="9"/>
      <c r="EG943" s="9"/>
      <c r="EH943" s="13"/>
      <c r="EI943" s="13"/>
      <c r="EJ943" s="13"/>
      <c r="EK943" s="13"/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/>
      <c r="FB943" s="13"/>
      <c r="FC943" s="13"/>
      <c r="FD943" s="13"/>
      <c r="FE943" s="13"/>
      <c r="FF943" s="13"/>
      <c r="FG943" s="13"/>
      <c r="FH943" s="13"/>
      <c r="FI943" s="13"/>
      <c r="FJ943" s="13"/>
      <c r="FK943" s="13"/>
      <c r="FL943" s="13"/>
      <c r="FM943" s="13"/>
      <c r="FN943" s="13"/>
      <c r="FO943" s="13"/>
      <c r="FP943" s="13"/>
      <c r="FQ943" s="13"/>
      <c r="FR943" s="13"/>
      <c r="FS943" s="13"/>
      <c r="FT943" s="13"/>
      <c r="FU943" s="13"/>
      <c r="FV943" s="13"/>
      <c r="FW943" s="13"/>
      <c r="FX943" s="13"/>
      <c r="FY943" s="13"/>
      <c r="FZ943" s="13"/>
      <c r="GA943" s="13"/>
    </row>
    <row r="944" spans="1:183" s="43" customFormat="1" x14ac:dyDescent="0.25">
      <c r="A944" s="2"/>
      <c r="B944" s="2"/>
      <c r="C944" s="9">
        <v>23</v>
      </c>
      <c r="D944" s="9">
        <v>35</v>
      </c>
      <c r="E944" s="9">
        <v>37</v>
      </c>
      <c r="F944" s="9">
        <v>52</v>
      </c>
      <c r="G944" s="9">
        <v>59</v>
      </c>
      <c r="H944" s="9">
        <v>65</v>
      </c>
      <c r="J944" s="9">
        <v>65</v>
      </c>
      <c r="L944" s="39">
        <v>44506</v>
      </c>
      <c r="N944"/>
      <c r="O944"/>
      <c r="P944"/>
      <c r="Q944"/>
      <c r="R944"/>
      <c r="S944"/>
      <c r="T944"/>
      <c r="U944"/>
      <c r="V944"/>
      <c r="W944" s="52"/>
      <c r="Y944"/>
      <c r="Z944"/>
      <c r="AA944"/>
      <c r="AB944"/>
      <c r="AC944"/>
      <c r="AD944"/>
      <c r="AE944"/>
      <c r="AF944"/>
      <c r="AG944"/>
      <c r="AH944" s="52"/>
      <c r="AI944" s="148"/>
      <c r="AJ944" s="19"/>
      <c r="AK944" s="19"/>
      <c r="AL944" s="19"/>
      <c r="AM944" s="19"/>
      <c r="AN944" s="42"/>
      <c r="AO944" s="54"/>
      <c r="AP944" s="19"/>
      <c r="AQ944" s="1"/>
      <c r="AR944" s="74"/>
      <c r="AS944" s="42"/>
      <c r="AT944" s="54"/>
      <c r="AU944" s="54"/>
      <c r="AV944" s="19"/>
      <c r="AW944" s="54"/>
      <c r="AX944" s="57"/>
      <c r="AY944" s="54"/>
      <c r="AZ944" s="54"/>
      <c r="BA944" s="54"/>
      <c r="BB944" s="54"/>
      <c r="BC944" s="57"/>
      <c r="BD944" s="19"/>
      <c r="BE944" s="19"/>
      <c r="BF944" s="19"/>
      <c r="BG944" s="54"/>
      <c r="BI944" s="54"/>
      <c r="BJ944" s="55"/>
      <c r="BK944" s="55"/>
      <c r="BL944" s="54"/>
      <c r="BM944" s="56"/>
      <c r="BN944" s="56"/>
      <c r="BO944" s="52"/>
      <c r="BP944" s="52"/>
      <c r="BQ944" s="52"/>
      <c r="BR944" s="52"/>
      <c r="BS944" s="52"/>
      <c r="BT944" s="52"/>
      <c r="BU944" s="52"/>
      <c r="BV944" s="52"/>
      <c r="BW944" s="52"/>
      <c r="BX944" s="52"/>
      <c r="BY944" s="52"/>
      <c r="BZ944" s="52"/>
      <c r="CA944" s="52"/>
      <c r="CB944" s="52"/>
      <c r="CC944" s="52"/>
      <c r="CD944" s="52"/>
      <c r="CE944" s="52"/>
      <c r="CF944" s="52"/>
      <c r="CG944" s="52"/>
      <c r="CH944" s="52"/>
      <c r="CI944" s="52"/>
      <c r="CJ944" s="52"/>
      <c r="CK944" s="52"/>
      <c r="CL944" s="52"/>
      <c r="CM944" s="52"/>
      <c r="CN944" s="52"/>
      <c r="CO944" s="52"/>
      <c r="CP944" s="52"/>
      <c r="CQ944" s="52"/>
      <c r="CR944" s="52"/>
      <c r="CS944" s="52"/>
      <c r="CT944" s="52"/>
      <c r="CU944" s="52"/>
      <c r="CV944" s="52"/>
      <c r="CW944" s="52"/>
      <c r="CX944" s="52"/>
      <c r="CY944" s="52"/>
      <c r="CZ944" s="52"/>
      <c r="DA944" s="52"/>
      <c r="DB944" s="52"/>
      <c r="DC944" s="52"/>
      <c r="DD944" s="52"/>
      <c r="DE944" s="52"/>
      <c r="DF944" s="52"/>
      <c r="DG944" s="52"/>
      <c r="DH944" s="52"/>
      <c r="DI944" s="52"/>
      <c r="DJ944" s="52"/>
      <c r="DK944" s="52"/>
      <c r="DL944" s="52"/>
      <c r="DM944" s="52"/>
      <c r="DN944" s="52"/>
      <c r="DO944" s="52"/>
      <c r="DP944" s="52"/>
      <c r="DQ944" s="52"/>
      <c r="DR944" s="52"/>
      <c r="DS944" s="52"/>
      <c r="DT944" s="52"/>
      <c r="DU944" s="52"/>
      <c r="DV944" s="52"/>
      <c r="DW944" s="52"/>
      <c r="DX944" s="52"/>
      <c r="DZ944"/>
      <c r="EA944" s="19"/>
      <c r="EB944" s="19"/>
      <c r="EC944" s="9"/>
      <c r="ED944" s="9"/>
      <c r="EE944" s="9"/>
      <c r="EF944" s="9"/>
      <c r="EG944" s="9"/>
      <c r="EH944" s="13"/>
      <c r="EI944" s="13"/>
      <c r="EJ944" s="13"/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/>
      <c r="FB944" s="13"/>
      <c r="FC944" s="13"/>
      <c r="FD944" s="13"/>
      <c r="FE944" s="13"/>
      <c r="FF944" s="13"/>
      <c r="FG944" s="13"/>
      <c r="FH944" s="13"/>
      <c r="FI944" s="13"/>
      <c r="FJ944" s="13"/>
      <c r="FK944" s="13"/>
      <c r="FL944" s="13"/>
      <c r="FM944" s="13"/>
      <c r="FN944" s="13"/>
      <c r="FO944" s="13"/>
      <c r="FP944" s="13"/>
      <c r="FQ944" s="13"/>
      <c r="FR944" s="13"/>
      <c r="FS944" s="13"/>
      <c r="FT944" s="13"/>
      <c r="FU944" s="13"/>
      <c r="FV944" s="13"/>
      <c r="FW944" s="13"/>
      <c r="FX944" s="13"/>
      <c r="FY944" s="13"/>
      <c r="FZ944" s="13"/>
      <c r="GA944" s="13"/>
    </row>
    <row r="945" spans="1:183" s="43" customFormat="1" x14ac:dyDescent="0.25">
      <c r="A945" s="2"/>
      <c r="B945" s="2"/>
      <c r="C945" s="9">
        <v>16</v>
      </c>
      <c r="D945" s="9">
        <v>24</v>
      </c>
      <c r="E945" s="9">
        <v>40</v>
      </c>
      <c r="F945" s="9">
        <v>57</v>
      </c>
      <c r="G945" s="9">
        <v>68</v>
      </c>
      <c r="H945" s="9">
        <v>78</v>
      </c>
      <c r="J945" s="9">
        <v>78</v>
      </c>
      <c r="L945" s="39">
        <v>44503</v>
      </c>
      <c r="N945"/>
      <c r="O945"/>
      <c r="P945"/>
      <c r="Q945"/>
      <c r="R945"/>
      <c r="S945"/>
      <c r="T945"/>
      <c r="U945"/>
      <c r="V945"/>
      <c r="W945" s="52"/>
      <c r="Y945"/>
      <c r="Z945"/>
      <c r="AA945"/>
      <c r="AB945"/>
      <c r="AC945"/>
      <c r="AD945"/>
      <c r="AE945"/>
      <c r="AF945"/>
      <c r="AG945"/>
      <c r="AH945" s="52"/>
      <c r="AI945" s="148"/>
      <c r="AJ945" s="19"/>
      <c r="AK945" s="19"/>
      <c r="AL945" s="19"/>
      <c r="AM945" s="19"/>
      <c r="AN945" s="42"/>
      <c r="AO945" s="54"/>
      <c r="AP945" s="19"/>
      <c r="AQ945" s="1"/>
      <c r="AR945" s="74"/>
      <c r="AS945" s="42"/>
      <c r="AT945" s="54"/>
      <c r="AU945" s="54"/>
      <c r="AV945" s="19"/>
      <c r="AW945" s="54"/>
      <c r="AX945" s="57"/>
      <c r="AY945" s="54"/>
      <c r="AZ945" s="54"/>
      <c r="BA945" s="54"/>
      <c r="BB945" s="54"/>
      <c r="BC945" s="57"/>
      <c r="BD945" s="19"/>
      <c r="BE945" s="19"/>
      <c r="BF945" s="19"/>
      <c r="BG945" s="54"/>
      <c r="BI945" s="54"/>
      <c r="BJ945" s="55"/>
      <c r="BK945" s="55"/>
      <c r="BL945" s="54"/>
      <c r="BM945" s="56"/>
      <c r="BN945" s="56"/>
      <c r="BO945" s="52"/>
      <c r="BP945" s="52"/>
      <c r="BQ945" s="52"/>
      <c r="BR945" s="52"/>
      <c r="BS945" s="52"/>
      <c r="BT945" s="52"/>
      <c r="BU945" s="52"/>
      <c r="BV945" s="52"/>
      <c r="BW945" s="52"/>
      <c r="BX945" s="52"/>
      <c r="BY945" s="52"/>
      <c r="BZ945" s="52"/>
      <c r="CA945" s="52"/>
      <c r="CB945" s="52"/>
      <c r="CC945" s="52"/>
      <c r="CD945" s="52"/>
      <c r="CE945" s="52"/>
      <c r="CF945" s="52"/>
      <c r="CG945" s="52"/>
      <c r="CH945" s="52"/>
      <c r="CI945" s="52"/>
      <c r="CJ945" s="52"/>
      <c r="CK945" s="52"/>
      <c r="CL945" s="52"/>
      <c r="CM945" s="52"/>
      <c r="CN945" s="52"/>
      <c r="CO945" s="52"/>
      <c r="CP945" s="52"/>
      <c r="CQ945" s="52"/>
      <c r="CR945" s="52"/>
      <c r="CS945" s="52"/>
      <c r="CT945" s="52"/>
      <c r="CU945" s="52"/>
      <c r="CV945" s="52"/>
      <c r="CW945" s="52"/>
      <c r="CX945" s="52"/>
      <c r="CY945" s="52"/>
      <c r="CZ945" s="52"/>
      <c r="DA945" s="52"/>
      <c r="DB945" s="52"/>
      <c r="DC945" s="52"/>
      <c r="DD945" s="52"/>
      <c r="DE945" s="52"/>
      <c r="DF945" s="52"/>
      <c r="DG945" s="52"/>
      <c r="DH945" s="52"/>
      <c r="DI945" s="52"/>
      <c r="DJ945" s="52"/>
      <c r="DK945" s="52"/>
      <c r="DL945" s="52"/>
      <c r="DM945" s="52"/>
      <c r="DN945" s="52"/>
      <c r="DO945" s="52"/>
      <c r="DP945" s="52"/>
      <c r="DQ945" s="52"/>
      <c r="DR945" s="52"/>
      <c r="DS945" s="52"/>
      <c r="DT945" s="52"/>
      <c r="DU945" s="52"/>
      <c r="DV945" s="52"/>
      <c r="DW945" s="52"/>
      <c r="DX945" s="52"/>
      <c r="DZ945"/>
      <c r="EA945" s="19"/>
      <c r="EB945" s="19"/>
      <c r="EC945" s="9"/>
      <c r="ED945" s="9"/>
      <c r="EE945" s="9"/>
      <c r="EF945" s="9"/>
      <c r="EG945" s="9"/>
      <c r="EH945" s="13"/>
      <c r="EI945" s="13"/>
      <c r="EJ945" s="13"/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  <c r="EV945" s="13"/>
      <c r="EW945" s="13"/>
      <c r="EX945" s="13"/>
      <c r="EY945" s="13"/>
      <c r="EZ945" s="13"/>
      <c r="FA945" s="13"/>
      <c r="FB945" s="13"/>
      <c r="FC945" s="13"/>
      <c r="FD945" s="13"/>
      <c r="FE945" s="13"/>
      <c r="FF945" s="13"/>
      <c r="FG945" s="13"/>
      <c r="FH945" s="13"/>
      <c r="FI945" s="13"/>
      <c r="FJ945" s="13"/>
      <c r="FK945" s="13"/>
      <c r="FL945" s="13"/>
      <c r="FM945" s="13"/>
      <c r="FN945" s="13"/>
      <c r="FO945" s="13"/>
      <c r="FP945" s="13"/>
      <c r="FQ945" s="13"/>
      <c r="FR945" s="13"/>
      <c r="FS945" s="13"/>
      <c r="FT945" s="13"/>
      <c r="FU945" s="13"/>
      <c r="FV945" s="13"/>
      <c r="FW945" s="13"/>
      <c r="FX945" s="13"/>
      <c r="FY945" s="13"/>
      <c r="FZ945" s="13"/>
      <c r="GA945" s="13"/>
    </row>
    <row r="946" spans="1:183" s="43" customFormat="1" x14ac:dyDescent="0.25">
      <c r="A946" s="2"/>
      <c r="B946" s="2"/>
      <c r="C946" s="9">
        <v>34</v>
      </c>
      <c r="D946" s="9">
        <v>44</v>
      </c>
      <c r="E946" s="9">
        <v>62</v>
      </c>
      <c r="F946" s="9">
        <v>69</v>
      </c>
      <c r="G946" s="9">
        <v>72</v>
      </c>
      <c r="H946" s="9">
        <v>86</v>
      </c>
      <c r="J946" s="9">
        <v>86</v>
      </c>
      <c r="L946" s="39">
        <v>44501</v>
      </c>
      <c r="N946"/>
      <c r="O946"/>
      <c r="P946"/>
      <c r="Q946"/>
      <c r="R946"/>
      <c r="S946"/>
      <c r="T946"/>
      <c r="U946"/>
      <c r="V946"/>
      <c r="W946" s="52"/>
      <c r="Y946"/>
      <c r="Z946"/>
      <c r="AA946"/>
      <c r="AB946"/>
      <c r="AC946"/>
      <c r="AD946"/>
      <c r="AE946"/>
      <c r="AF946"/>
      <c r="AG946"/>
      <c r="AH946" s="52"/>
      <c r="AI946" s="148"/>
      <c r="AJ946" s="19"/>
      <c r="AK946" s="19"/>
      <c r="AL946" s="19"/>
      <c r="AM946" s="19"/>
      <c r="AN946" s="42"/>
      <c r="AO946" s="54"/>
      <c r="AP946" s="19"/>
      <c r="AQ946" s="1"/>
      <c r="AR946" s="74"/>
      <c r="AS946" s="42"/>
      <c r="AT946" s="54"/>
      <c r="AU946" s="54"/>
      <c r="AV946" s="19"/>
      <c r="AW946" s="54"/>
      <c r="AX946" s="57"/>
      <c r="AY946" s="54"/>
      <c r="AZ946" s="54"/>
      <c r="BA946" s="54"/>
      <c r="BB946" s="54"/>
      <c r="BC946" s="57"/>
      <c r="BD946" s="19"/>
      <c r="BE946" s="19"/>
      <c r="BF946" s="19"/>
      <c r="BG946" s="54"/>
      <c r="BI946" s="54"/>
      <c r="BJ946" s="55"/>
      <c r="BK946" s="55"/>
      <c r="BL946" s="54"/>
      <c r="BM946" s="56"/>
      <c r="BN946" s="56"/>
      <c r="BO946" s="52"/>
      <c r="BP946" s="52"/>
      <c r="BQ946" s="52"/>
      <c r="BR946" s="52"/>
      <c r="BS946" s="52"/>
      <c r="BT946" s="52"/>
      <c r="BU946" s="52"/>
      <c r="BV946" s="52"/>
      <c r="BW946" s="52"/>
      <c r="BX946" s="52"/>
      <c r="BY946" s="52"/>
      <c r="BZ946" s="52"/>
      <c r="CA946" s="52"/>
      <c r="CB946" s="52"/>
      <c r="CC946" s="52"/>
      <c r="CD946" s="52"/>
      <c r="CE946" s="52"/>
      <c r="CF946" s="52"/>
      <c r="CG946" s="52"/>
      <c r="CH946" s="52"/>
      <c r="CI946" s="52"/>
      <c r="CJ946" s="52"/>
      <c r="CK946" s="52"/>
      <c r="CL946" s="52"/>
      <c r="CM946" s="52"/>
      <c r="CN946" s="52"/>
      <c r="CO946" s="52"/>
      <c r="CP946" s="52"/>
      <c r="CQ946" s="52"/>
      <c r="CR946" s="52"/>
      <c r="CS946" s="52"/>
      <c r="CT946" s="52"/>
      <c r="CU946" s="52"/>
      <c r="CV946" s="52"/>
      <c r="CW946" s="52"/>
      <c r="CX946" s="52"/>
      <c r="CY946" s="52"/>
      <c r="CZ946" s="52"/>
      <c r="DA946" s="52"/>
      <c r="DB946" s="52"/>
      <c r="DC946" s="52"/>
      <c r="DD946" s="52"/>
      <c r="DE946" s="52"/>
      <c r="DF946" s="52"/>
      <c r="DG946" s="52"/>
      <c r="DH946" s="52"/>
      <c r="DI946" s="52"/>
      <c r="DJ946" s="52"/>
      <c r="DK946" s="52"/>
      <c r="DL946" s="52"/>
      <c r="DM946" s="52"/>
      <c r="DN946" s="52"/>
      <c r="DO946" s="52"/>
      <c r="DP946" s="52"/>
      <c r="DQ946" s="52"/>
      <c r="DR946" s="52"/>
      <c r="DS946" s="52"/>
      <c r="DT946" s="52"/>
      <c r="DU946" s="52"/>
      <c r="DV946" s="52"/>
      <c r="DW946" s="52"/>
      <c r="DX946" s="52"/>
      <c r="DZ946"/>
      <c r="EA946" s="19"/>
      <c r="EB946" s="19"/>
      <c r="EC946" s="9"/>
      <c r="ED946" s="9"/>
      <c r="EE946" s="9"/>
      <c r="EF946" s="9"/>
      <c r="EG946" s="9"/>
      <c r="EH946" s="13"/>
      <c r="EI946" s="13"/>
      <c r="EJ946" s="13"/>
      <c r="EK946" s="13"/>
      <c r="EL946" s="13"/>
      <c r="EM946" s="13"/>
      <c r="EN946" s="13"/>
      <c r="EO946" s="13"/>
      <c r="EP946" s="13"/>
      <c r="EQ946" s="13"/>
      <c r="ER946" s="13"/>
      <c r="ES946" s="13"/>
      <c r="ET946" s="13"/>
      <c r="EU946" s="13"/>
      <c r="EV946" s="13"/>
      <c r="EW946" s="13"/>
      <c r="EX946" s="13"/>
      <c r="EY946" s="13"/>
      <c r="EZ946" s="13"/>
      <c r="FA946" s="13"/>
      <c r="FB946" s="13"/>
      <c r="FC946" s="13"/>
      <c r="FD946" s="13"/>
      <c r="FE946" s="13"/>
      <c r="FF946" s="13"/>
      <c r="FG946" s="13"/>
      <c r="FH946" s="13"/>
      <c r="FI946" s="13"/>
      <c r="FJ946" s="13"/>
      <c r="FK946" s="13"/>
      <c r="FL946" s="13"/>
      <c r="FM946" s="13"/>
      <c r="FN946" s="13"/>
      <c r="FO946" s="13"/>
      <c r="FP946" s="13"/>
      <c r="FQ946" s="13"/>
      <c r="FR946" s="13"/>
      <c r="FS946" s="13"/>
      <c r="FT946" s="13"/>
      <c r="FU946" s="13"/>
      <c r="FV946" s="13"/>
      <c r="FW946" s="13"/>
      <c r="FX946" s="13"/>
      <c r="FY946" s="13"/>
      <c r="FZ946" s="13"/>
      <c r="GA946" s="13"/>
    </row>
    <row r="947" spans="1:183" s="43" customFormat="1" x14ac:dyDescent="0.25">
      <c r="A947" s="2"/>
      <c r="B947" s="2"/>
      <c r="C947" s="9">
        <v>36</v>
      </c>
      <c r="D947" s="9">
        <v>40</v>
      </c>
      <c r="E947" s="9">
        <v>41</v>
      </c>
      <c r="F947" s="9">
        <v>54</v>
      </c>
      <c r="G947" s="9">
        <v>55</v>
      </c>
      <c r="H947" s="9">
        <v>64</v>
      </c>
      <c r="J947" s="9">
        <v>64</v>
      </c>
      <c r="L947" s="39">
        <v>44499</v>
      </c>
      <c r="N947"/>
      <c r="O947"/>
      <c r="P947"/>
      <c r="Q947"/>
      <c r="R947"/>
      <c r="S947"/>
      <c r="T947"/>
      <c r="U947"/>
      <c r="V947"/>
      <c r="W947" s="52"/>
      <c r="Y947"/>
      <c r="Z947"/>
      <c r="AA947"/>
      <c r="AB947"/>
      <c r="AC947"/>
      <c r="AD947"/>
      <c r="AE947"/>
      <c r="AF947"/>
      <c r="AG947"/>
      <c r="AH947" s="52"/>
      <c r="AI947" s="148"/>
      <c r="AJ947" s="19"/>
      <c r="AK947" s="19"/>
      <c r="AL947" s="19"/>
      <c r="AM947" s="19"/>
      <c r="AN947" s="42"/>
      <c r="AO947" s="54"/>
      <c r="AP947" s="19"/>
      <c r="AQ947" s="1"/>
      <c r="AR947" s="74"/>
      <c r="AS947" s="42"/>
      <c r="AT947" s="54"/>
      <c r="AU947" s="54"/>
      <c r="AV947" s="19"/>
      <c r="AW947" s="54"/>
      <c r="AX947" s="57"/>
      <c r="AY947" s="54"/>
      <c r="AZ947" s="54"/>
      <c r="BA947" s="54"/>
      <c r="BB947" s="54"/>
      <c r="BC947" s="57"/>
      <c r="BD947" s="19"/>
      <c r="BE947" s="19"/>
      <c r="BF947" s="19"/>
      <c r="BG947" s="54"/>
      <c r="BI947" s="54"/>
      <c r="BJ947" s="55"/>
      <c r="BK947" s="55"/>
      <c r="BL947" s="54"/>
      <c r="BM947" s="56"/>
      <c r="BN947" s="56"/>
      <c r="BO947" s="52"/>
      <c r="BP947" s="52"/>
      <c r="BQ947" s="52"/>
      <c r="BR947" s="52"/>
      <c r="BS947" s="52"/>
      <c r="BT947" s="52"/>
      <c r="BU947" s="52"/>
      <c r="BV947" s="52"/>
      <c r="BW947" s="52"/>
      <c r="BX947" s="52"/>
      <c r="BY947" s="52"/>
      <c r="BZ947" s="52"/>
      <c r="CA947" s="52"/>
      <c r="CB947" s="52"/>
      <c r="CC947" s="52"/>
      <c r="CD947" s="52"/>
      <c r="CE947" s="52"/>
      <c r="CF947" s="52"/>
      <c r="CG947" s="52"/>
      <c r="CH947" s="52"/>
      <c r="CI947" s="52"/>
      <c r="CJ947" s="52"/>
      <c r="CK947" s="52"/>
      <c r="CL947" s="52"/>
      <c r="CM947" s="52"/>
      <c r="CN947" s="52"/>
      <c r="CO947" s="52"/>
      <c r="CP947" s="52"/>
      <c r="CQ947" s="52"/>
      <c r="CR947" s="52"/>
      <c r="CS947" s="52"/>
      <c r="CT947" s="52"/>
      <c r="CU947" s="52"/>
      <c r="CV947" s="52"/>
      <c r="CW947" s="52"/>
      <c r="CX947" s="52"/>
      <c r="CY947" s="52"/>
      <c r="CZ947" s="52"/>
      <c r="DA947" s="52"/>
      <c r="DB947" s="52"/>
      <c r="DC947" s="52"/>
      <c r="DD947" s="52"/>
      <c r="DE947" s="52"/>
      <c r="DF947" s="52"/>
      <c r="DG947" s="52"/>
      <c r="DH947" s="52"/>
      <c r="DI947" s="52"/>
      <c r="DJ947" s="52"/>
      <c r="DK947" s="52"/>
      <c r="DL947" s="52"/>
      <c r="DM947" s="52"/>
      <c r="DN947" s="52"/>
      <c r="DO947" s="52"/>
      <c r="DP947" s="52"/>
      <c r="DQ947" s="52"/>
      <c r="DR947" s="52"/>
      <c r="DS947" s="52"/>
      <c r="DT947" s="52"/>
      <c r="DU947" s="52"/>
      <c r="DV947" s="52"/>
      <c r="DW947" s="52"/>
      <c r="DX947" s="52"/>
      <c r="DZ947"/>
      <c r="EA947" s="19"/>
      <c r="EB947" s="19"/>
      <c r="EC947" s="9"/>
      <c r="ED947" s="9"/>
      <c r="EE947" s="9"/>
      <c r="EF947" s="9"/>
      <c r="EG947" s="9"/>
      <c r="EH947" s="13"/>
      <c r="EI947" s="13"/>
      <c r="EJ947" s="13"/>
      <c r="EK947" s="13"/>
      <c r="EL947" s="13"/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/>
      <c r="FB947" s="13"/>
      <c r="FC947" s="13"/>
      <c r="FD947" s="13"/>
      <c r="FE947" s="13"/>
      <c r="FF947" s="13"/>
      <c r="FG947" s="13"/>
      <c r="FH947" s="13"/>
      <c r="FI947" s="13"/>
      <c r="FJ947" s="13"/>
      <c r="FK947" s="13"/>
      <c r="FL947" s="13"/>
      <c r="FM947" s="13"/>
      <c r="FN947" s="13"/>
      <c r="FO947" s="13"/>
      <c r="FP947" s="13"/>
      <c r="FQ947" s="13"/>
      <c r="FR947" s="13"/>
      <c r="FS947" s="13"/>
      <c r="FT947" s="13"/>
      <c r="FU947" s="13"/>
      <c r="FV947" s="13"/>
      <c r="FW947" s="13"/>
      <c r="FX947" s="13"/>
      <c r="FY947" s="13"/>
      <c r="FZ947" s="13"/>
      <c r="GA947" s="13"/>
    </row>
    <row r="948" spans="1:183" s="43" customFormat="1" x14ac:dyDescent="0.25">
      <c r="A948" s="2"/>
      <c r="B948" s="2"/>
      <c r="C948" s="9">
        <v>2</v>
      </c>
      <c r="D948" s="9">
        <v>18</v>
      </c>
      <c r="E948" s="9">
        <v>25</v>
      </c>
      <c r="F948" s="9">
        <v>36</v>
      </c>
      <c r="G948" s="9">
        <v>45</v>
      </c>
      <c r="H948" s="9">
        <v>65</v>
      </c>
      <c r="J948" s="9">
        <v>65</v>
      </c>
      <c r="L948" s="39">
        <v>44496</v>
      </c>
      <c r="N948"/>
      <c r="O948"/>
      <c r="P948"/>
      <c r="Q948"/>
      <c r="R948"/>
      <c r="S948"/>
      <c r="T948"/>
      <c r="U948"/>
      <c r="V948"/>
      <c r="W948" s="52"/>
      <c r="Y948"/>
      <c r="Z948"/>
      <c r="AA948"/>
      <c r="AB948"/>
      <c r="AC948"/>
      <c r="AD948"/>
      <c r="AE948"/>
      <c r="AF948"/>
      <c r="AG948"/>
      <c r="AH948" s="52"/>
      <c r="AI948" s="148"/>
      <c r="AJ948" s="19"/>
      <c r="AK948" s="19"/>
      <c r="AL948" s="19"/>
      <c r="AM948" s="19"/>
      <c r="AN948" s="42"/>
      <c r="AO948" s="54"/>
      <c r="AP948" s="19"/>
      <c r="AQ948" s="1"/>
      <c r="AR948" s="74"/>
      <c r="AS948" s="42"/>
      <c r="AT948" s="54"/>
      <c r="AU948" s="54"/>
      <c r="AV948" s="19"/>
      <c r="AW948" s="54"/>
      <c r="AX948" s="57"/>
      <c r="AY948" s="54"/>
      <c r="AZ948" s="54"/>
      <c r="BA948" s="54"/>
      <c r="BB948" s="54"/>
      <c r="BC948" s="57"/>
      <c r="BD948" s="19"/>
      <c r="BE948" s="19"/>
      <c r="BF948" s="19"/>
      <c r="BG948" s="54"/>
      <c r="BI948" s="54"/>
      <c r="BJ948" s="55"/>
      <c r="BK948" s="55"/>
      <c r="BL948" s="54"/>
      <c r="BM948" s="56"/>
      <c r="BN948" s="56"/>
      <c r="BO948" s="52"/>
      <c r="BP948" s="52"/>
      <c r="BQ948" s="52"/>
      <c r="BR948" s="52"/>
      <c r="BS948" s="52"/>
      <c r="BT948" s="52"/>
      <c r="BU948" s="52"/>
      <c r="BV948" s="52"/>
      <c r="BW948" s="52"/>
      <c r="BX948" s="52"/>
      <c r="BY948" s="52"/>
      <c r="BZ948" s="52"/>
      <c r="CA948" s="52"/>
      <c r="CB948" s="52"/>
      <c r="CC948" s="52"/>
      <c r="CD948" s="52"/>
      <c r="CE948" s="52"/>
      <c r="CF948" s="52"/>
      <c r="CG948" s="52"/>
      <c r="CH948" s="52"/>
      <c r="CI948" s="52"/>
      <c r="CJ948" s="52"/>
      <c r="CK948" s="52"/>
      <c r="CL948" s="52"/>
      <c r="CM948" s="52"/>
      <c r="CN948" s="52"/>
      <c r="CO948" s="52"/>
      <c r="CP948" s="52"/>
      <c r="CQ948" s="52"/>
      <c r="CR948" s="52"/>
      <c r="CS948" s="52"/>
      <c r="CT948" s="52"/>
      <c r="CU948" s="52"/>
      <c r="CV948" s="52"/>
      <c r="CW948" s="52"/>
      <c r="CX948" s="52"/>
      <c r="CY948" s="52"/>
      <c r="CZ948" s="52"/>
      <c r="DA948" s="52"/>
      <c r="DB948" s="52"/>
      <c r="DC948" s="52"/>
      <c r="DD948" s="52"/>
      <c r="DE948" s="52"/>
      <c r="DF948" s="52"/>
      <c r="DG948" s="52"/>
      <c r="DH948" s="52"/>
      <c r="DI948" s="52"/>
      <c r="DJ948" s="52"/>
      <c r="DK948" s="52"/>
      <c r="DL948" s="52"/>
      <c r="DM948" s="52"/>
      <c r="DN948" s="52"/>
      <c r="DO948" s="52"/>
      <c r="DP948" s="52"/>
      <c r="DQ948" s="52"/>
      <c r="DR948" s="52"/>
      <c r="DS948" s="52"/>
      <c r="DT948" s="52"/>
      <c r="DU948" s="52"/>
      <c r="DV948" s="52"/>
      <c r="DW948" s="52"/>
      <c r="DX948" s="52"/>
      <c r="DZ948"/>
      <c r="EA948" s="19"/>
      <c r="EB948" s="19"/>
      <c r="EC948" s="9"/>
      <c r="ED948" s="9"/>
      <c r="EE948" s="9"/>
      <c r="EF948" s="9"/>
      <c r="EG948" s="9"/>
      <c r="EH948" s="13"/>
      <c r="EI948" s="13"/>
      <c r="EJ948" s="13"/>
      <c r="EK948" s="13"/>
      <c r="EL948" s="13"/>
      <c r="EM948" s="13"/>
      <c r="EN948" s="13"/>
      <c r="EO948" s="13"/>
      <c r="EP948" s="13"/>
      <c r="EQ948" s="13"/>
      <c r="ER948" s="13"/>
      <c r="ES948" s="13"/>
      <c r="ET948" s="13"/>
      <c r="EU948" s="13"/>
      <c r="EV948" s="13"/>
      <c r="EW948" s="13"/>
      <c r="EX948" s="13"/>
      <c r="EY948" s="13"/>
      <c r="EZ948" s="13"/>
      <c r="FA948" s="13"/>
      <c r="FB948" s="13"/>
      <c r="FC948" s="13"/>
      <c r="FD948" s="13"/>
      <c r="FE948" s="13"/>
      <c r="FF948" s="13"/>
      <c r="FG948" s="13"/>
      <c r="FH948" s="13"/>
      <c r="FI948" s="13"/>
      <c r="FJ948" s="13"/>
      <c r="FK948" s="13"/>
      <c r="FL948" s="13"/>
      <c r="FM948" s="13"/>
      <c r="FN948" s="13"/>
      <c r="FO948" s="13"/>
      <c r="FP948" s="13"/>
      <c r="FQ948" s="13"/>
      <c r="FR948" s="13"/>
      <c r="FS948" s="13"/>
      <c r="FT948" s="13"/>
      <c r="FU948" s="13"/>
      <c r="FV948" s="13"/>
      <c r="FW948" s="13"/>
      <c r="FX948" s="13"/>
      <c r="FY948" s="13"/>
      <c r="FZ948" s="13"/>
      <c r="GA948" s="13"/>
    </row>
    <row r="949" spans="1:183" s="43" customFormat="1" x14ac:dyDescent="0.25">
      <c r="A949" s="2"/>
      <c r="B949" s="2"/>
      <c r="C949" s="9">
        <v>7</v>
      </c>
      <c r="D949" s="9">
        <v>22</v>
      </c>
      <c r="E949" s="9">
        <v>30</v>
      </c>
      <c r="F949" s="9">
        <v>37</v>
      </c>
      <c r="G949" s="9">
        <v>60</v>
      </c>
      <c r="H949" s="9">
        <v>67</v>
      </c>
      <c r="J949" s="9">
        <v>67</v>
      </c>
      <c r="L949" s="39">
        <v>44494</v>
      </c>
      <c r="N949"/>
      <c r="O949"/>
      <c r="P949"/>
      <c r="Q949"/>
      <c r="R949"/>
      <c r="S949"/>
      <c r="T949"/>
      <c r="U949"/>
      <c r="V949"/>
      <c r="W949" s="52"/>
      <c r="Y949"/>
      <c r="Z949"/>
      <c r="AA949"/>
      <c r="AB949"/>
      <c r="AC949"/>
      <c r="AD949"/>
      <c r="AE949"/>
      <c r="AF949"/>
      <c r="AG949"/>
      <c r="AH949" s="52"/>
      <c r="AI949" s="148"/>
      <c r="AJ949" s="19"/>
      <c r="AK949" s="19"/>
      <c r="AL949" s="19"/>
      <c r="AM949" s="19"/>
      <c r="AN949" s="42"/>
      <c r="AO949" s="54"/>
      <c r="AP949" s="19"/>
      <c r="AQ949" s="1"/>
      <c r="AR949" s="74"/>
      <c r="AS949" s="42"/>
      <c r="AT949" s="54"/>
      <c r="AU949" s="54"/>
      <c r="AV949" s="19"/>
      <c r="AW949" s="54"/>
      <c r="AX949" s="57"/>
      <c r="AY949" s="54"/>
      <c r="AZ949" s="54"/>
      <c r="BA949" s="54"/>
      <c r="BB949" s="54"/>
      <c r="BC949" s="57"/>
      <c r="BD949" s="19"/>
      <c r="BE949" s="19"/>
      <c r="BF949" s="19"/>
      <c r="BG949" s="54"/>
      <c r="BI949" s="54"/>
      <c r="BJ949" s="55"/>
      <c r="BK949" s="55"/>
      <c r="BL949" s="54"/>
      <c r="BM949" s="56"/>
      <c r="BN949" s="56"/>
      <c r="BO949" s="52"/>
      <c r="BP949" s="52"/>
      <c r="BQ949" s="52"/>
      <c r="BR949" s="52"/>
      <c r="BS949" s="52"/>
      <c r="BT949" s="52"/>
      <c r="BU949" s="52"/>
      <c r="BV949" s="52"/>
      <c r="BW949" s="52"/>
      <c r="BX949" s="52"/>
      <c r="BY949" s="52"/>
      <c r="BZ949" s="52"/>
      <c r="CA949" s="52"/>
      <c r="CB949" s="52"/>
      <c r="CC949" s="52"/>
      <c r="CD949" s="52"/>
      <c r="CE949" s="52"/>
      <c r="CF949" s="52"/>
      <c r="CG949" s="52"/>
      <c r="CH949" s="52"/>
      <c r="CI949" s="52"/>
      <c r="CJ949" s="52"/>
      <c r="CK949" s="52"/>
      <c r="CL949" s="52"/>
      <c r="CM949" s="52"/>
      <c r="CN949" s="52"/>
      <c r="CO949" s="52"/>
      <c r="CP949" s="52"/>
      <c r="CQ949" s="52"/>
      <c r="CR949" s="52"/>
      <c r="CS949" s="52"/>
      <c r="CT949" s="52"/>
      <c r="CU949" s="52"/>
      <c r="CV949" s="52"/>
      <c r="CW949" s="52"/>
      <c r="CX949" s="52"/>
      <c r="CY949" s="52"/>
      <c r="CZ949" s="52"/>
      <c r="DA949" s="52"/>
      <c r="DB949" s="52"/>
      <c r="DC949" s="52"/>
      <c r="DD949" s="52"/>
      <c r="DE949" s="52"/>
      <c r="DF949" s="52"/>
      <c r="DG949" s="52"/>
      <c r="DH949" s="52"/>
      <c r="DI949" s="52"/>
      <c r="DJ949" s="52"/>
      <c r="DK949" s="52"/>
      <c r="DL949" s="52"/>
      <c r="DM949" s="52"/>
      <c r="DN949" s="52"/>
      <c r="DO949" s="52"/>
      <c r="DP949" s="52"/>
      <c r="DQ949" s="52"/>
      <c r="DR949" s="52"/>
      <c r="DS949" s="52"/>
      <c r="DT949" s="52"/>
      <c r="DU949" s="52"/>
      <c r="DV949" s="52"/>
      <c r="DW949" s="52"/>
      <c r="DX949" s="52"/>
      <c r="DZ949"/>
      <c r="EA949" s="19"/>
      <c r="EB949" s="19"/>
      <c r="EC949" s="9"/>
      <c r="ED949" s="9"/>
      <c r="EE949" s="9"/>
      <c r="EF949" s="9"/>
      <c r="EG949" s="9"/>
      <c r="EH949" s="13"/>
      <c r="EI949" s="13"/>
      <c r="EJ949" s="13"/>
      <c r="EK949" s="13"/>
      <c r="EL949" s="13"/>
      <c r="EM949" s="13"/>
      <c r="EN949" s="13"/>
      <c r="EO949" s="13"/>
      <c r="EP949" s="13"/>
      <c r="EQ949" s="13"/>
      <c r="ER949" s="13"/>
      <c r="ES949" s="13"/>
      <c r="ET949" s="13"/>
      <c r="EU949" s="13"/>
      <c r="EV949" s="13"/>
      <c r="EW949" s="13"/>
      <c r="EX949" s="13"/>
      <c r="EY949" s="13"/>
      <c r="EZ949" s="13"/>
      <c r="FA949" s="13"/>
      <c r="FB949" s="13"/>
      <c r="FC949" s="13"/>
      <c r="FD949" s="13"/>
      <c r="FE949" s="13"/>
      <c r="FF949" s="13"/>
      <c r="FG949" s="13"/>
      <c r="FH949" s="13"/>
      <c r="FI949" s="13"/>
      <c r="FJ949" s="13"/>
      <c r="FK949" s="13"/>
      <c r="FL949" s="13"/>
      <c r="FM949" s="13"/>
      <c r="FN949" s="13"/>
      <c r="FO949" s="13"/>
      <c r="FP949" s="13"/>
      <c r="FQ949" s="13"/>
      <c r="FR949" s="13"/>
      <c r="FS949" s="13"/>
      <c r="FT949" s="13"/>
      <c r="FU949" s="13"/>
      <c r="FV949" s="13"/>
      <c r="FW949" s="13"/>
      <c r="FX949" s="13"/>
      <c r="FY949" s="13"/>
      <c r="FZ949" s="13"/>
      <c r="GA949" s="13"/>
    </row>
    <row r="950" spans="1:183" s="43" customFormat="1" x14ac:dyDescent="0.25">
      <c r="A950" s="2"/>
      <c r="B950" s="2"/>
      <c r="C950" s="9">
        <v>26</v>
      </c>
      <c r="D950" s="9">
        <v>36</v>
      </c>
      <c r="E950" s="9">
        <v>49</v>
      </c>
      <c r="F950" s="9">
        <v>74</v>
      </c>
      <c r="G950" s="9">
        <v>80</v>
      </c>
      <c r="H950" s="9">
        <v>81</v>
      </c>
      <c r="J950" s="9">
        <v>81</v>
      </c>
      <c r="L950" s="39">
        <v>44492</v>
      </c>
      <c r="N950"/>
      <c r="O950"/>
      <c r="P950"/>
      <c r="Q950"/>
      <c r="R950"/>
      <c r="S950"/>
      <c r="T950"/>
      <c r="U950"/>
      <c r="V950"/>
      <c r="W950" s="52"/>
      <c r="Y950"/>
      <c r="Z950"/>
      <c r="AA950"/>
      <c r="AB950"/>
      <c r="AC950"/>
      <c r="AD950"/>
      <c r="AE950"/>
      <c r="AF950"/>
      <c r="AG950"/>
      <c r="AH950" s="52"/>
      <c r="AI950" s="148"/>
      <c r="AJ950" s="19"/>
      <c r="AK950" s="19"/>
      <c r="AL950" s="19"/>
      <c r="AM950" s="19"/>
      <c r="AN950" s="42"/>
      <c r="AO950" s="54"/>
      <c r="AP950" s="19"/>
      <c r="AQ950" s="1"/>
      <c r="AR950" s="74"/>
      <c r="AS950" s="42"/>
      <c r="AT950" s="54"/>
      <c r="AU950" s="54"/>
      <c r="AV950" s="19"/>
      <c r="AW950" s="54"/>
      <c r="AX950" s="57"/>
      <c r="AY950" s="54"/>
      <c r="AZ950" s="54"/>
      <c r="BA950" s="54"/>
      <c r="BB950" s="54"/>
      <c r="BC950" s="57"/>
      <c r="BD950" s="19"/>
      <c r="BE950" s="19"/>
      <c r="BF950" s="19"/>
      <c r="BG950" s="54"/>
      <c r="BI950" s="54"/>
      <c r="BJ950" s="55"/>
      <c r="BK950" s="55"/>
      <c r="BL950" s="54"/>
      <c r="BM950" s="56"/>
      <c r="BN950" s="56"/>
      <c r="BO950" s="52"/>
      <c r="BP950" s="52"/>
      <c r="BQ950" s="52"/>
      <c r="BR950" s="52"/>
      <c r="BS950" s="52"/>
      <c r="BT950" s="52"/>
      <c r="BU950" s="52"/>
      <c r="BV950" s="52"/>
      <c r="BW950" s="52"/>
      <c r="BX950" s="52"/>
      <c r="BY950" s="52"/>
      <c r="BZ950" s="52"/>
      <c r="CA950" s="52"/>
      <c r="CB950" s="52"/>
      <c r="CC950" s="52"/>
      <c r="CD950" s="52"/>
      <c r="CE950" s="52"/>
      <c r="CF950" s="52"/>
      <c r="CG950" s="52"/>
      <c r="CH950" s="52"/>
      <c r="CI950" s="52"/>
      <c r="CJ950" s="52"/>
      <c r="CK950" s="52"/>
      <c r="CL950" s="52"/>
      <c r="CM950" s="52"/>
      <c r="CN950" s="52"/>
      <c r="CO950" s="52"/>
      <c r="CP950" s="52"/>
      <c r="CQ950" s="52"/>
      <c r="CR950" s="52"/>
      <c r="CS950" s="52"/>
      <c r="CT950" s="52"/>
      <c r="CU950" s="52"/>
      <c r="CV950" s="52"/>
      <c r="CW950" s="52"/>
      <c r="CX950" s="52"/>
      <c r="CY950" s="52"/>
      <c r="CZ950" s="52"/>
      <c r="DA950" s="52"/>
      <c r="DB950" s="52"/>
      <c r="DC950" s="52"/>
      <c r="DD950" s="52"/>
      <c r="DE950" s="52"/>
      <c r="DF950" s="52"/>
      <c r="DG950" s="52"/>
      <c r="DH950" s="52"/>
      <c r="DI950" s="52"/>
      <c r="DJ950" s="52"/>
      <c r="DK950" s="52"/>
      <c r="DL950" s="52"/>
      <c r="DM950" s="52"/>
      <c r="DN950" s="52"/>
      <c r="DO950" s="52"/>
      <c r="DP950" s="52"/>
      <c r="DQ950" s="52"/>
      <c r="DR950" s="52"/>
      <c r="DS950" s="52"/>
      <c r="DT950" s="52"/>
      <c r="DU950" s="52"/>
      <c r="DV950" s="52"/>
      <c r="DW950" s="52"/>
      <c r="DX950" s="52"/>
      <c r="DZ950"/>
      <c r="EA950" s="19"/>
      <c r="EB950" s="19"/>
      <c r="EC950" s="9"/>
      <c r="ED950" s="9"/>
      <c r="EE950" s="9"/>
      <c r="EF950" s="9"/>
      <c r="EG950" s="9"/>
      <c r="EH950" s="13"/>
      <c r="EI950" s="13"/>
      <c r="EJ950" s="13"/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/>
      <c r="EY950" s="13"/>
      <c r="EZ950" s="13"/>
      <c r="FA950" s="13"/>
      <c r="FB950" s="13"/>
      <c r="FC950" s="13"/>
      <c r="FD950" s="13"/>
      <c r="FE950" s="13"/>
      <c r="FF950" s="13"/>
      <c r="FG950" s="13"/>
      <c r="FH950" s="13"/>
      <c r="FI950" s="13"/>
      <c r="FJ950" s="13"/>
      <c r="FK950" s="13"/>
      <c r="FL950" s="13"/>
      <c r="FM950" s="13"/>
      <c r="FN950" s="13"/>
      <c r="FO950" s="13"/>
      <c r="FP950" s="13"/>
      <c r="FQ950" s="13"/>
      <c r="FR950" s="13"/>
      <c r="FS950" s="13"/>
      <c r="FT950" s="13"/>
      <c r="FU950" s="13"/>
      <c r="FV950" s="13"/>
      <c r="FW950" s="13"/>
      <c r="FX950" s="13"/>
      <c r="FY950" s="13"/>
      <c r="FZ950" s="13"/>
      <c r="GA950" s="13"/>
    </row>
    <row r="951" spans="1:183" s="43" customFormat="1" x14ac:dyDescent="0.25">
      <c r="A951" s="2"/>
      <c r="B951" s="2"/>
      <c r="C951" s="9">
        <v>5</v>
      </c>
      <c r="D951" s="9">
        <v>11</v>
      </c>
      <c r="E951" s="9">
        <v>30</v>
      </c>
      <c r="F951" s="9">
        <v>40</v>
      </c>
      <c r="G951" s="9">
        <v>56</v>
      </c>
      <c r="H951" s="9">
        <v>61</v>
      </c>
      <c r="J951" s="9">
        <v>61</v>
      </c>
      <c r="L951" s="39">
        <v>44489</v>
      </c>
      <c r="N951"/>
      <c r="O951"/>
      <c r="P951"/>
      <c r="Q951"/>
      <c r="R951"/>
      <c r="S951"/>
      <c r="T951"/>
      <c r="U951"/>
      <c r="V951"/>
      <c r="W951" s="52"/>
      <c r="Y951"/>
      <c r="Z951"/>
      <c r="AA951"/>
      <c r="AB951"/>
      <c r="AC951"/>
      <c r="AD951"/>
      <c r="AE951"/>
      <c r="AF951"/>
      <c r="AG951"/>
      <c r="AH951" s="52"/>
      <c r="AI951" s="148"/>
      <c r="AJ951" s="19"/>
      <c r="AK951" s="19"/>
      <c r="AL951" s="19"/>
      <c r="AM951" s="19"/>
      <c r="AN951" s="42"/>
      <c r="AO951" s="54"/>
      <c r="AP951" s="19"/>
      <c r="AQ951" s="1"/>
      <c r="AR951" s="74"/>
      <c r="AS951" s="42"/>
      <c r="AT951" s="54"/>
      <c r="AU951" s="54"/>
      <c r="AV951" s="19"/>
      <c r="AW951" s="54"/>
      <c r="AX951" s="57"/>
      <c r="AY951" s="54"/>
      <c r="AZ951" s="54"/>
      <c r="BA951" s="54"/>
      <c r="BB951" s="54"/>
      <c r="BC951" s="57"/>
      <c r="BD951" s="19"/>
      <c r="BE951" s="19"/>
      <c r="BF951" s="19"/>
      <c r="BG951" s="54"/>
      <c r="BI951" s="54"/>
      <c r="BJ951" s="55"/>
      <c r="BK951" s="55"/>
      <c r="BL951" s="54"/>
      <c r="BM951" s="56"/>
      <c r="BN951" s="56"/>
      <c r="BO951" s="52"/>
      <c r="BP951" s="52"/>
      <c r="BQ951" s="52"/>
      <c r="BR951" s="52"/>
      <c r="BS951" s="52"/>
      <c r="BT951" s="52"/>
      <c r="BU951" s="52"/>
      <c r="BV951" s="52"/>
      <c r="BW951" s="52"/>
      <c r="BX951" s="52"/>
      <c r="BY951" s="52"/>
      <c r="BZ951" s="52"/>
      <c r="CA951" s="52"/>
      <c r="CB951" s="52"/>
      <c r="CC951" s="52"/>
      <c r="CD951" s="52"/>
      <c r="CE951" s="52"/>
      <c r="CF951" s="52"/>
      <c r="CG951" s="52"/>
      <c r="CH951" s="52"/>
      <c r="CI951" s="52"/>
      <c r="CJ951" s="52"/>
      <c r="CK951" s="52"/>
      <c r="CL951" s="52"/>
      <c r="CM951" s="52"/>
      <c r="CN951" s="52"/>
      <c r="CO951" s="52"/>
      <c r="CP951" s="52"/>
      <c r="CQ951" s="52"/>
      <c r="CR951" s="52"/>
      <c r="CS951" s="52"/>
      <c r="CT951" s="52"/>
      <c r="CU951" s="52"/>
      <c r="CV951" s="52"/>
      <c r="CW951" s="52"/>
      <c r="CX951" s="52"/>
      <c r="CY951" s="52"/>
      <c r="CZ951" s="52"/>
      <c r="DA951" s="52"/>
      <c r="DB951" s="52"/>
      <c r="DC951" s="52"/>
      <c r="DD951" s="52"/>
      <c r="DE951" s="52"/>
      <c r="DF951" s="52"/>
      <c r="DG951" s="52"/>
      <c r="DH951" s="52"/>
      <c r="DI951" s="52"/>
      <c r="DJ951" s="52"/>
      <c r="DK951" s="52"/>
      <c r="DL951" s="52"/>
      <c r="DM951" s="52"/>
      <c r="DN951" s="52"/>
      <c r="DO951" s="52"/>
      <c r="DP951" s="52"/>
      <c r="DQ951" s="52"/>
      <c r="DR951" s="52"/>
      <c r="DS951" s="52"/>
      <c r="DT951" s="52"/>
      <c r="DU951" s="52"/>
      <c r="DV951" s="52"/>
      <c r="DW951" s="52"/>
      <c r="DX951" s="52"/>
      <c r="DZ951"/>
      <c r="EA951" s="19"/>
      <c r="EB951" s="19"/>
      <c r="EC951" s="9"/>
      <c r="ED951" s="9"/>
      <c r="EE951" s="9"/>
      <c r="EF951" s="9"/>
      <c r="EG951" s="9"/>
      <c r="EH951" s="13"/>
      <c r="EI951" s="13"/>
      <c r="EJ951" s="13"/>
      <c r="EK951" s="13"/>
      <c r="EL951" s="13"/>
      <c r="EM951" s="13"/>
      <c r="EN951" s="13"/>
      <c r="EO951" s="13"/>
      <c r="EP951" s="13"/>
      <c r="EQ951" s="13"/>
      <c r="ER951" s="13"/>
      <c r="ES951" s="13"/>
      <c r="ET951" s="13"/>
      <c r="EU951" s="13"/>
      <c r="EV951" s="13"/>
      <c r="EW951" s="13"/>
      <c r="EX951" s="13"/>
      <c r="EY951" s="13"/>
      <c r="EZ951" s="13"/>
      <c r="FA951" s="13"/>
      <c r="FB951" s="13"/>
      <c r="FC951" s="13"/>
      <c r="FD951" s="13"/>
      <c r="FE951" s="13"/>
      <c r="FF951" s="13"/>
      <c r="FG951" s="13"/>
      <c r="FH951" s="13"/>
      <c r="FI951" s="13"/>
      <c r="FJ951" s="13"/>
      <c r="FK951" s="13"/>
      <c r="FL951" s="13"/>
      <c r="FM951" s="13"/>
      <c r="FN951" s="13"/>
      <c r="FO951" s="13"/>
      <c r="FP951" s="13"/>
      <c r="FQ951" s="13"/>
      <c r="FR951" s="13"/>
      <c r="FS951" s="13"/>
      <c r="FT951" s="13"/>
      <c r="FU951" s="13"/>
      <c r="FV951" s="13"/>
      <c r="FW951" s="13"/>
      <c r="FX951" s="13"/>
      <c r="FY951" s="13"/>
      <c r="FZ951" s="13"/>
      <c r="GA951" s="13"/>
    </row>
    <row r="952" spans="1:183" s="43" customFormat="1" x14ac:dyDescent="0.25">
      <c r="A952" s="2"/>
      <c r="B952" s="2"/>
      <c r="C952" s="9">
        <v>23</v>
      </c>
      <c r="D952" s="9">
        <v>26</v>
      </c>
      <c r="E952" s="9">
        <v>34</v>
      </c>
      <c r="F952" s="9">
        <v>44</v>
      </c>
      <c r="G952" s="9">
        <v>46</v>
      </c>
      <c r="H952" s="9">
        <v>56</v>
      </c>
      <c r="J952" s="9">
        <v>56</v>
      </c>
      <c r="L952" s="39">
        <v>44487</v>
      </c>
      <c r="N952"/>
      <c r="O952"/>
      <c r="P952"/>
      <c r="Q952"/>
      <c r="R952"/>
      <c r="S952"/>
      <c r="T952"/>
      <c r="U952"/>
      <c r="V952"/>
      <c r="W952" s="52"/>
      <c r="Y952"/>
      <c r="Z952"/>
      <c r="AA952"/>
      <c r="AB952"/>
      <c r="AC952"/>
      <c r="AD952"/>
      <c r="AE952"/>
      <c r="AF952"/>
      <c r="AG952"/>
      <c r="AH952" s="52"/>
      <c r="AI952" s="148"/>
      <c r="AJ952" s="19"/>
      <c r="AK952" s="19"/>
      <c r="AL952" s="19"/>
      <c r="AM952" s="19"/>
      <c r="AN952" s="42"/>
      <c r="AO952" s="54"/>
      <c r="AP952" s="19"/>
      <c r="AQ952" s="1"/>
      <c r="AR952" s="74"/>
      <c r="AS952" s="42"/>
      <c r="AT952" s="54"/>
      <c r="AU952" s="54"/>
      <c r="AV952" s="19"/>
      <c r="AW952" s="54"/>
      <c r="AX952" s="57"/>
      <c r="AY952" s="54"/>
      <c r="AZ952" s="54"/>
      <c r="BA952" s="54"/>
      <c r="BB952" s="54"/>
      <c r="BC952" s="57"/>
      <c r="BD952" s="19"/>
      <c r="BE952" s="19"/>
      <c r="BF952" s="19"/>
      <c r="BG952" s="54"/>
      <c r="BI952" s="54"/>
      <c r="BJ952" s="55"/>
      <c r="BK952" s="55"/>
      <c r="BL952" s="54"/>
      <c r="BM952" s="56"/>
      <c r="BN952" s="56"/>
      <c r="BO952" s="52"/>
      <c r="BP952" s="52"/>
      <c r="BQ952" s="52"/>
      <c r="BR952" s="52"/>
      <c r="BS952" s="52"/>
      <c r="BT952" s="52"/>
      <c r="BU952" s="52"/>
      <c r="BV952" s="52"/>
      <c r="BW952" s="52"/>
      <c r="BX952" s="52"/>
      <c r="BY952" s="52"/>
      <c r="BZ952" s="52"/>
      <c r="CA952" s="52"/>
      <c r="CB952" s="52"/>
      <c r="CC952" s="52"/>
      <c r="CD952" s="52"/>
      <c r="CE952" s="52"/>
      <c r="CF952" s="52"/>
      <c r="CG952" s="52"/>
      <c r="CH952" s="52"/>
      <c r="CI952" s="52"/>
      <c r="CJ952" s="52"/>
      <c r="CK952" s="52"/>
      <c r="CL952" s="52"/>
      <c r="CM952" s="52"/>
      <c r="CN952" s="52"/>
      <c r="CO952" s="52"/>
      <c r="CP952" s="52"/>
      <c r="CQ952" s="52"/>
      <c r="CR952" s="52"/>
      <c r="CS952" s="52"/>
      <c r="CT952" s="52"/>
      <c r="CU952" s="52"/>
      <c r="CV952" s="52"/>
      <c r="CW952" s="52"/>
      <c r="CX952" s="52"/>
      <c r="CY952" s="52"/>
      <c r="CZ952" s="52"/>
      <c r="DA952" s="52"/>
      <c r="DB952" s="52"/>
      <c r="DC952" s="52"/>
      <c r="DD952" s="52"/>
      <c r="DE952" s="52"/>
      <c r="DF952" s="52"/>
      <c r="DG952" s="52"/>
      <c r="DH952" s="52"/>
      <c r="DI952" s="52"/>
      <c r="DJ952" s="52"/>
      <c r="DK952" s="52"/>
      <c r="DL952" s="52"/>
      <c r="DM952" s="52"/>
      <c r="DN952" s="52"/>
      <c r="DO952" s="52"/>
      <c r="DP952" s="52"/>
      <c r="DQ952" s="52"/>
      <c r="DR952" s="52"/>
      <c r="DS952" s="52"/>
      <c r="DT952" s="52"/>
      <c r="DU952" s="52"/>
      <c r="DV952" s="52"/>
      <c r="DW952" s="52"/>
      <c r="DX952" s="52"/>
      <c r="DZ952"/>
      <c r="EA952" s="19"/>
      <c r="EB952" s="19"/>
      <c r="EC952" s="9"/>
      <c r="ED952" s="9"/>
      <c r="EE952" s="9"/>
      <c r="EF952" s="9"/>
      <c r="EG952" s="9"/>
      <c r="EH952" s="13"/>
      <c r="EI952" s="13"/>
      <c r="EJ952" s="13"/>
      <c r="EK952" s="13"/>
      <c r="EL952" s="13"/>
      <c r="EM952" s="13"/>
      <c r="EN952" s="13"/>
      <c r="EO952" s="13"/>
      <c r="EP952" s="13"/>
      <c r="EQ952" s="13"/>
      <c r="ER952" s="13"/>
      <c r="ES952" s="13"/>
      <c r="ET952" s="13"/>
      <c r="EU952" s="13"/>
      <c r="EV952" s="13"/>
      <c r="EW952" s="13"/>
      <c r="EX952" s="13"/>
      <c r="EY952" s="13"/>
      <c r="EZ952" s="13"/>
      <c r="FA952" s="13"/>
      <c r="FB952" s="13"/>
      <c r="FC952" s="13"/>
      <c r="FD952" s="13"/>
      <c r="FE952" s="13"/>
      <c r="FF952" s="13"/>
      <c r="FG952" s="13"/>
      <c r="FH952" s="13"/>
      <c r="FI952" s="13"/>
      <c r="FJ952" s="13"/>
      <c r="FK952" s="13"/>
      <c r="FL952" s="13"/>
      <c r="FM952" s="13"/>
      <c r="FN952" s="13"/>
      <c r="FO952" s="13"/>
      <c r="FP952" s="13"/>
      <c r="FQ952" s="13"/>
      <c r="FR952" s="13"/>
      <c r="FS952" s="13"/>
      <c r="FT952" s="13"/>
      <c r="FU952" s="13"/>
      <c r="FV952" s="13"/>
      <c r="FW952" s="13"/>
      <c r="FX952" s="13"/>
      <c r="FY952" s="13"/>
      <c r="FZ952" s="13"/>
      <c r="GA952" s="13"/>
    </row>
    <row r="953" spans="1:183" s="43" customFormat="1" x14ac:dyDescent="0.25">
      <c r="A953" s="2"/>
      <c r="B953" s="2"/>
      <c r="C953" s="9">
        <v>17</v>
      </c>
      <c r="D953" s="9">
        <v>24</v>
      </c>
      <c r="E953" s="9">
        <v>27</v>
      </c>
      <c r="F953" s="9">
        <v>47</v>
      </c>
      <c r="G953" s="9">
        <v>57</v>
      </c>
      <c r="H953" s="9">
        <v>68</v>
      </c>
      <c r="J953" s="9">
        <v>68</v>
      </c>
      <c r="L953" s="39">
        <v>44485</v>
      </c>
      <c r="N953"/>
      <c r="O953"/>
      <c r="P953"/>
      <c r="Q953"/>
      <c r="R953"/>
      <c r="S953"/>
      <c r="T953"/>
      <c r="U953"/>
      <c r="V953"/>
      <c r="W953" s="52"/>
      <c r="Y953"/>
      <c r="Z953"/>
      <c r="AA953"/>
      <c r="AB953"/>
      <c r="AC953"/>
      <c r="AD953"/>
      <c r="AE953"/>
      <c r="AF953"/>
      <c r="AG953"/>
      <c r="AH953" s="52"/>
      <c r="AI953" s="148"/>
      <c r="AJ953" s="19"/>
      <c r="AK953" s="19"/>
      <c r="AL953" s="19"/>
      <c r="AM953" s="19"/>
      <c r="AN953" s="42"/>
      <c r="AO953" s="54"/>
      <c r="AP953" s="19"/>
      <c r="AQ953" s="1"/>
      <c r="AR953" s="74"/>
      <c r="AS953" s="42"/>
      <c r="AT953" s="54"/>
      <c r="AU953" s="54"/>
      <c r="AV953" s="19"/>
      <c r="AW953" s="54"/>
      <c r="AX953" s="57"/>
      <c r="AY953" s="54"/>
      <c r="AZ953" s="54"/>
      <c r="BA953" s="54"/>
      <c r="BB953" s="54"/>
      <c r="BC953" s="57"/>
      <c r="BD953" s="19"/>
      <c r="BE953" s="19"/>
      <c r="BF953" s="19"/>
      <c r="BG953" s="54"/>
      <c r="BI953" s="54"/>
      <c r="BJ953" s="55"/>
      <c r="BK953" s="55"/>
      <c r="BL953" s="54"/>
      <c r="BM953" s="56"/>
      <c r="BN953" s="56"/>
      <c r="BO953" s="52"/>
      <c r="BP953" s="52"/>
      <c r="BQ953" s="52"/>
      <c r="BR953" s="52"/>
      <c r="BS953" s="52"/>
      <c r="BT953" s="52"/>
      <c r="BU953" s="52"/>
      <c r="BV953" s="52"/>
      <c r="BW953" s="52"/>
      <c r="BX953" s="52"/>
      <c r="BY953" s="52"/>
      <c r="BZ953" s="52"/>
      <c r="CA953" s="52"/>
      <c r="CB953" s="52"/>
      <c r="CC953" s="52"/>
      <c r="CD953" s="52"/>
      <c r="CE953" s="52"/>
      <c r="CF953" s="52"/>
      <c r="CG953" s="52"/>
      <c r="CH953" s="52"/>
      <c r="CI953" s="52"/>
      <c r="CJ953" s="52"/>
      <c r="CK953" s="52"/>
      <c r="CL953" s="52"/>
      <c r="CM953" s="52"/>
      <c r="CN953" s="52"/>
      <c r="CO953" s="52"/>
      <c r="CP953" s="52"/>
      <c r="CQ953" s="52"/>
      <c r="CR953" s="52"/>
      <c r="CS953" s="52"/>
      <c r="CT953" s="52"/>
      <c r="CU953" s="52"/>
      <c r="CV953" s="52"/>
      <c r="CW953" s="52"/>
      <c r="CX953" s="52"/>
      <c r="CY953" s="52"/>
      <c r="CZ953" s="52"/>
      <c r="DA953" s="52"/>
      <c r="DB953" s="52"/>
      <c r="DC953" s="52"/>
      <c r="DD953" s="52"/>
      <c r="DE953" s="52"/>
      <c r="DF953" s="52"/>
      <c r="DG953" s="52"/>
      <c r="DH953" s="52"/>
      <c r="DI953" s="52"/>
      <c r="DJ953" s="52"/>
      <c r="DK953" s="52"/>
      <c r="DL953" s="52"/>
      <c r="DM953" s="52"/>
      <c r="DN953" s="52"/>
      <c r="DO953" s="52"/>
      <c r="DP953" s="52"/>
      <c r="DQ953" s="52"/>
      <c r="DR953" s="52"/>
      <c r="DS953" s="52"/>
      <c r="DT953" s="52"/>
      <c r="DU953" s="52"/>
      <c r="DV953" s="52"/>
      <c r="DW953" s="52"/>
      <c r="DX953" s="52"/>
      <c r="DZ953"/>
      <c r="EA953" s="19"/>
      <c r="EB953" s="19"/>
      <c r="EC953" s="9"/>
      <c r="ED953" s="9"/>
      <c r="EE953" s="9"/>
      <c r="EF953" s="9"/>
      <c r="EG953" s="9"/>
      <c r="EH953" s="13"/>
      <c r="EI953" s="13"/>
      <c r="EJ953" s="13"/>
      <c r="EK953" s="13"/>
      <c r="EL953" s="13"/>
      <c r="EM953" s="13"/>
      <c r="EN953" s="13"/>
      <c r="EO953" s="13"/>
      <c r="EP953" s="13"/>
      <c r="EQ953" s="13"/>
      <c r="ER953" s="13"/>
      <c r="ES953" s="13"/>
      <c r="ET953" s="13"/>
      <c r="EU953" s="13"/>
      <c r="EV953" s="13"/>
      <c r="EW953" s="13"/>
      <c r="EX953" s="13"/>
      <c r="EY953" s="13"/>
      <c r="EZ953" s="13"/>
      <c r="FA953" s="13"/>
      <c r="FB953" s="13"/>
      <c r="FC953" s="13"/>
      <c r="FD953" s="13"/>
      <c r="FE953" s="13"/>
      <c r="FF953" s="13"/>
      <c r="FG953" s="13"/>
      <c r="FH953" s="13"/>
      <c r="FI953" s="13"/>
      <c r="FJ953" s="13"/>
      <c r="FK953" s="13"/>
      <c r="FL953" s="13"/>
      <c r="FM953" s="13"/>
      <c r="FN953" s="13"/>
      <c r="FO953" s="13"/>
      <c r="FP953" s="13"/>
      <c r="FQ953" s="13"/>
      <c r="FR953" s="13"/>
      <c r="FS953" s="13"/>
      <c r="FT953" s="13"/>
      <c r="FU953" s="13"/>
      <c r="FV953" s="13"/>
      <c r="FW953" s="13"/>
      <c r="FX953" s="13"/>
      <c r="FY953" s="13"/>
      <c r="FZ953" s="13"/>
      <c r="GA953" s="13"/>
    </row>
    <row r="954" spans="1:183" s="43" customFormat="1" x14ac:dyDescent="0.25">
      <c r="A954" s="2"/>
      <c r="B954" s="2"/>
      <c r="C954" s="9">
        <v>5</v>
      </c>
      <c r="D954" s="9">
        <v>39</v>
      </c>
      <c r="E954" s="9">
        <v>58</v>
      </c>
      <c r="F954" s="9">
        <v>60</v>
      </c>
      <c r="G954" s="9">
        <v>66</v>
      </c>
      <c r="H954" s="9">
        <v>75</v>
      </c>
      <c r="J954" s="9">
        <v>75</v>
      </c>
      <c r="L954" s="39">
        <v>44482</v>
      </c>
      <c r="N954"/>
      <c r="O954"/>
      <c r="P954"/>
      <c r="Q954"/>
      <c r="R954"/>
      <c r="S954"/>
      <c r="T954"/>
      <c r="U954"/>
      <c r="V954"/>
      <c r="W954" s="52"/>
      <c r="Y954"/>
      <c r="Z954"/>
      <c r="AA954"/>
      <c r="AB954"/>
      <c r="AC954"/>
      <c r="AD954"/>
      <c r="AE954"/>
      <c r="AF954"/>
      <c r="AG954"/>
      <c r="AH954" s="52"/>
      <c r="AI954" s="148"/>
      <c r="AJ954" s="19"/>
      <c r="AK954" s="19"/>
      <c r="AL954" s="19"/>
      <c r="AM954" s="19"/>
      <c r="AN954" s="42"/>
      <c r="AO954" s="54"/>
      <c r="AP954" s="19"/>
      <c r="AQ954" s="1"/>
      <c r="AR954" s="74"/>
      <c r="AS954" s="42"/>
      <c r="AT954" s="54"/>
      <c r="AU954" s="54"/>
      <c r="AV954" s="19"/>
      <c r="AW954" s="54"/>
      <c r="AX954" s="57"/>
      <c r="AY954" s="54"/>
      <c r="AZ954" s="54"/>
      <c r="BA954" s="54"/>
      <c r="BB954" s="54"/>
      <c r="BC954" s="57"/>
      <c r="BD954" s="19"/>
      <c r="BE954" s="19"/>
      <c r="BF954" s="19"/>
      <c r="BG954" s="54"/>
      <c r="BI954" s="54"/>
      <c r="BJ954" s="55"/>
      <c r="BK954" s="55"/>
      <c r="BL954" s="54"/>
      <c r="BM954" s="56"/>
      <c r="BN954" s="56"/>
      <c r="BO954" s="52"/>
      <c r="BP954" s="52"/>
      <c r="BQ954" s="52"/>
      <c r="BR954" s="52"/>
      <c r="BS954" s="52"/>
      <c r="BT954" s="52"/>
      <c r="BU954" s="52"/>
      <c r="BV954" s="52"/>
      <c r="BW954" s="52"/>
      <c r="BX954" s="52"/>
      <c r="BY954" s="52"/>
      <c r="BZ954" s="52"/>
      <c r="CA954" s="52"/>
      <c r="CB954" s="52"/>
      <c r="CC954" s="52"/>
      <c r="CD954" s="52"/>
      <c r="CE954" s="52"/>
      <c r="CF954" s="52"/>
      <c r="CG954" s="52"/>
      <c r="CH954" s="52"/>
      <c r="CI954" s="52"/>
      <c r="CJ954" s="52"/>
      <c r="CK954" s="52"/>
      <c r="CL954" s="52"/>
      <c r="CM954" s="52"/>
      <c r="CN954" s="52"/>
      <c r="CO954" s="52"/>
      <c r="CP954" s="52"/>
      <c r="CQ954" s="52"/>
      <c r="CR954" s="52"/>
      <c r="CS954" s="52"/>
      <c r="CT954" s="52"/>
      <c r="CU954" s="52"/>
      <c r="CV954" s="52"/>
      <c r="CW954" s="52"/>
      <c r="CX954" s="52"/>
      <c r="CY954" s="52"/>
      <c r="CZ954" s="52"/>
      <c r="DA954" s="52"/>
      <c r="DB954" s="52"/>
      <c r="DC954" s="52"/>
      <c r="DD954" s="52"/>
      <c r="DE954" s="52"/>
      <c r="DF954" s="52"/>
      <c r="DG954" s="52"/>
      <c r="DH954" s="52"/>
      <c r="DI954" s="52"/>
      <c r="DJ954" s="52"/>
      <c r="DK954" s="52"/>
      <c r="DL954" s="52"/>
      <c r="DM954" s="52"/>
      <c r="DN954" s="52"/>
      <c r="DO954" s="52"/>
      <c r="DP954" s="52"/>
      <c r="DQ954" s="52"/>
      <c r="DR954" s="52"/>
      <c r="DS954" s="52"/>
      <c r="DT954" s="52"/>
      <c r="DU954" s="52"/>
      <c r="DV954" s="52"/>
      <c r="DW954" s="52"/>
      <c r="DX954" s="52"/>
      <c r="DZ954"/>
      <c r="EA954" s="19"/>
      <c r="EB954" s="19"/>
      <c r="EC954" s="9"/>
      <c r="ED954" s="9"/>
      <c r="EE954" s="9"/>
      <c r="EF954" s="9"/>
      <c r="EG954" s="9"/>
      <c r="EH954" s="13"/>
      <c r="EI954" s="13"/>
      <c r="EJ954" s="13"/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  <c r="EV954" s="13"/>
      <c r="EW954" s="13"/>
      <c r="EX954" s="13"/>
      <c r="EY954" s="13"/>
      <c r="EZ954" s="13"/>
      <c r="FA954" s="13"/>
      <c r="FB954" s="13"/>
      <c r="FC954" s="13"/>
      <c r="FD954" s="13"/>
      <c r="FE954" s="13"/>
      <c r="FF954" s="13"/>
      <c r="FG954" s="13"/>
      <c r="FH954" s="13"/>
      <c r="FI954" s="13"/>
      <c r="FJ954" s="13"/>
      <c r="FK954" s="13"/>
      <c r="FL954" s="13"/>
      <c r="FM954" s="13"/>
      <c r="FN954" s="13"/>
      <c r="FO954" s="13"/>
      <c r="FP954" s="13"/>
      <c r="FQ954" s="13"/>
      <c r="FR954" s="13"/>
      <c r="FS954" s="13"/>
      <c r="FT954" s="13"/>
      <c r="FU954" s="13"/>
      <c r="FV954" s="13"/>
      <c r="FW954" s="13"/>
      <c r="FX954" s="13"/>
      <c r="FY954" s="13"/>
      <c r="FZ954" s="13"/>
      <c r="GA954" s="13"/>
    </row>
    <row r="955" spans="1:183" s="43" customFormat="1" x14ac:dyDescent="0.25">
      <c r="A955" s="2"/>
      <c r="B955" s="2"/>
      <c r="C955" s="9">
        <v>17</v>
      </c>
      <c r="D955" s="9">
        <v>42</v>
      </c>
      <c r="E955" s="9">
        <v>50</v>
      </c>
      <c r="F955" s="9">
        <v>76</v>
      </c>
      <c r="G955" s="9">
        <v>84</v>
      </c>
      <c r="H955" s="9">
        <v>89</v>
      </c>
      <c r="J955" s="9">
        <v>89</v>
      </c>
      <c r="L955" s="39">
        <v>44480</v>
      </c>
      <c r="N955"/>
      <c r="O955"/>
      <c r="P955"/>
      <c r="Q955"/>
      <c r="R955"/>
      <c r="S955"/>
      <c r="T955"/>
      <c r="U955"/>
      <c r="V955"/>
      <c r="W955" s="52"/>
      <c r="Y955"/>
      <c r="Z955"/>
      <c r="AA955"/>
      <c r="AB955"/>
      <c r="AC955"/>
      <c r="AD955"/>
      <c r="AE955"/>
      <c r="AF955"/>
      <c r="AG955"/>
      <c r="AH955" s="52"/>
      <c r="AI955" s="148"/>
      <c r="AJ955" s="19"/>
      <c r="AK955" s="19"/>
      <c r="AL955" s="19"/>
      <c r="AM955" s="19"/>
      <c r="AN955" s="42"/>
      <c r="AO955" s="54"/>
      <c r="AP955" s="19"/>
      <c r="AQ955" s="1"/>
      <c r="AR955" s="74"/>
      <c r="AS955" s="42"/>
      <c r="AT955" s="54"/>
      <c r="AU955" s="54"/>
      <c r="AV955" s="19"/>
      <c r="AW955" s="54"/>
      <c r="AX955" s="57"/>
      <c r="AY955" s="54"/>
      <c r="AZ955" s="54"/>
      <c r="BA955" s="54"/>
      <c r="BB955" s="54"/>
      <c r="BC955" s="57"/>
      <c r="BD955" s="19"/>
      <c r="BE955" s="19"/>
      <c r="BF955" s="19"/>
      <c r="BG955" s="54"/>
      <c r="BI955" s="54"/>
      <c r="BJ955" s="55"/>
      <c r="BK955" s="55"/>
      <c r="BL955" s="54"/>
      <c r="BM955" s="56"/>
      <c r="BN955" s="56"/>
      <c r="BO955" s="52"/>
      <c r="BP955" s="52"/>
      <c r="BQ955" s="52"/>
      <c r="BR955" s="52"/>
      <c r="BS955" s="52"/>
      <c r="BT955" s="52"/>
      <c r="BU955" s="52"/>
      <c r="BV955" s="52"/>
      <c r="BW955" s="52"/>
      <c r="BX955" s="52"/>
      <c r="BY955" s="52"/>
      <c r="BZ955" s="52"/>
      <c r="CA955" s="52"/>
      <c r="CB955" s="52"/>
      <c r="CC955" s="52"/>
      <c r="CD955" s="52"/>
      <c r="CE955" s="52"/>
      <c r="CF955" s="52"/>
      <c r="CG955" s="52"/>
      <c r="CH955" s="52"/>
      <c r="CI955" s="52"/>
      <c r="CJ955" s="52"/>
      <c r="CK955" s="52"/>
      <c r="CL955" s="52"/>
      <c r="CM955" s="52"/>
      <c r="CN955" s="52"/>
      <c r="CO955" s="52"/>
      <c r="CP955" s="52"/>
      <c r="CQ955" s="52"/>
      <c r="CR955" s="52"/>
      <c r="CS955" s="52"/>
      <c r="CT955" s="52"/>
      <c r="CU955" s="52"/>
      <c r="CV955" s="52"/>
      <c r="CW955" s="52"/>
      <c r="CX955" s="52"/>
      <c r="CY955" s="52"/>
      <c r="CZ955" s="52"/>
      <c r="DA955" s="52"/>
      <c r="DB955" s="52"/>
      <c r="DC955" s="52"/>
      <c r="DD955" s="52"/>
      <c r="DE955" s="52"/>
      <c r="DF955" s="52"/>
      <c r="DG955" s="52"/>
      <c r="DH955" s="52"/>
      <c r="DI955" s="52"/>
      <c r="DJ955" s="52"/>
      <c r="DK955" s="52"/>
      <c r="DL955" s="52"/>
      <c r="DM955" s="52"/>
      <c r="DN955" s="52"/>
      <c r="DO955" s="52"/>
      <c r="DP955" s="52"/>
      <c r="DQ955" s="52"/>
      <c r="DR955" s="52"/>
      <c r="DS955" s="52"/>
      <c r="DT955" s="52"/>
      <c r="DU955" s="52"/>
      <c r="DV955" s="52"/>
      <c r="DW955" s="52"/>
      <c r="DX955" s="52"/>
      <c r="DZ955"/>
      <c r="EA955" s="19"/>
      <c r="EB955" s="19"/>
      <c r="EC955" s="9"/>
      <c r="ED955" s="9"/>
      <c r="EE955" s="9"/>
      <c r="EF955" s="9"/>
      <c r="EG955" s="9"/>
      <c r="EH955" s="13"/>
      <c r="EI955" s="13"/>
      <c r="EJ955" s="13"/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/>
      <c r="FC955" s="13"/>
      <c r="FD955" s="13"/>
      <c r="FE955" s="13"/>
      <c r="FF955" s="13"/>
      <c r="FG955" s="13"/>
      <c r="FH955" s="13"/>
      <c r="FI955" s="13"/>
      <c r="FJ955" s="13"/>
      <c r="FK955" s="13"/>
      <c r="FL955" s="13"/>
      <c r="FM955" s="13"/>
      <c r="FN955" s="13"/>
      <c r="FO955" s="13"/>
      <c r="FP955" s="13"/>
      <c r="FQ955" s="13"/>
      <c r="FR955" s="13"/>
      <c r="FS955" s="13"/>
      <c r="FT955" s="13"/>
      <c r="FU955" s="13"/>
      <c r="FV955" s="13"/>
      <c r="FW955" s="13"/>
      <c r="FX955" s="13"/>
      <c r="FY955" s="13"/>
      <c r="FZ955" s="13"/>
      <c r="GA955" s="13"/>
    </row>
    <row r="956" spans="1:183" s="43" customFormat="1" x14ac:dyDescent="0.25">
      <c r="A956" s="2"/>
      <c r="B956" s="2"/>
      <c r="C956" s="9">
        <v>16</v>
      </c>
      <c r="D956" s="9">
        <v>18</v>
      </c>
      <c r="E956" s="9">
        <v>50</v>
      </c>
      <c r="F956" s="9">
        <v>52</v>
      </c>
      <c r="G956" s="9">
        <v>69</v>
      </c>
      <c r="H956" s="9">
        <v>86</v>
      </c>
      <c r="J956" s="9">
        <v>86</v>
      </c>
      <c r="L956" s="39">
        <v>44478</v>
      </c>
      <c r="N956"/>
      <c r="O956"/>
      <c r="P956"/>
      <c r="Q956"/>
      <c r="R956"/>
      <c r="S956"/>
      <c r="T956"/>
      <c r="U956"/>
      <c r="V956"/>
      <c r="W956" s="52"/>
      <c r="Y956"/>
      <c r="Z956"/>
      <c r="AA956"/>
      <c r="AB956"/>
      <c r="AC956"/>
      <c r="AD956"/>
      <c r="AE956"/>
      <c r="AF956"/>
      <c r="AG956"/>
      <c r="AH956" s="52"/>
      <c r="AI956" s="148"/>
      <c r="AJ956" s="19"/>
      <c r="AK956" s="19"/>
      <c r="AL956" s="19"/>
      <c r="AM956" s="19"/>
      <c r="AN956" s="42"/>
      <c r="AO956" s="54"/>
      <c r="AP956" s="19"/>
      <c r="AQ956" s="1"/>
      <c r="AR956" s="74"/>
      <c r="AS956" s="42"/>
      <c r="AT956" s="54"/>
      <c r="AU956" s="54"/>
      <c r="AV956" s="19"/>
      <c r="AW956" s="54"/>
      <c r="AX956" s="57"/>
      <c r="AY956" s="54"/>
      <c r="AZ956" s="54"/>
      <c r="BA956" s="54"/>
      <c r="BB956" s="54"/>
      <c r="BC956" s="57"/>
      <c r="BD956" s="19"/>
      <c r="BE956" s="19"/>
      <c r="BF956" s="19"/>
      <c r="BG956" s="54"/>
      <c r="BI956" s="54"/>
      <c r="BJ956" s="55"/>
      <c r="BK956" s="55"/>
      <c r="BL956" s="54"/>
      <c r="BM956" s="56"/>
      <c r="BN956" s="56"/>
      <c r="BO956" s="52"/>
      <c r="BP956" s="52"/>
      <c r="BQ956" s="52"/>
      <c r="BR956" s="52"/>
      <c r="BS956" s="52"/>
      <c r="BT956" s="52"/>
      <c r="BU956" s="52"/>
      <c r="BV956" s="52"/>
      <c r="BW956" s="52"/>
      <c r="BX956" s="52"/>
      <c r="BY956" s="52"/>
      <c r="BZ956" s="52"/>
      <c r="CA956" s="52"/>
      <c r="CB956" s="52"/>
      <c r="CC956" s="52"/>
      <c r="CD956" s="52"/>
      <c r="CE956" s="52"/>
      <c r="CF956" s="52"/>
      <c r="CG956" s="52"/>
      <c r="CH956" s="52"/>
      <c r="CI956" s="52"/>
      <c r="CJ956" s="52"/>
      <c r="CK956" s="52"/>
      <c r="CL956" s="52"/>
      <c r="CM956" s="52"/>
      <c r="CN956" s="52"/>
      <c r="CO956" s="52"/>
      <c r="CP956" s="52"/>
      <c r="CQ956" s="52"/>
      <c r="CR956" s="52"/>
      <c r="CS956" s="52"/>
      <c r="CT956" s="52"/>
      <c r="CU956" s="52"/>
      <c r="CV956" s="52"/>
      <c r="CW956" s="52"/>
      <c r="CX956" s="52"/>
      <c r="CY956" s="52"/>
      <c r="CZ956" s="52"/>
      <c r="DA956" s="52"/>
      <c r="DB956" s="52"/>
      <c r="DC956" s="52"/>
      <c r="DD956" s="52"/>
      <c r="DE956" s="52"/>
      <c r="DF956" s="52"/>
      <c r="DG956" s="52"/>
      <c r="DH956" s="52"/>
      <c r="DI956" s="52"/>
      <c r="DJ956" s="52"/>
      <c r="DK956" s="52"/>
      <c r="DL956" s="52"/>
      <c r="DM956" s="52"/>
      <c r="DN956" s="52"/>
      <c r="DO956" s="52"/>
      <c r="DP956" s="52"/>
      <c r="DQ956" s="52"/>
      <c r="DR956" s="52"/>
      <c r="DS956" s="52"/>
      <c r="DT956" s="52"/>
      <c r="DU956" s="52"/>
      <c r="DV956" s="52"/>
      <c r="DW956" s="52"/>
      <c r="DX956" s="52"/>
      <c r="DZ956"/>
      <c r="EA956" s="19"/>
      <c r="EB956" s="19"/>
      <c r="EC956" s="9"/>
      <c r="ED956" s="9"/>
      <c r="EE956" s="9"/>
      <c r="EF956" s="9"/>
      <c r="EG956" s="9"/>
      <c r="EH956" s="13"/>
      <c r="EI956" s="13"/>
      <c r="EJ956" s="13"/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/>
      <c r="FB956" s="13"/>
      <c r="FC956" s="13"/>
      <c r="FD956" s="13"/>
      <c r="FE956" s="13"/>
      <c r="FF956" s="13"/>
      <c r="FG956" s="13"/>
      <c r="FH956" s="13"/>
      <c r="FI956" s="13"/>
      <c r="FJ956" s="13"/>
      <c r="FK956" s="13"/>
      <c r="FL956" s="13"/>
      <c r="FM956" s="13"/>
      <c r="FN956" s="13"/>
      <c r="FO956" s="13"/>
      <c r="FP956" s="13"/>
      <c r="FQ956" s="13"/>
      <c r="FR956" s="13"/>
      <c r="FS956" s="13"/>
      <c r="FT956" s="13"/>
      <c r="FU956" s="13"/>
      <c r="FV956" s="13"/>
      <c r="FW956" s="13"/>
      <c r="FX956" s="13"/>
      <c r="FY956" s="13"/>
      <c r="FZ956" s="13"/>
      <c r="GA956" s="13"/>
    </row>
    <row r="957" spans="1:183" s="43" customFormat="1" x14ac:dyDescent="0.25">
      <c r="A957" s="2"/>
      <c r="B957" s="2"/>
      <c r="C957" s="9">
        <v>2</v>
      </c>
      <c r="D957" s="9">
        <v>3</v>
      </c>
      <c r="E957" s="9">
        <v>4</v>
      </c>
      <c r="F957" s="9">
        <v>36</v>
      </c>
      <c r="G957" s="9">
        <v>44</v>
      </c>
      <c r="H957" s="9">
        <v>89</v>
      </c>
      <c r="J957" s="9">
        <v>89</v>
      </c>
      <c r="L957" s="39">
        <v>44475</v>
      </c>
      <c r="N957"/>
      <c r="O957"/>
      <c r="P957"/>
      <c r="Q957"/>
      <c r="R957"/>
      <c r="S957"/>
      <c r="T957"/>
      <c r="U957"/>
      <c r="V957"/>
      <c r="W957" s="52"/>
      <c r="Y957"/>
      <c r="Z957"/>
      <c r="AA957"/>
      <c r="AB957"/>
      <c r="AC957"/>
      <c r="AD957"/>
      <c r="AE957"/>
      <c r="AF957"/>
      <c r="AG957"/>
      <c r="AH957" s="52"/>
      <c r="AI957" s="148"/>
      <c r="AJ957" s="19"/>
      <c r="AK957" s="19"/>
      <c r="AL957" s="19"/>
      <c r="AM957" s="19"/>
      <c r="AN957" s="42"/>
      <c r="AO957" s="54"/>
      <c r="AP957" s="19"/>
      <c r="AQ957" s="1"/>
      <c r="AR957" s="74"/>
      <c r="AS957" s="42"/>
      <c r="AT957" s="54"/>
      <c r="AU957" s="54"/>
      <c r="AV957" s="19"/>
      <c r="AW957" s="54"/>
      <c r="AX957" s="57"/>
      <c r="AY957" s="54"/>
      <c r="AZ957" s="54"/>
      <c r="BA957" s="54"/>
      <c r="BB957" s="54"/>
      <c r="BC957" s="57"/>
      <c r="BD957" s="19"/>
      <c r="BE957" s="19"/>
      <c r="BF957" s="19"/>
      <c r="BG957" s="54"/>
      <c r="BI957" s="54"/>
      <c r="BJ957" s="55"/>
      <c r="BK957" s="55"/>
      <c r="BL957" s="54"/>
      <c r="BM957" s="56"/>
      <c r="BN957" s="56"/>
      <c r="BO957" s="52"/>
      <c r="BP957" s="52"/>
      <c r="BQ957" s="52"/>
      <c r="BR957" s="52"/>
      <c r="BS957" s="52"/>
      <c r="BT957" s="52"/>
      <c r="BU957" s="52"/>
      <c r="BV957" s="52"/>
      <c r="BW957" s="52"/>
      <c r="BX957" s="52"/>
      <c r="BY957" s="52"/>
      <c r="BZ957" s="52"/>
      <c r="CA957" s="52"/>
      <c r="CB957" s="52"/>
      <c r="CC957" s="52"/>
      <c r="CD957" s="52"/>
      <c r="CE957" s="52"/>
      <c r="CF957" s="52"/>
      <c r="CG957" s="52"/>
      <c r="CH957" s="52"/>
      <c r="CI957" s="52"/>
      <c r="CJ957" s="52"/>
      <c r="CK957" s="52"/>
      <c r="CL957" s="52"/>
      <c r="CM957" s="52"/>
      <c r="CN957" s="52"/>
      <c r="CO957" s="52"/>
      <c r="CP957" s="52"/>
      <c r="CQ957" s="52"/>
      <c r="CR957" s="52"/>
      <c r="CS957" s="52"/>
      <c r="CT957" s="52"/>
      <c r="CU957" s="52"/>
      <c r="CV957" s="52"/>
      <c r="CW957" s="52"/>
      <c r="CX957" s="52"/>
      <c r="CY957" s="52"/>
      <c r="CZ957" s="52"/>
      <c r="DA957" s="52"/>
      <c r="DB957" s="52"/>
      <c r="DC957" s="52"/>
      <c r="DD957" s="52"/>
      <c r="DE957" s="52"/>
      <c r="DF957" s="52"/>
      <c r="DG957" s="52"/>
      <c r="DH957" s="52"/>
      <c r="DI957" s="52"/>
      <c r="DJ957" s="52"/>
      <c r="DK957" s="52"/>
      <c r="DL957" s="52"/>
      <c r="DM957" s="52"/>
      <c r="DN957" s="52"/>
      <c r="DO957" s="52"/>
      <c r="DP957" s="52"/>
      <c r="DQ957" s="52"/>
      <c r="DR957" s="52"/>
      <c r="DS957" s="52"/>
      <c r="DT957" s="52"/>
      <c r="DU957" s="52"/>
      <c r="DV957" s="52"/>
      <c r="DW957" s="52"/>
      <c r="DX957" s="52"/>
      <c r="DZ957"/>
      <c r="EA957" s="19"/>
      <c r="EB957" s="19"/>
      <c r="EC957" s="9"/>
      <c r="ED957" s="9"/>
      <c r="EE957" s="9"/>
      <c r="EF957" s="9"/>
      <c r="EG957" s="9"/>
      <c r="EH957" s="13"/>
      <c r="EI957" s="13"/>
      <c r="EJ957" s="13"/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13"/>
      <c r="EX957" s="13"/>
      <c r="EY957" s="13"/>
      <c r="EZ957" s="13"/>
      <c r="FA957" s="13"/>
      <c r="FB957" s="13"/>
      <c r="FC957" s="13"/>
      <c r="FD957" s="13"/>
      <c r="FE957" s="13"/>
      <c r="FF957" s="13"/>
      <c r="FG957" s="13"/>
      <c r="FH957" s="13"/>
      <c r="FI957" s="13"/>
      <c r="FJ957" s="13"/>
      <c r="FK957" s="13"/>
      <c r="FL957" s="13"/>
      <c r="FM957" s="13"/>
      <c r="FN957" s="13"/>
      <c r="FO957" s="13"/>
      <c r="FP957" s="13"/>
      <c r="FQ957" s="13"/>
      <c r="FR957" s="13"/>
      <c r="FS957" s="13"/>
      <c r="FT957" s="13"/>
      <c r="FU957" s="13"/>
      <c r="FV957" s="13"/>
      <c r="FW957" s="13"/>
      <c r="FX957" s="13"/>
      <c r="FY957" s="13"/>
      <c r="FZ957" s="13"/>
      <c r="GA957" s="13"/>
    </row>
    <row r="958" spans="1:183" s="43" customFormat="1" x14ac:dyDescent="0.25">
      <c r="A958" s="2"/>
      <c r="B958" s="2"/>
      <c r="C958" s="9">
        <v>1</v>
      </c>
      <c r="D958" s="9">
        <v>19</v>
      </c>
      <c r="E958" s="9">
        <v>26</v>
      </c>
      <c r="F958" s="9">
        <v>41</v>
      </c>
      <c r="G958" s="9">
        <v>69</v>
      </c>
      <c r="H958" s="9">
        <v>77</v>
      </c>
      <c r="J958" s="9">
        <v>77</v>
      </c>
      <c r="L958" s="39">
        <v>44473</v>
      </c>
      <c r="N958"/>
      <c r="O958"/>
      <c r="P958"/>
      <c r="Q958"/>
      <c r="R958"/>
      <c r="S958"/>
      <c r="T958"/>
      <c r="U958"/>
      <c r="V958"/>
      <c r="W958" s="52"/>
      <c r="Y958"/>
      <c r="Z958"/>
      <c r="AA958"/>
      <c r="AB958"/>
      <c r="AC958"/>
      <c r="AD958"/>
      <c r="AE958"/>
      <c r="AF958"/>
      <c r="AG958"/>
      <c r="AH958" s="52"/>
      <c r="AI958" s="148"/>
      <c r="AJ958" s="19"/>
      <c r="AK958" s="19"/>
      <c r="AL958" s="19"/>
      <c r="AM958" s="19"/>
      <c r="AN958" s="42"/>
      <c r="AO958" s="54"/>
      <c r="AP958" s="19"/>
      <c r="AQ958" s="1"/>
      <c r="AR958" s="74"/>
      <c r="AS958" s="42"/>
      <c r="AT958" s="54"/>
      <c r="AU958" s="54"/>
      <c r="AV958" s="19"/>
      <c r="AW958" s="54"/>
      <c r="AX958" s="57"/>
      <c r="AY958" s="54"/>
      <c r="AZ958" s="54"/>
      <c r="BA958" s="54"/>
      <c r="BB958" s="54"/>
      <c r="BC958" s="57"/>
      <c r="BD958" s="19"/>
      <c r="BE958" s="19"/>
      <c r="BF958" s="19"/>
      <c r="BG958" s="54"/>
      <c r="BI958" s="54"/>
      <c r="BJ958" s="55"/>
      <c r="BK958" s="55"/>
      <c r="BL958" s="54"/>
      <c r="BM958" s="56"/>
      <c r="BN958" s="56"/>
      <c r="BO958" s="52"/>
      <c r="BP958" s="52"/>
      <c r="BQ958" s="52"/>
      <c r="BR958" s="52"/>
      <c r="BS958" s="52"/>
      <c r="BT958" s="52"/>
      <c r="BU958" s="52"/>
      <c r="BV958" s="52"/>
      <c r="BW958" s="52"/>
      <c r="BX958" s="52"/>
      <c r="BY958" s="52"/>
      <c r="BZ958" s="52"/>
      <c r="CA958" s="52"/>
      <c r="CB958" s="52"/>
      <c r="CC958" s="52"/>
      <c r="CD958" s="52"/>
      <c r="CE958" s="52"/>
      <c r="CF958" s="52"/>
      <c r="CG958" s="52"/>
      <c r="CH958" s="52"/>
      <c r="CI958" s="52"/>
      <c r="CJ958" s="52"/>
      <c r="CK958" s="52"/>
      <c r="CL958" s="52"/>
      <c r="CM958" s="52"/>
      <c r="CN958" s="52"/>
      <c r="CO958" s="52"/>
      <c r="CP958" s="52"/>
      <c r="CQ958" s="52"/>
      <c r="CR958" s="52"/>
      <c r="CS958" s="52"/>
      <c r="CT958" s="52"/>
      <c r="CU958" s="52"/>
      <c r="CV958" s="52"/>
      <c r="CW958" s="52"/>
      <c r="CX958" s="52"/>
      <c r="CY958" s="52"/>
      <c r="CZ958" s="52"/>
      <c r="DA958" s="52"/>
      <c r="DB958" s="52"/>
      <c r="DC958" s="52"/>
      <c r="DD958" s="52"/>
      <c r="DE958" s="52"/>
      <c r="DF958" s="52"/>
      <c r="DG958" s="52"/>
      <c r="DH958" s="52"/>
      <c r="DI958" s="52"/>
      <c r="DJ958" s="52"/>
      <c r="DK958" s="52"/>
      <c r="DL958" s="52"/>
      <c r="DM958" s="52"/>
      <c r="DN958" s="52"/>
      <c r="DO958" s="52"/>
      <c r="DP958" s="52"/>
      <c r="DQ958" s="52"/>
      <c r="DR958" s="52"/>
      <c r="DS958" s="52"/>
      <c r="DT958" s="52"/>
      <c r="DU958" s="52"/>
      <c r="DV958" s="52"/>
      <c r="DW958" s="52"/>
      <c r="DX958" s="52"/>
      <c r="DZ958"/>
      <c r="EA958" s="19"/>
      <c r="EB958" s="19"/>
      <c r="EC958" s="9"/>
      <c r="ED958" s="9"/>
      <c r="EE958" s="9"/>
      <c r="EF958" s="9"/>
      <c r="EG958" s="9"/>
      <c r="EH958" s="13"/>
      <c r="EI958" s="13"/>
      <c r="EJ958" s="13"/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/>
      <c r="FA958" s="13"/>
      <c r="FB958" s="13"/>
      <c r="FC958" s="13"/>
      <c r="FD958" s="13"/>
      <c r="FE958" s="13"/>
      <c r="FF958" s="13"/>
      <c r="FG958" s="13"/>
      <c r="FH958" s="13"/>
      <c r="FI958" s="13"/>
      <c r="FJ958" s="13"/>
      <c r="FK958" s="13"/>
      <c r="FL958" s="13"/>
      <c r="FM958" s="13"/>
      <c r="FN958" s="13"/>
      <c r="FO958" s="13"/>
      <c r="FP958" s="13"/>
      <c r="FQ958" s="13"/>
      <c r="FR958" s="13"/>
      <c r="FS958" s="13"/>
      <c r="FT958" s="13"/>
      <c r="FU958" s="13"/>
      <c r="FV958" s="13"/>
      <c r="FW958" s="13"/>
      <c r="FX958" s="13"/>
      <c r="FY958" s="13"/>
      <c r="FZ958" s="13"/>
      <c r="GA958" s="13"/>
    </row>
    <row r="959" spans="1:183" s="43" customFormat="1" x14ac:dyDescent="0.25">
      <c r="A959" s="2"/>
      <c r="B959" s="2"/>
      <c r="C959" s="9">
        <v>15</v>
      </c>
      <c r="D959" s="9">
        <v>33</v>
      </c>
      <c r="E959" s="9">
        <v>43</v>
      </c>
      <c r="F959" s="9">
        <v>63</v>
      </c>
      <c r="G959" s="9">
        <v>80</v>
      </c>
      <c r="H959" s="9">
        <v>90</v>
      </c>
      <c r="J959" s="9">
        <v>90</v>
      </c>
      <c r="L959" s="39">
        <v>44471</v>
      </c>
      <c r="N959"/>
      <c r="O959"/>
      <c r="P959"/>
      <c r="Q959"/>
      <c r="R959"/>
      <c r="S959"/>
      <c r="T959"/>
      <c r="U959"/>
      <c r="V959"/>
      <c r="W959" s="52"/>
      <c r="Y959"/>
      <c r="Z959"/>
      <c r="AA959"/>
      <c r="AB959"/>
      <c r="AC959"/>
      <c r="AD959"/>
      <c r="AE959"/>
      <c r="AF959"/>
      <c r="AG959"/>
      <c r="AH959" s="52"/>
      <c r="AI959" s="148"/>
      <c r="AJ959" s="19"/>
      <c r="AK959" s="19"/>
      <c r="AL959" s="19"/>
      <c r="AM959" s="19"/>
      <c r="AN959" s="42"/>
      <c r="AO959" s="54"/>
      <c r="AP959" s="19"/>
      <c r="AQ959" s="1"/>
      <c r="AR959" s="74"/>
      <c r="AS959" s="42"/>
      <c r="AT959" s="54"/>
      <c r="AU959" s="54"/>
      <c r="AV959" s="19"/>
      <c r="AW959" s="54"/>
      <c r="AX959" s="57"/>
      <c r="AY959" s="54"/>
      <c r="AZ959" s="54"/>
      <c r="BA959" s="54"/>
      <c r="BB959" s="54"/>
      <c r="BC959" s="57"/>
      <c r="BD959" s="19"/>
      <c r="BE959" s="19"/>
      <c r="BF959" s="19"/>
      <c r="BG959" s="54"/>
      <c r="BI959" s="54"/>
      <c r="BJ959" s="55"/>
      <c r="BK959" s="55"/>
      <c r="BL959" s="54"/>
      <c r="BM959" s="56"/>
      <c r="BN959" s="56"/>
      <c r="BO959" s="52"/>
      <c r="BP959" s="52"/>
      <c r="BQ959" s="52"/>
      <c r="BR959" s="52"/>
      <c r="BS959" s="52"/>
      <c r="BT959" s="52"/>
      <c r="BU959" s="52"/>
      <c r="BV959" s="52"/>
      <c r="BW959" s="52"/>
      <c r="BX959" s="52"/>
      <c r="BY959" s="52"/>
      <c r="BZ959" s="52"/>
      <c r="CA959" s="52"/>
      <c r="CB959" s="52"/>
      <c r="CC959" s="52"/>
      <c r="CD959" s="52"/>
      <c r="CE959" s="52"/>
      <c r="CF959" s="52"/>
      <c r="CG959" s="52"/>
      <c r="CH959" s="52"/>
      <c r="CI959" s="52"/>
      <c r="CJ959" s="52"/>
      <c r="CK959" s="52"/>
      <c r="CL959" s="52"/>
      <c r="CM959" s="52"/>
      <c r="CN959" s="52"/>
      <c r="CO959" s="52"/>
      <c r="CP959" s="52"/>
      <c r="CQ959" s="52"/>
      <c r="CR959" s="52"/>
      <c r="CS959" s="52"/>
      <c r="CT959" s="52"/>
      <c r="CU959" s="52"/>
      <c r="CV959" s="52"/>
      <c r="CW959" s="52"/>
      <c r="CX959" s="52"/>
      <c r="CY959" s="52"/>
      <c r="CZ959" s="52"/>
      <c r="DA959" s="52"/>
      <c r="DB959" s="52"/>
      <c r="DC959" s="52"/>
      <c r="DD959" s="52"/>
      <c r="DE959" s="52"/>
      <c r="DF959" s="52"/>
      <c r="DG959" s="52"/>
      <c r="DH959" s="52"/>
      <c r="DI959" s="52"/>
      <c r="DJ959" s="52"/>
      <c r="DK959" s="52"/>
      <c r="DL959" s="52"/>
      <c r="DM959" s="52"/>
      <c r="DN959" s="52"/>
      <c r="DO959" s="52"/>
      <c r="DP959" s="52"/>
      <c r="DQ959" s="52"/>
      <c r="DR959" s="52"/>
      <c r="DS959" s="52"/>
      <c r="DT959" s="52"/>
      <c r="DU959" s="52"/>
      <c r="DV959" s="52"/>
      <c r="DW959" s="52"/>
      <c r="DX959" s="52"/>
      <c r="DZ959"/>
      <c r="EA959" s="19"/>
      <c r="EB959" s="19"/>
      <c r="EC959" s="9"/>
      <c r="ED959" s="9"/>
      <c r="EE959" s="9"/>
      <c r="EF959" s="9"/>
      <c r="EG959" s="9"/>
      <c r="EH959" s="13"/>
      <c r="EI959" s="13"/>
      <c r="EJ959" s="13"/>
      <c r="EK959" s="13"/>
      <c r="EL959" s="13"/>
      <c r="EM959" s="13"/>
      <c r="EN959" s="13"/>
      <c r="EO959" s="13"/>
      <c r="EP959" s="13"/>
      <c r="EQ959" s="13"/>
      <c r="ER959" s="13"/>
      <c r="ES959" s="13"/>
      <c r="ET959" s="13"/>
      <c r="EU959" s="13"/>
      <c r="EV959" s="13"/>
      <c r="EW959" s="13"/>
      <c r="EX959" s="13"/>
      <c r="EY959" s="13"/>
      <c r="EZ959" s="13"/>
      <c r="FA959" s="13"/>
      <c r="FB959" s="13"/>
      <c r="FC959" s="13"/>
      <c r="FD959" s="13"/>
      <c r="FE959" s="13"/>
      <c r="FF959" s="13"/>
      <c r="FG959" s="13"/>
      <c r="FH959" s="13"/>
      <c r="FI959" s="13"/>
      <c r="FJ959" s="13"/>
      <c r="FK959" s="13"/>
      <c r="FL959" s="13"/>
      <c r="FM959" s="13"/>
      <c r="FN959" s="13"/>
      <c r="FO959" s="13"/>
      <c r="FP959" s="13"/>
      <c r="FQ959" s="13"/>
      <c r="FR959" s="13"/>
      <c r="FS959" s="13"/>
      <c r="FT959" s="13"/>
      <c r="FU959" s="13"/>
      <c r="FV959" s="13"/>
      <c r="FW959" s="13"/>
      <c r="FX959" s="13"/>
      <c r="FY959" s="13"/>
      <c r="FZ959" s="13"/>
      <c r="GA959" s="13"/>
    </row>
    <row r="960" spans="1:183" s="43" customFormat="1" x14ac:dyDescent="0.25">
      <c r="A960" s="2"/>
      <c r="B960" s="2"/>
      <c r="C960" s="9">
        <v>11</v>
      </c>
      <c r="D960" s="9">
        <v>14</v>
      </c>
      <c r="E960" s="9">
        <v>24</v>
      </c>
      <c r="F960" s="9">
        <v>47</v>
      </c>
      <c r="G960" s="9">
        <v>67</v>
      </c>
      <c r="H960" s="9">
        <v>84</v>
      </c>
      <c r="J960" s="9">
        <v>84</v>
      </c>
      <c r="L960" s="39">
        <v>44468</v>
      </c>
      <c r="N960"/>
      <c r="O960"/>
      <c r="P960"/>
      <c r="Q960"/>
      <c r="R960"/>
      <c r="S960"/>
      <c r="T960"/>
      <c r="U960"/>
      <c r="V960"/>
      <c r="W960" s="52"/>
      <c r="Y960"/>
      <c r="Z960"/>
      <c r="AA960"/>
      <c r="AB960"/>
      <c r="AC960"/>
      <c r="AD960"/>
      <c r="AE960"/>
      <c r="AF960"/>
      <c r="AG960"/>
      <c r="AH960" s="52"/>
      <c r="AI960" s="148"/>
      <c r="AJ960" s="19"/>
      <c r="AK960" s="19"/>
      <c r="AL960" s="19"/>
      <c r="AM960" s="19"/>
      <c r="AN960" s="42"/>
      <c r="AO960" s="54"/>
      <c r="AP960" s="19"/>
      <c r="AQ960" s="1"/>
      <c r="AR960" s="74"/>
      <c r="AS960" s="42"/>
      <c r="AT960" s="54"/>
      <c r="AU960" s="54"/>
      <c r="AV960" s="19"/>
      <c r="AW960" s="54"/>
      <c r="AX960" s="57"/>
      <c r="AY960" s="54"/>
      <c r="AZ960" s="54"/>
      <c r="BA960" s="54"/>
      <c r="BB960" s="54"/>
      <c r="BC960" s="57"/>
      <c r="BD960" s="19"/>
      <c r="BE960" s="19"/>
      <c r="BF960" s="19"/>
      <c r="BG960" s="54"/>
      <c r="BI960" s="54"/>
      <c r="BJ960" s="55"/>
      <c r="BK960" s="55"/>
      <c r="BL960" s="54"/>
      <c r="BM960" s="56"/>
      <c r="BN960" s="56"/>
      <c r="BO960" s="52"/>
      <c r="BP960" s="52"/>
      <c r="BQ960" s="52"/>
      <c r="BR960" s="52"/>
      <c r="BS960" s="52"/>
      <c r="BT960" s="52"/>
      <c r="BU960" s="52"/>
      <c r="BV960" s="52"/>
      <c r="BW960" s="52"/>
      <c r="BX960" s="52"/>
      <c r="BY960" s="52"/>
      <c r="BZ960" s="52"/>
      <c r="CA960" s="52"/>
      <c r="CB960" s="52"/>
      <c r="CC960" s="52"/>
      <c r="CD960" s="52"/>
      <c r="CE960" s="52"/>
      <c r="CF960" s="52"/>
      <c r="CG960" s="52"/>
      <c r="CH960" s="52"/>
      <c r="CI960" s="52"/>
      <c r="CJ960" s="52"/>
      <c r="CK960" s="52"/>
      <c r="CL960" s="52"/>
      <c r="CM960" s="52"/>
      <c r="CN960" s="52"/>
      <c r="CO960" s="52"/>
      <c r="CP960" s="52"/>
      <c r="CQ960" s="52"/>
      <c r="CR960" s="52"/>
      <c r="CS960" s="52"/>
      <c r="CT960" s="52"/>
      <c r="CU960" s="52"/>
      <c r="CV960" s="52"/>
      <c r="CW960" s="52"/>
      <c r="CX960" s="52"/>
      <c r="CY960" s="52"/>
      <c r="CZ960" s="52"/>
      <c r="DA960" s="52"/>
      <c r="DB960" s="52"/>
      <c r="DC960" s="52"/>
      <c r="DD960" s="52"/>
      <c r="DE960" s="52"/>
      <c r="DF960" s="52"/>
      <c r="DG960" s="52"/>
      <c r="DH960" s="52"/>
      <c r="DI960" s="52"/>
      <c r="DJ960" s="52"/>
      <c r="DK960" s="52"/>
      <c r="DL960" s="52"/>
      <c r="DM960" s="52"/>
      <c r="DN960" s="52"/>
      <c r="DO960" s="52"/>
      <c r="DP960" s="52"/>
      <c r="DQ960" s="52"/>
      <c r="DR960" s="52"/>
      <c r="DS960" s="52"/>
      <c r="DT960" s="52"/>
      <c r="DU960" s="52"/>
      <c r="DV960" s="52"/>
      <c r="DW960" s="52"/>
      <c r="DX960" s="52"/>
      <c r="DZ960"/>
      <c r="EA960" s="19"/>
      <c r="EB960" s="19"/>
      <c r="EC960" s="9"/>
      <c r="ED960" s="9"/>
      <c r="EE960" s="9"/>
      <c r="EF960" s="9"/>
      <c r="EG960" s="9"/>
      <c r="EH960" s="13"/>
      <c r="EI960" s="13"/>
      <c r="EJ960" s="13"/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13"/>
      <c r="EX960" s="13"/>
      <c r="EY960" s="13"/>
      <c r="EZ960" s="13"/>
      <c r="FA960" s="13"/>
      <c r="FB960" s="13"/>
      <c r="FC960" s="13"/>
      <c r="FD960" s="13"/>
      <c r="FE960" s="13"/>
      <c r="FF960" s="13"/>
      <c r="FG960" s="13"/>
      <c r="FH960" s="13"/>
      <c r="FI960" s="13"/>
      <c r="FJ960" s="13"/>
      <c r="FK960" s="13"/>
      <c r="FL960" s="13"/>
      <c r="FM960" s="13"/>
      <c r="FN960" s="13"/>
      <c r="FO960" s="13"/>
      <c r="FP960" s="13"/>
      <c r="FQ960" s="13"/>
      <c r="FR960" s="13"/>
      <c r="FS960" s="13"/>
      <c r="FT960" s="13"/>
      <c r="FU960" s="13"/>
      <c r="FV960" s="13"/>
      <c r="FW960" s="13"/>
      <c r="FX960" s="13"/>
      <c r="FY960" s="13"/>
      <c r="FZ960" s="13"/>
      <c r="GA960" s="13"/>
    </row>
    <row r="961" spans="1:183" s="43" customFormat="1" x14ac:dyDescent="0.25">
      <c r="A961" s="2"/>
      <c r="B961" s="2"/>
      <c r="C961" s="9">
        <v>29</v>
      </c>
      <c r="D961" s="9">
        <v>32</v>
      </c>
      <c r="E961" s="9">
        <v>50</v>
      </c>
      <c r="F961" s="9">
        <v>61</v>
      </c>
      <c r="G961" s="9">
        <v>80</v>
      </c>
      <c r="H961" s="9">
        <v>84</v>
      </c>
      <c r="J961" s="9">
        <v>84</v>
      </c>
      <c r="L961" s="39">
        <v>44435</v>
      </c>
      <c r="N961"/>
      <c r="O961"/>
      <c r="P961"/>
      <c r="Q961"/>
      <c r="R961"/>
      <c r="S961"/>
      <c r="T961"/>
      <c r="U961"/>
      <c r="V961"/>
      <c r="W961" s="52"/>
      <c r="Y961"/>
      <c r="Z961"/>
      <c r="AA961"/>
      <c r="AB961"/>
      <c r="AC961"/>
      <c r="AD961"/>
      <c r="AE961"/>
      <c r="AF961"/>
      <c r="AG961"/>
      <c r="AH961" s="52"/>
      <c r="AI961" s="148"/>
      <c r="AJ961" s="19"/>
      <c r="AK961" s="19"/>
      <c r="AL961" s="19"/>
      <c r="AM961" s="19"/>
      <c r="AN961" s="42"/>
      <c r="AO961" s="54"/>
      <c r="AP961" s="19"/>
      <c r="AQ961" s="1"/>
      <c r="AR961" s="74"/>
      <c r="AS961" s="42"/>
      <c r="AT961" s="54"/>
      <c r="AU961" s="54"/>
      <c r="AV961" s="19"/>
      <c r="AW961" s="54"/>
      <c r="AX961" s="57"/>
      <c r="AY961" s="54"/>
      <c r="AZ961" s="54"/>
      <c r="BA961" s="54"/>
      <c r="BB961" s="54"/>
      <c r="BC961" s="57"/>
      <c r="BD961" s="19"/>
      <c r="BE961" s="19"/>
      <c r="BF961" s="19"/>
      <c r="BG961" s="54"/>
      <c r="BI961" s="54"/>
      <c r="BJ961" s="55"/>
      <c r="BK961" s="55"/>
      <c r="BL961" s="54"/>
      <c r="BM961" s="56"/>
      <c r="BN961" s="56"/>
      <c r="BO961" s="52"/>
      <c r="BP961" s="52"/>
      <c r="BQ961" s="52"/>
      <c r="BR961" s="52"/>
      <c r="BS961" s="52"/>
      <c r="BT961" s="52"/>
      <c r="BU961" s="52"/>
      <c r="BV961" s="52"/>
      <c r="BW961" s="52"/>
      <c r="BX961" s="52"/>
      <c r="BY961" s="52"/>
      <c r="BZ961" s="52"/>
      <c r="CA961" s="52"/>
      <c r="CB961" s="52"/>
      <c r="CC961" s="52"/>
      <c r="CD961" s="52"/>
      <c r="CE961" s="52"/>
      <c r="CF961" s="52"/>
      <c r="CG961" s="52"/>
      <c r="CH961" s="52"/>
      <c r="CI961" s="52"/>
      <c r="CJ961" s="52"/>
      <c r="CK961" s="52"/>
      <c r="CL961" s="52"/>
      <c r="CM961" s="52"/>
      <c r="CN961" s="52"/>
      <c r="CO961" s="52"/>
      <c r="CP961" s="52"/>
      <c r="CQ961" s="52"/>
      <c r="CR961" s="52"/>
      <c r="CS961" s="52"/>
      <c r="CT961" s="52"/>
      <c r="CU961" s="52"/>
      <c r="CV961" s="52"/>
      <c r="CW961" s="52"/>
      <c r="CX961" s="52"/>
      <c r="CY961" s="52"/>
      <c r="CZ961" s="52"/>
      <c r="DA961" s="52"/>
      <c r="DB961" s="52"/>
      <c r="DC961" s="52"/>
      <c r="DD961" s="52"/>
      <c r="DE961" s="52"/>
      <c r="DF961" s="52"/>
      <c r="DG961" s="52"/>
      <c r="DH961" s="52"/>
      <c r="DI961" s="52"/>
      <c r="DJ961" s="52"/>
      <c r="DK961" s="52"/>
      <c r="DL961" s="52"/>
      <c r="DM961" s="52"/>
      <c r="DN961" s="52"/>
      <c r="DO961" s="52"/>
      <c r="DP961" s="52"/>
      <c r="DQ961" s="52"/>
      <c r="DR961" s="52"/>
      <c r="DS961" s="52"/>
      <c r="DT961" s="52"/>
      <c r="DU961" s="52"/>
      <c r="DV961" s="52"/>
      <c r="DW961" s="52"/>
      <c r="DX961" s="52"/>
      <c r="DZ961"/>
      <c r="EA961" s="19"/>
      <c r="EB961" s="19"/>
      <c r="EC961" s="9"/>
      <c r="ED961" s="9"/>
      <c r="EE961" s="9"/>
      <c r="EF961" s="9"/>
      <c r="EG961" s="9"/>
      <c r="EH961" s="13"/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3"/>
      <c r="FB961" s="13"/>
      <c r="FC961" s="13"/>
      <c r="FD961" s="13"/>
      <c r="FE961" s="13"/>
      <c r="FF961" s="13"/>
      <c r="FG961" s="13"/>
      <c r="FH961" s="13"/>
      <c r="FI961" s="13"/>
      <c r="FJ961" s="13"/>
      <c r="FK961" s="13"/>
      <c r="FL961" s="13"/>
      <c r="FM961" s="13"/>
      <c r="FN961" s="13"/>
      <c r="FO961" s="13"/>
      <c r="FP961" s="13"/>
      <c r="FQ961" s="13"/>
      <c r="FR961" s="13"/>
      <c r="FS961" s="13"/>
      <c r="FT961" s="13"/>
      <c r="FU961" s="13"/>
      <c r="FV961" s="13"/>
      <c r="FW961" s="13"/>
      <c r="FX961" s="13"/>
      <c r="FY961" s="13"/>
      <c r="FZ961" s="13"/>
      <c r="GA961" s="13"/>
    </row>
    <row r="962" spans="1:183" s="43" customFormat="1" x14ac:dyDescent="0.25">
      <c r="A962" s="2"/>
      <c r="B962" s="2"/>
      <c r="C962" s="9">
        <v>4</v>
      </c>
      <c r="D962" s="9">
        <v>22</v>
      </c>
      <c r="E962" s="9">
        <v>24</v>
      </c>
      <c r="F962" s="9">
        <v>27</v>
      </c>
      <c r="G962" s="9">
        <v>72</v>
      </c>
      <c r="H962" s="9">
        <v>77</v>
      </c>
      <c r="J962" s="9">
        <v>77</v>
      </c>
      <c r="L962" s="39">
        <v>44464</v>
      </c>
      <c r="N962"/>
      <c r="O962"/>
      <c r="P962"/>
      <c r="Q962"/>
      <c r="R962"/>
      <c r="S962"/>
      <c r="T962"/>
      <c r="U962"/>
      <c r="V962"/>
      <c r="W962" s="52"/>
      <c r="Y962"/>
      <c r="Z962"/>
      <c r="AA962"/>
      <c r="AB962"/>
      <c r="AC962"/>
      <c r="AD962"/>
      <c r="AE962"/>
      <c r="AF962"/>
      <c r="AG962"/>
      <c r="AH962" s="52"/>
      <c r="AI962" s="148"/>
      <c r="AJ962" s="19"/>
      <c r="AK962" s="19"/>
      <c r="AL962" s="19"/>
      <c r="AM962" s="19"/>
      <c r="AN962" s="42"/>
      <c r="AO962" s="54"/>
      <c r="AP962" s="19"/>
      <c r="AQ962" s="1"/>
      <c r="AR962" s="74"/>
      <c r="AS962" s="42"/>
      <c r="AT962" s="54"/>
      <c r="AU962" s="54"/>
      <c r="AV962" s="19"/>
      <c r="AW962" s="54"/>
      <c r="AX962" s="57"/>
      <c r="AY962" s="54"/>
      <c r="AZ962" s="54"/>
      <c r="BA962" s="54"/>
      <c r="BB962" s="54"/>
      <c r="BC962" s="57"/>
      <c r="BD962" s="19"/>
      <c r="BE962" s="19"/>
      <c r="BF962" s="19"/>
      <c r="BG962" s="54"/>
      <c r="BI962" s="54"/>
      <c r="BJ962" s="55"/>
      <c r="BK962" s="55"/>
      <c r="BL962" s="54"/>
      <c r="BM962" s="56"/>
      <c r="BN962" s="56"/>
      <c r="BO962" s="52"/>
      <c r="BP962" s="52"/>
      <c r="BQ962" s="52"/>
      <c r="BR962" s="52"/>
      <c r="BS962" s="52"/>
      <c r="BT962" s="52"/>
      <c r="BU962" s="52"/>
      <c r="BV962" s="52"/>
      <c r="BW962" s="52"/>
      <c r="BX962" s="52"/>
      <c r="BY962" s="52"/>
      <c r="BZ962" s="52"/>
      <c r="CA962" s="52"/>
      <c r="CB962" s="52"/>
      <c r="CC962" s="52"/>
      <c r="CD962" s="52"/>
      <c r="CE962" s="52"/>
      <c r="CF962" s="52"/>
      <c r="CG962" s="52"/>
      <c r="CH962" s="52"/>
      <c r="CI962" s="52"/>
      <c r="CJ962" s="52"/>
      <c r="CK962" s="52"/>
      <c r="CL962" s="52"/>
      <c r="CM962" s="52"/>
      <c r="CN962" s="52"/>
      <c r="CO962" s="52"/>
      <c r="CP962" s="52"/>
      <c r="CQ962" s="52"/>
      <c r="CR962" s="52"/>
      <c r="CS962" s="52"/>
      <c r="CT962" s="52"/>
      <c r="CU962" s="52"/>
      <c r="CV962" s="52"/>
      <c r="CW962" s="52"/>
      <c r="CX962" s="52"/>
      <c r="CY962" s="52"/>
      <c r="CZ962" s="52"/>
      <c r="DA962" s="52"/>
      <c r="DB962" s="52"/>
      <c r="DC962" s="52"/>
      <c r="DD962" s="52"/>
      <c r="DE962" s="52"/>
      <c r="DF962" s="52"/>
      <c r="DG962" s="52"/>
      <c r="DH962" s="52"/>
      <c r="DI962" s="52"/>
      <c r="DJ962" s="52"/>
      <c r="DK962" s="52"/>
      <c r="DL962" s="52"/>
      <c r="DM962" s="52"/>
      <c r="DN962" s="52"/>
      <c r="DO962" s="52"/>
      <c r="DP962" s="52"/>
      <c r="DQ962" s="52"/>
      <c r="DR962" s="52"/>
      <c r="DS962" s="52"/>
      <c r="DT962" s="52"/>
      <c r="DU962" s="52"/>
      <c r="DV962" s="52"/>
      <c r="DW962" s="52"/>
      <c r="DX962" s="52"/>
      <c r="DZ962"/>
      <c r="EA962" s="19"/>
      <c r="EB962" s="19"/>
      <c r="EC962" s="9"/>
      <c r="ED962" s="9"/>
      <c r="EE962" s="9"/>
      <c r="EF962" s="9"/>
      <c r="EG962" s="9"/>
      <c r="EH962" s="13"/>
      <c r="EI962" s="13"/>
      <c r="EJ962" s="13"/>
      <c r="EK962" s="13"/>
      <c r="EL962" s="13"/>
      <c r="EM962" s="13"/>
      <c r="EN962" s="13"/>
      <c r="EO962" s="13"/>
      <c r="EP962" s="13"/>
      <c r="EQ962" s="13"/>
      <c r="ER962" s="13"/>
      <c r="ES962" s="13"/>
      <c r="ET962" s="13"/>
      <c r="EU962" s="13"/>
      <c r="EV962" s="13"/>
      <c r="EW962" s="13"/>
      <c r="EX962" s="13"/>
      <c r="EY962" s="13"/>
      <c r="EZ962" s="13"/>
      <c r="FA962" s="13"/>
      <c r="FB962" s="13"/>
      <c r="FC962" s="13"/>
      <c r="FD962" s="13"/>
      <c r="FE962" s="13"/>
      <c r="FF962" s="13"/>
      <c r="FG962" s="13"/>
      <c r="FH962" s="13"/>
      <c r="FI962" s="13"/>
      <c r="FJ962" s="13"/>
      <c r="FK962" s="13"/>
      <c r="FL962" s="13"/>
      <c r="FM962" s="13"/>
      <c r="FN962" s="13"/>
      <c r="FO962" s="13"/>
      <c r="FP962" s="13"/>
      <c r="FQ962" s="13"/>
      <c r="FR962" s="13"/>
      <c r="FS962" s="13"/>
      <c r="FT962" s="13"/>
      <c r="FU962" s="13"/>
      <c r="FV962" s="13"/>
      <c r="FW962" s="13"/>
      <c r="FX962" s="13"/>
      <c r="FY962" s="13"/>
      <c r="FZ962" s="13"/>
      <c r="GA962" s="13"/>
    </row>
    <row r="963" spans="1:183" s="43" customFormat="1" x14ac:dyDescent="0.25">
      <c r="A963" s="2"/>
      <c r="B963" s="2"/>
      <c r="C963" s="9">
        <v>11</v>
      </c>
      <c r="D963" s="9">
        <v>13</v>
      </c>
      <c r="E963" s="9">
        <v>37</v>
      </c>
      <c r="F963" s="9">
        <v>42</v>
      </c>
      <c r="G963" s="9">
        <v>59</v>
      </c>
      <c r="H963" s="9">
        <v>82</v>
      </c>
      <c r="J963" s="9">
        <v>82</v>
      </c>
      <c r="L963" s="39">
        <v>44461</v>
      </c>
      <c r="N963"/>
      <c r="O963"/>
      <c r="P963"/>
      <c r="Q963"/>
      <c r="R963"/>
      <c r="S963"/>
      <c r="T963"/>
      <c r="U963"/>
      <c r="V963"/>
      <c r="W963" s="52"/>
      <c r="Y963"/>
      <c r="Z963"/>
      <c r="AA963"/>
      <c r="AB963"/>
      <c r="AC963"/>
      <c r="AD963"/>
      <c r="AE963"/>
      <c r="AF963"/>
      <c r="AG963"/>
      <c r="AH963" s="52"/>
      <c r="AI963" s="148"/>
      <c r="AJ963" s="19"/>
      <c r="AK963" s="19"/>
      <c r="AL963" s="19"/>
      <c r="AM963" s="19"/>
      <c r="AN963" s="42"/>
      <c r="AO963" s="54"/>
      <c r="AP963" s="19"/>
      <c r="AQ963" s="1"/>
      <c r="AR963" s="74"/>
      <c r="AS963" s="42"/>
      <c r="AT963" s="54"/>
      <c r="AU963" s="54"/>
      <c r="AV963" s="19"/>
      <c r="AW963" s="54"/>
      <c r="AX963" s="57"/>
      <c r="AY963" s="54"/>
      <c r="AZ963" s="54"/>
      <c r="BA963" s="54"/>
      <c r="BB963" s="54"/>
      <c r="BC963" s="57"/>
      <c r="BD963" s="19"/>
      <c r="BE963" s="19"/>
      <c r="BF963" s="19"/>
      <c r="BG963" s="54"/>
      <c r="BI963" s="54"/>
      <c r="BJ963" s="55"/>
      <c r="BK963" s="55"/>
      <c r="BL963" s="54"/>
      <c r="BM963" s="56"/>
      <c r="BN963" s="56"/>
      <c r="BO963" s="52"/>
      <c r="BP963" s="52"/>
      <c r="BQ963" s="52"/>
      <c r="BR963" s="52"/>
      <c r="BS963" s="52"/>
      <c r="BT963" s="52"/>
      <c r="BU963" s="52"/>
      <c r="BV963" s="52"/>
      <c r="BW963" s="52"/>
      <c r="BX963" s="52"/>
      <c r="BY963" s="52"/>
      <c r="BZ963" s="52"/>
      <c r="CA963" s="52"/>
      <c r="CB963" s="52"/>
      <c r="CC963" s="52"/>
      <c r="CD963" s="52"/>
      <c r="CE963" s="52"/>
      <c r="CF963" s="52"/>
      <c r="CG963" s="52"/>
      <c r="CH963" s="52"/>
      <c r="CI963" s="52"/>
      <c r="CJ963" s="52"/>
      <c r="CK963" s="52"/>
      <c r="CL963" s="52"/>
      <c r="CM963" s="52"/>
      <c r="CN963" s="52"/>
      <c r="CO963" s="52"/>
      <c r="CP963" s="52"/>
      <c r="CQ963" s="52"/>
      <c r="CR963" s="52"/>
      <c r="CS963" s="52"/>
      <c r="CT963" s="52"/>
      <c r="CU963" s="52"/>
      <c r="CV963" s="52"/>
      <c r="CW963" s="52"/>
      <c r="CX963" s="52"/>
      <c r="CY963" s="52"/>
      <c r="CZ963" s="52"/>
      <c r="DA963" s="52"/>
      <c r="DB963" s="52"/>
      <c r="DC963" s="52"/>
      <c r="DD963" s="52"/>
      <c r="DE963" s="52"/>
      <c r="DF963" s="52"/>
      <c r="DG963" s="52"/>
      <c r="DH963" s="52"/>
      <c r="DI963" s="52"/>
      <c r="DJ963" s="52"/>
      <c r="DK963" s="52"/>
      <c r="DL963" s="52"/>
      <c r="DM963" s="52"/>
      <c r="DN963" s="52"/>
      <c r="DO963" s="52"/>
      <c r="DP963" s="52"/>
      <c r="DQ963" s="52"/>
      <c r="DR963" s="52"/>
      <c r="DS963" s="52"/>
      <c r="DT963" s="52"/>
      <c r="DU963" s="52"/>
      <c r="DV963" s="52"/>
      <c r="DW963" s="52"/>
      <c r="DX963" s="52"/>
      <c r="DZ963"/>
      <c r="EA963" s="19"/>
      <c r="EB963" s="19"/>
      <c r="EC963" s="9"/>
      <c r="ED963" s="9"/>
      <c r="EE963" s="9"/>
      <c r="EF963" s="9"/>
      <c r="EG963" s="9"/>
      <c r="EH963" s="13"/>
      <c r="EI963" s="13"/>
      <c r="EJ963" s="13"/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13"/>
      <c r="EX963" s="13"/>
      <c r="EY963" s="13"/>
      <c r="EZ963" s="13"/>
      <c r="FA963" s="13"/>
      <c r="FB963" s="13"/>
      <c r="FC963" s="13"/>
      <c r="FD963" s="13"/>
      <c r="FE963" s="13"/>
      <c r="FF963" s="13"/>
      <c r="FG963" s="13"/>
      <c r="FH963" s="13"/>
      <c r="FI963" s="13"/>
      <c r="FJ963" s="13"/>
      <c r="FK963" s="13"/>
      <c r="FL963" s="13"/>
      <c r="FM963" s="13"/>
      <c r="FN963" s="13"/>
      <c r="FO963" s="13"/>
      <c r="FP963" s="13"/>
      <c r="FQ963" s="13"/>
      <c r="FR963" s="13"/>
      <c r="FS963" s="13"/>
      <c r="FT963" s="13"/>
      <c r="FU963" s="13"/>
      <c r="FV963" s="13"/>
      <c r="FW963" s="13"/>
      <c r="FX963" s="13"/>
      <c r="FY963" s="13"/>
      <c r="FZ963" s="13"/>
      <c r="GA963" s="13"/>
    </row>
    <row r="964" spans="1:183" s="43" customFormat="1" x14ac:dyDescent="0.25">
      <c r="A964" s="2"/>
      <c r="B964" s="2"/>
      <c r="C964" s="9">
        <v>1</v>
      </c>
      <c r="D964" s="9">
        <v>12</v>
      </c>
      <c r="E964" s="9">
        <v>15</v>
      </c>
      <c r="F964" s="9">
        <v>16</v>
      </c>
      <c r="G964" s="9">
        <v>20</v>
      </c>
      <c r="H964" s="9">
        <v>70</v>
      </c>
      <c r="J964" s="9">
        <v>70</v>
      </c>
      <c r="L964" s="39">
        <v>44459</v>
      </c>
      <c r="N964"/>
      <c r="O964"/>
      <c r="P964"/>
      <c r="Q964"/>
      <c r="R964"/>
      <c r="S964"/>
      <c r="T964"/>
      <c r="U964"/>
      <c r="V964"/>
      <c r="W964" s="52"/>
      <c r="Y964"/>
      <c r="Z964"/>
      <c r="AA964"/>
      <c r="AB964"/>
      <c r="AC964"/>
      <c r="AD964"/>
      <c r="AE964"/>
      <c r="AF964"/>
      <c r="AG964"/>
      <c r="AH964" s="52"/>
      <c r="AI964" s="148"/>
      <c r="AJ964" s="19"/>
      <c r="AK964" s="19"/>
      <c r="AL964" s="19"/>
      <c r="AM964" s="19"/>
      <c r="AN964" s="42"/>
      <c r="AO964" s="54"/>
      <c r="AP964" s="19"/>
      <c r="AQ964" s="1"/>
      <c r="AR964" s="74"/>
      <c r="AS964" s="42"/>
      <c r="AT964" s="54"/>
      <c r="AU964" s="54"/>
      <c r="AV964" s="19"/>
      <c r="AW964" s="54"/>
      <c r="AX964" s="57"/>
      <c r="AY964" s="54"/>
      <c r="AZ964" s="54"/>
      <c r="BA964" s="54"/>
      <c r="BB964" s="54"/>
      <c r="BC964" s="57"/>
      <c r="BD964" s="19"/>
      <c r="BE964" s="19"/>
      <c r="BF964" s="19"/>
      <c r="BG964" s="54"/>
      <c r="BI964" s="54"/>
      <c r="BJ964" s="55"/>
      <c r="BK964" s="55"/>
      <c r="BL964" s="54"/>
      <c r="BM964" s="56"/>
      <c r="BN964" s="56"/>
      <c r="BO964" s="52"/>
      <c r="BP964" s="52"/>
      <c r="BQ964" s="52"/>
      <c r="BR964" s="52"/>
      <c r="BS964" s="52"/>
      <c r="BT964" s="52"/>
      <c r="BU964" s="52"/>
      <c r="BV964" s="52"/>
      <c r="BW964" s="52"/>
      <c r="BX964" s="52"/>
      <c r="BY964" s="52"/>
      <c r="BZ964" s="52"/>
      <c r="CA964" s="52"/>
      <c r="CB964" s="52"/>
      <c r="CC964" s="52"/>
      <c r="CD964" s="52"/>
      <c r="CE964" s="52"/>
      <c r="CF964" s="52"/>
      <c r="CG964" s="52"/>
      <c r="CH964" s="52"/>
      <c r="CI964" s="52"/>
      <c r="CJ964" s="52"/>
      <c r="CK964" s="52"/>
      <c r="CL964" s="52"/>
      <c r="CM964" s="52"/>
      <c r="CN964" s="52"/>
      <c r="CO964" s="52"/>
      <c r="CP964" s="52"/>
      <c r="CQ964" s="52"/>
      <c r="CR964" s="52"/>
      <c r="CS964" s="52"/>
      <c r="CT964" s="52"/>
      <c r="CU964" s="52"/>
      <c r="CV964" s="52"/>
      <c r="CW964" s="52"/>
      <c r="CX964" s="52"/>
      <c r="CY964" s="52"/>
      <c r="CZ964" s="52"/>
      <c r="DA964" s="52"/>
      <c r="DB964" s="52"/>
      <c r="DC964" s="52"/>
      <c r="DD964" s="52"/>
      <c r="DE964" s="52"/>
      <c r="DF964" s="52"/>
      <c r="DG964" s="52"/>
      <c r="DH964" s="52"/>
      <c r="DI964" s="52"/>
      <c r="DJ964" s="52"/>
      <c r="DK964" s="52"/>
      <c r="DL964" s="52"/>
      <c r="DM964" s="52"/>
      <c r="DN964" s="52"/>
      <c r="DO964" s="52"/>
      <c r="DP964" s="52"/>
      <c r="DQ964" s="52"/>
      <c r="DR964" s="52"/>
      <c r="DS964" s="52"/>
      <c r="DT964" s="52"/>
      <c r="DU964" s="52"/>
      <c r="DV964" s="52"/>
      <c r="DW964" s="52"/>
      <c r="DX964" s="52"/>
      <c r="DZ964"/>
      <c r="EA964" s="19"/>
      <c r="EB964" s="19"/>
      <c r="EC964" s="9"/>
      <c r="ED964" s="9"/>
      <c r="EE964" s="9"/>
      <c r="EF964" s="9"/>
      <c r="EG964" s="9"/>
      <c r="EH964" s="13"/>
      <c r="EI964" s="13"/>
      <c r="EJ964" s="13"/>
      <c r="EK964" s="13"/>
      <c r="EL964" s="13"/>
      <c r="EM964" s="13"/>
      <c r="EN964" s="13"/>
      <c r="EO964" s="13"/>
      <c r="EP964" s="13"/>
      <c r="EQ964" s="13"/>
      <c r="ER964" s="13"/>
      <c r="ES964" s="13"/>
      <c r="ET964" s="13"/>
      <c r="EU964" s="13"/>
      <c r="EV964" s="13"/>
      <c r="EW964" s="13"/>
      <c r="EX964" s="13"/>
      <c r="EY964" s="13"/>
      <c r="EZ964" s="13"/>
      <c r="FA964" s="13"/>
      <c r="FB964" s="13"/>
      <c r="FC964" s="13"/>
      <c r="FD964" s="13"/>
      <c r="FE964" s="13"/>
      <c r="FF964" s="13"/>
      <c r="FG964" s="13"/>
      <c r="FH964" s="13"/>
      <c r="FI964" s="13"/>
      <c r="FJ964" s="13"/>
      <c r="FK964" s="13"/>
      <c r="FL964" s="13"/>
      <c r="FM964" s="13"/>
      <c r="FN964" s="13"/>
      <c r="FO964" s="13"/>
      <c r="FP964" s="13"/>
      <c r="FQ964" s="13"/>
      <c r="FR964" s="13"/>
      <c r="FS964" s="13"/>
      <c r="FT964" s="13"/>
      <c r="FU964" s="13"/>
      <c r="FV964" s="13"/>
      <c r="FW964" s="13"/>
      <c r="FX964" s="13"/>
      <c r="FY964" s="13"/>
      <c r="FZ964" s="13"/>
      <c r="GA964" s="13"/>
    </row>
    <row r="965" spans="1:183" s="43" customFormat="1" x14ac:dyDescent="0.25">
      <c r="A965" s="2"/>
      <c r="B965" s="2"/>
      <c r="C965" s="9">
        <v>9</v>
      </c>
      <c r="D965" s="9">
        <v>19</v>
      </c>
      <c r="E965" s="9">
        <v>47</v>
      </c>
      <c r="F965" s="9">
        <v>48</v>
      </c>
      <c r="G965" s="9">
        <v>67</v>
      </c>
      <c r="H965" s="9">
        <v>90</v>
      </c>
      <c r="J965" s="9">
        <v>90</v>
      </c>
      <c r="L965" s="39">
        <v>44457</v>
      </c>
      <c r="N965"/>
      <c r="O965"/>
      <c r="P965"/>
      <c r="Q965"/>
      <c r="R965"/>
      <c r="S965"/>
      <c r="T965"/>
      <c r="U965"/>
      <c r="V965"/>
      <c r="W965" s="52"/>
      <c r="Y965"/>
      <c r="Z965"/>
      <c r="AA965"/>
      <c r="AB965"/>
      <c r="AC965"/>
      <c r="AD965"/>
      <c r="AE965"/>
      <c r="AF965"/>
      <c r="AG965"/>
      <c r="AH965" s="52"/>
      <c r="AI965" s="148"/>
      <c r="AJ965" s="19"/>
      <c r="AK965" s="19"/>
      <c r="AL965" s="19"/>
      <c r="AM965" s="19"/>
      <c r="AN965" s="42"/>
      <c r="AO965" s="54"/>
      <c r="AP965" s="19"/>
      <c r="AQ965" s="1"/>
      <c r="AR965" s="74"/>
      <c r="AS965" s="42"/>
      <c r="AT965" s="54"/>
      <c r="AU965" s="54"/>
      <c r="AV965" s="19"/>
      <c r="AW965" s="54"/>
      <c r="AX965" s="57"/>
      <c r="AY965" s="54"/>
      <c r="AZ965" s="54"/>
      <c r="BA965" s="54"/>
      <c r="BB965" s="54"/>
      <c r="BC965" s="57"/>
      <c r="BD965" s="19"/>
      <c r="BE965" s="19"/>
      <c r="BF965" s="19"/>
      <c r="BG965" s="54"/>
      <c r="BI965" s="54"/>
      <c r="BJ965" s="55"/>
      <c r="BK965" s="55"/>
      <c r="BL965" s="54"/>
      <c r="BM965" s="56"/>
      <c r="BN965" s="56"/>
      <c r="BO965" s="52"/>
      <c r="BP965" s="52"/>
      <c r="BQ965" s="52"/>
      <c r="BR965" s="52"/>
      <c r="BS965" s="52"/>
      <c r="BT965" s="52"/>
      <c r="BU965" s="52"/>
      <c r="BV965" s="52"/>
      <c r="BW965" s="52"/>
      <c r="BX965" s="52"/>
      <c r="BY965" s="52"/>
      <c r="BZ965" s="52"/>
      <c r="CA965" s="52"/>
      <c r="CB965" s="52"/>
      <c r="CC965" s="52"/>
      <c r="CD965" s="52"/>
      <c r="CE965" s="52"/>
      <c r="CF965" s="52"/>
      <c r="CG965" s="52"/>
      <c r="CH965" s="52"/>
      <c r="CI965" s="52"/>
      <c r="CJ965" s="52"/>
      <c r="CK965" s="52"/>
      <c r="CL965" s="52"/>
      <c r="CM965" s="52"/>
      <c r="CN965" s="52"/>
      <c r="CO965" s="52"/>
      <c r="CP965" s="52"/>
      <c r="CQ965" s="52"/>
      <c r="CR965" s="52"/>
      <c r="CS965" s="52"/>
      <c r="CT965" s="52"/>
      <c r="CU965" s="52"/>
      <c r="CV965" s="52"/>
      <c r="CW965" s="52"/>
      <c r="CX965" s="52"/>
      <c r="CY965" s="52"/>
      <c r="CZ965" s="52"/>
      <c r="DA965" s="52"/>
      <c r="DB965" s="52"/>
      <c r="DC965" s="52"/>
      <c r="DD965" s="52"/>
      <c r="DE965" s="52"/>
      <c r="DF965" s="52"/>
      <c r="DG965" s="52"/>
      <c r="DH965" s="52"/>
      <c r="DI965" s="52"/>
      <c r="DJ965" s="52"/>
      <c r="DK965" s="52"/>
      <c r="DL965" s="52"/>
      <c r="DM965" s="52"/>
      <c r="DN965" s="52"/>
      <c r="DO965" s="52"/>
      <c r="DP965" s="52"/>
      <c r="DQ965" s="52"/>
      <c r="DR965" s="52"/>
      <c r="DS965" s="52"/>
      <c r="DT965" s="52"/>
      <c r="DU965" s="52"/>
      <c r="DV965" s="52"/>
      <c r="DW965" s="52"/>
      <c r="DX965" s="52"/>
      <c r="DZ965"/>
      <c r="EA965" s="19"/>
      <c r="EB965" s="19"/>
      <c r="EC965" s="9"/>
      <c r="ED965" s="9"/>
      <c r="EE965" s="9"/>
      <c r="EF965" s="9"/>
      <c r="EG965" s="9"/>
      <c r="EH965" s="13"/>
      <c r="EI965" s="13"/>
      <c r="EJ965" s="13"/>
      <c r="EK965" s="13"/>
      <c r="EL965" s="13"/>
      <c r="EM965" s="13"/>
      <c r="EN965" s="13"/>
      <c r="EO965" s="13"/>
      <c r="EP965" s="13"/>
      <c r="EQ965" s="13"/>
      <c r="ER965" s="13"/>
      <c r="ES965" s="13"/>
      <c r="ET965" s="13"/>
      <c r="EU965" s="13"/>
      <c r="EV965" s="13"/>
      <c r="EW965" s="13"/>
      <c r="EX965" s="13"/>
      <c r="EY965" s="13"/>
      <c r="EZ965" s="13"/>
      <c r="FA965" s="13"/>
      <c r="FB965" s="13"/>
      <c r="FC965" s="13"/>
      <c r="FD965" s="13"/>
      <c r="FE965" s="13"/>
      <c r="FF965" s="13"/>
      <c r="FG965" s="13"/>
      <c r="FH965" s="13"/>
      <c r="FI965" s="13"/>
      <c r="FJ965" s="13"/>
      <c r="FK965" s="13"/>
      <c r="FL965" s="13"/>
      <c r="FM965" s="13"/>
      <c r="FN965" s="13"/>
      <c r="FO965" s="13"/>
      <c r="FP965" s="13"/>
      <c r="FQ965" s="13"/>
      <c r="FR965" s="13"/>
      <c r="FS965" s="13"/>
      <c r="FT965" s="13"/>
      <c r="FU965" s="13"/>
      <c r="FV965" s="13"/>
      <c r="FW965" s="13"/>
      <c r="FX965" s="13"/>
      <c r="FY965" s="13"/>
      <c r="FZ965" s="13"/>
      <c r="GA965" s="13"/>
    </row>
    <row r="966" spans="1:183" s="43" customFormat="1" x14ac:dyDescent="0.25">
      <c r="A966" s="2"/>
      <c r="B966" s="2"/>
      <c r="C966" s="9">
        <v>6</v>
      </c>
      <c r="D966" s="9">
        <v>33</v>
      </c>
      <c r="E966" s="9">
        <v>49</v>
      </c>
      <c r="F966" s="9">
        <v>65</v>
      </c>
      <c r="G966" s="9">
        <v>68</v>
      </c>
      <c r="H966" s="9">
        <v>80</v>
      </c>
      <c r="J966" s="9">
        <v>80</v>
      </c>
      <c r="L966" s="39">
        <v>44454</v>
      </c>
      <c r="N966"/>
      <c r="O966"/>
      <c r="P966"/>
      <c r="Q966"/>
      <c r="R966"/>
      <c r="S966"/>
      <c r="T966"/>
      <c r="U966"/>
      <c r="V966"/>
      <c r="W966" s="52"/>
      <c r="Y966"/>
      <c r="Z966"/>
      <c r="AA966"/>
      <c r="AB966"/>
      <c r="AC966"/>
      <c r="AD966"/>
      <c r="AE966"/>
      <c r="AF966"/>
      <c r="AG966"/>
      <c r="AH966" s="52"/>
      <c r="AI966" s="148"/>
      <c r="AJ966" s="19"/>
      <c r="AK966" s="19"/>
      <c r="AL966" s="19"/>
      <c r="AM966" s="19"/>
      <c r="AN966" s="42"/>
      <c r="AO966" s="54"/>
      <c r="AP966" s="19"/>
      <c r="AQ966" s="1"/>
      <c r="AR966" s="74"/>
      <c r="AS966" s="42"/>
      <c r="AT966" s="54"/>
      <c r="AU966" s="54"/>
      <c r="AV966" s="19"/>
      <c r="AW966" s="54"/>
      <c r="AX966" s="57"/>
      <c r="AY966" s="54"/>
      <c r="AZ966" s="54"/>
      <c r="BA966" s="54"/>
      <c r="BB966" s="54"/>
      <c r="BC966" s="57"/>
      <c r="BD966" s="19"/>
      <c r="BE966" s="19"/>
      <c r="BF966" s="19"/>
      <c r="BG966" s="54"/>
      <c r="BI966" s="54"/>
      <c r="BJ966" s="55"/>
      <c r="BK966" s="55"/>
      <c r="BL966" s="54"/>
      <c r="BM966" s="56"/>
      <c r="BN966" s="56"/>
      <c r="BO966" s="52"/>
      <c r="BP966" s="52"/>
      <c r="BQ966" s="52"/>
      <c r="BR966" s="52"/>
      <c r="BS966" s="52"/>
      <c r="BT966" s="52"/>
      <c r="BU966" s="52"/>
      <c r="BV966" s="52"/>
      <c r="BW966" s="52"/>
      <c r="BX966" s="52"/>
      <c r="BY966" s="52"/>
      <c r="BZ966" s="52"/>
      <c r="CA966" s="52"/>
      <c r="CB966" s="52"/>
      <c r="CC966" s="52"/>
      <c r="CD966" s="52"/>
      <c r="CE966" s="52"/>
      <c r="CF966" s="52"/>
      <c r="CG966" s="52"/>
      <c r="CH966" s="52"/>
      <c r="CI966" s="52"/>
      <c r="CJ966" s="52"/>
      <c r="CK966" s="52"/>
      <c r="CL966" s="52"/>
      <c r="CM966" s="52"/>
      <c r="CN966" s="52"/>
      <c r="CO966" s="52"/>
      <c r="CP966" s="52"/>
      <c r="CQ966" s="52"/>
      <c r="CR966" s="52"/>
      <c r="CS966" s="52"/>
      <c r="CT966" s="52"/>
      <c r="CU966" s="52"/>
      <c r="CV966" s="52"/>
      <c r="CW966" s="52"/>
      <c r="CX966" s="52"/>
      <c r="CY966" s="52"/>
      <c r="CZ966" s="52"/>
      <c r="DA966" s="52"/>
      <c r="DB966" s="52"/>
      <c r="DC966" s="52"/>
      <c r="DD966" s="52"/>
      <c r="DE966" s="52"/>
      <c r="DF966" s="52"/>
      <c r="DG966" s="52"/>
      <c r="DH966" s="52"/>
      <c r="DI966" s="52"/>
      <c r="DJ966" s="52"/>
      <c r="DK966" s="52"/>
      <c r="DL966" s="52"/>
      <c r="DM966" s="52"/>
      <c r="DN966" s="52"/>
      <c r="DO966" s="52"/>
      <c r="DP966" s="52"/>
      <c r="DQ966" s="52"/>
      <c r="DR966" s="52"/>
      <c r="DS966" s="52"/>
      <c r="DT966" s="52"/>
      <c r="DU966" s="52"/>
      <c r="DV966" s="52"/>
      <c r="DW966" s="52"/>
      <c r="DX966" s="52"/>
      <c r="DZ966"/>
      <c r="EA966" s="19"/>
      <c r="EB966" s="19"/>
      <c r="EC966" s="9"/>
      <c r="ED966" s="9"/>
      <c r="EE966" s="9"/>
      <c r="EF966" s="9"/>
      <c r="EG966" s="9"/>
      <c r="EH966" s="13"/>
      <c r="EI966" s="13"/>
      <c r="EJ966" s="13"/>
      <c r="EK966" s="13"/>
      <c r="EL966" s="13"/>
      <c r="EM966" s="13"/>
      <c r="EN966" s="13"/>
      <c r="EO966" s="13"/>
      <c r="EP966" s="13"/>
      <c r="EQ966" s="13"/>
      <c r="ER966" s="13"/>
      <c r="ES966" s="13"/>
      <c r="ET966" s="13"/>
      <c r="EU966" s="13"/>
      <c r="EV966" s="13"/>
      <c r="EW966" s="13"/>
      <c r="EX966" s="13"/>
      <c r="EY966" s="13"/>
      <c r="EZ966" s="13"/>
      <c r="FA966" s="13"/>
      <c r="FB966" s="13"/>
      <c r="FC966" s="13"/>
      <c r="FD966" s="13"/>
      <c r="FE966" s="13"/>
      <c r="FF966" s="13"/>
      <c r="FG966" s="13"/>
      <c r="FH966" s="13"/>
      <c r="FI966" s="13"/>
      <c r="FJ966" s="13"/>
      <c r="FK966" s="13"/>
      <c r="FL966" s="13"/>
      <c r="FM966" s="13"/>
      <c r="FN966" s="13"/>
      <c r="FO966" s="13"/>
      <c r="FP966" s="13"/>
      <c r="FQ966" s="13"/>
      <c r="FR966" s="13"/>
      <c r="FS966" s="13"/>
      <c r="FT966" s="13"/>
      <c r="FU966" s="13"/>
      <c r="FV966" s="13"/>
      <c r="FW966" s="13"/>
      <c r="FX966" s="13"/>
      <c r="FY966" s="13"/>
      <c r="FZ966" s="13"/>
      <c r="GA966" s="13"/>
    </row>
    <row r="967" spans="1:183" s="43" customFormat="1" x14ac:dyDescent="0.25">
      <c r="A967" s="2"/>
      <c r="B967" s="2"/>
      <c r="C967" s="9">
        <v>9</v>
      </c>
      <c r="D967" s="9">
        <v>12</v>
      </c>
      <c r="E967" s="9">
        <v>20</v>
      </c>
      <c r="F967" s="9">
        <v>25</v>
      </c>
      <c r="G967" s="9">
        <v>41</v>
      </c>
      <c r="H967" s="9">
        <v>89</v>
      </c>
      <c r="J967" s="9">
        <v>89</v>
      </c>
      <c r="L967" s="39">
        <v>44452</v>
      </c>
      <c r="N967"/>
      <c r="O967"/>
      <c r="P967"/>
      <c r="Q967"/>
      <c r="R967"/>
      <c r="S967"/>
      <c r="T967"/>
      <c r="U967"/>
      <c r="V967"/>
      <c r="W967" s="52"/>
      <c r="Y967"/>
      <c r="Z967"/>
      <c r="AA967"/>
      <c r="AB967"/>
      <c r="AC967"/>
      <c r="AD967"/>
      <c r="AE967"/>
      <c r="AF967"/>
      <c r="AG967"/>
      <c r="AH967" s="52"/>
      <c r="AI967" s="148"/>
      <c r="AJ967" s="19"/>
      <c r="AK967" s="19"/>
      <c r="AL967" s="19"/>
      <c r="AM967" s="19"/>
      <c r="AN967" s="42"/>
      <c r="AO967" s="54"/>
      <c r="AP967" s="19"/>
      <c r="AQ967" s="1"/>
      <c r="AR967" s="74"/>
      <c r="AS967" s="42"/>
      <c r="AT967" s="54"/>
      <c r="AU967" s="54"/>
      <c r="AV967" s="19"/>
      <c r="AW967" s="54"/>
      <c r="AX967" s="57"/>
      <c r="AY967" s="54"/>
      <c r="AZ967" s="54"/>
      <c r="BA967" s="54"/>
      <c r="BB967" s="54"/>
      <c r="BC967" s="57"/>
      <c r="BD967" s="19"/>
      <c r="BE967" s="19"/>
      <c r="BF967" s="19"/>
      <c r="BG967" s="54"/>
      <c r="BI967" s="54"/>
      <c r="BJ967" s="55"/>
      <c r="BK967" s="55"/>
      <c r="BL967" s="54"/>
      <c r="BM967" s="56"/>
      <c r="BN967" s="56"/>
      <c r="BO967" s="52"/>
      <c r="BP967" s="52"/>
      <c r="BQ967" s="52"/>
      <c r="BR967" s="52"/>
      <c r="BS967" s="52"/>
      <c r="BT967" s="52"/>
      <c r="BU967" s="52"/>
      <c r="BV967" s="52"/>
      <c r="BW967" s="52"/>
      <c r="BX967" s="52"/>
      <c r="BY967" s="52"/>
      <c r="BZ967" s="52"/>
      <c r="CA967" s="52"/>
      <c r="CB967" s="52"/>
      <c r="CC967" s="52"/>
      <c r="CD967" s="52"/>
      <c r="CE967" s="52"/>
      <c r="CF967" s="52"/>
      <c r="CG967" s="52"/>
      <c r="CH967" s="52"/>
      <c r="CI967" s="52"/>
      <c r="CJ967" s="52"/>
      <c r="CK967" s="52"/>
      <c r="CL967" s="52"/>
      <c r="CM967" s="52"/>
      <c r="CN967" s="52"/>
      <c r="CO967" s="52"/>
      <c r="CP967" s="52"/>
      <c r="CQ967" s="52"/>
      <c r="CR967" s="52"/>
      <c r="CS967" s="52"/>
      <c r="CT967" s="52"/>
      <c r="CU967" s="52"/>
      <c r="CV967" s="52"/>
      <c r="CW967" s="52"/>
      <c r="CX967" s="52"/>
      <c r="CY967" s="52"/>
      <c r="CZ967" s="52"/>
      <c r="DA967" s="52"/>
      <c r="DB967" s="52"/>
      <c r="DC967" s="52"/>
      <c r="DD967" s="52"/>
      <c r="DE967" s="52"/>
      <c r="DF967" s="52"/>
      <c r="DG967" s="52"/>
      <c r="DH967" s="52"/>
      <c r="DI967" s="52"/>
      <c r="DJ967" s="52"/>
      <c r="DK967" s="52"/>
      <c r="DL967" s="52"/>
      <c r="DM967" s="52"/>
      <c r="DN967" s="52"/>
      <c r="DO967" s="52"/>
      <c r="DP967" s="52"/>
      <c r="DQ967" s="52"/>
      <c r="DR967" s="52"/>
      <c r="DS967" s="52"/>
      <c r="DT967" s="52"/>
      <c r="DU967" s="52"/>
      <c r="DV967" s="52"/>
      <c r="DW967" s="52"/>
      <c r="DX967" s="52"/>
      <c r="DZ967"/>
      <c r="EA967" s="19"/>
      <c r="EB967" s="19"/>
      <c r="EC967" s="9"/>
      <c r="ED967" s="9"/>
      <c r="EE967" s="9"/>
      <c r="EF967" s="9"/>
      <c r="EG967" s="9"/>
      <c r="EH967" s="13"/>
      <c r="EI967" s="13"/>
      <c r="EJ967" s="13"/>
      <c r="EK967" s="13"/>
      <c r="EL967" s="13"/>
      <c r="EM967" s="13"/>
      <c r="EN967" s="13"/>
      <c r="EO967" s="13"/>
      <c r="EP967" s="13"/>
      <c r="EQ967" s="13"/>
      <c r="ER967" s="13"/>
      <c r="ES967" s="13"/>
      <c r="ET967" s="13"/>
      <c r="EU967" s="13"/>
      <c r="EV967" s="13"/>
      <c r="EW967" s="13"/>
      <c r="EX967" s="13"/>
      <c r="EY967" s="13"/>
      <c r="EZ967" s="13"/>
      <c r="FA967" s="13"/>
      <c r="FB967" s="13"/>
      <c r="FC967" s="13"/>
      <c r="FD967" s="13"/>
      <c r="FE967" s="13"/>
      <c r="FF967" s="13"/>
      <c r="FG967" s="13"/>
      <c r="FH967" s="13"/>
      <c r="FI967" s="13"/>
      <c r="FJ967" s="13"/>
      <c r="FK967" s="13"/>
      <c r="FL967" s="13"/>
      <c r="FM967" s="13"/>
      <c r="FN967" s="13"/>
      <c r="FO967" s="13"/>
      <c r="FP967" s="13"/>
      <c r="FQ967" s="13"/>
      <c r="FR967" s="13"/>
      <c r="FS967" s="13"/>
      <c r="FT967" s="13"/>
      <c r="FU967" s="13"/>
      <c r="FV967" s="13"/>
      <c r="FW967" s="13"/>
      <c r="FX967" s="13"/>
      <c r="FY967" s="13"/>
      <c r="FZ967" s="13"/>
      <c r="GA967" s="13"/>
    </row>
    <row r="968" spans="1:183" s="43" customFormat="1" x14ac:dyDescent="0.25">
      <c r="A968" s="2"/>
      <c r="B968" s="2"/>
      <c r="C968" s="9">
        <v>3</v>
      </c>
      <c r="D968" s="9">
        <v>4</v>
      </c>
      <c r="E968" s="9">
        <v>11</v>
      </c>
      <c r="F968" s="9">
        <v>18</v>
      </c>
      <c r="G968" s="9">
        <v>19</v>
      </c>
      <c r="H968" s="9">
        <v>32</v>
      </c>
      <c r="J968" s="9">
        <v>32</v>
      </c>
      <c r="L968" s="39">
        <v>44450</v>
      </c>
      <c r="N968"/>
      <c r="O968"/>
      <c r="P968"/>
      <c r="Q968"/>
      <c r="R968"/>
      <c r="S968"/>
      <c r="T968"/>
      <c r="U968"/>
      <c r="V968"/>
      <c r="W968" s="52"/>
      <c r="Y968"/>
      <c r="Z968"/>
      <c r="AA968"/>
      <c r="AB968"/>
      <c r="AC968"/>
      <c r="AD968"/>
      <c r="AE968"/>
      <c r="AF968"/>
      <c r="AG968"/>
      <c r="AH968" s="52"/>
      <c r="AI968" s="148"/>
      <c r="AJ968" s="19"/>
      <c r="AK968" s="19"/>
      <c r="AL968" s="19"/>
      <c r="AM968" s="19"/>
      <c r="AN968" s="42"/>
      <c r="AO968" s="54"/>
      <c r="AP968" s="19"/>
      <c r="AQ968" s="1"/>
      <c r="AR968" s="74"/>
      <c r="AS968" s="42"/>
      <c r="AT968" s="54"/>
      <c r="AU968" s="54"/>
      <c r="AV968" s="19"/>
      <c r="AW968" s="54"/>
      <c r="AX968" s="57"/>
      <c r="AY968" s="54"/>
      <c r="AZ968" s="54"/>
      <c r="BA968" s="54"/>
      <c r="BB968" s="54"/>
      <c r="BC968" s="57"/>
      <c r="BD968" s="19"/>
      <c r="BE968" s="19"/>
      <c r="BF968" s="19"/>
      <c r="BG968" s="54"/>
      <c r="BI968" s="54"/>
      <c r="BJ968" s="55"/>
      <c r="BK968" s="55"/>
      <c r="BL968" s="54"/>
      <c r="BM968" s="56"/>
      <c r="BN968" s="56"/>
      <c r="BO968" s="52"/>
      <c r="BP968" s="52"/>
      <c r="BQ968" s="52"/>
      <c r="BR968" s="52"/>
      <c r="BS968" s="52"/>
      <c r="BT968" s="52"/>
      <c r="BU968" s="52"/>
      <c r="BV968" s="52"/>
      <c r="BW968" s="52"/>
      <c r="BX968" s="52"/>
      <c r="BY968" s="52"/>
      <c r="BZ968" s="52"/>
      <c r="CA968" s="52"/>
      <c r="CB968" s="52"/>
      <c r="CC968" s="52"/>
      <c r="CD968" s="52"/>
      <c r="CE968" s="52"/>
      <c r="CF968" s="52"/>
      <c r="CG968" s="52"/>
      <c r="CH968" s="52"/>
      <c r="CI968" s="52"/>
      <c r="CJ968" s="52"/>
      <c r="CK968" s="52"/>
      <c r="CL968" s="52"/>
      <c r="CM968" s="52"/>
      <c r="CN968" s="52"/>
      <c r="CO968" s="52"/>
      <c r="CP968" s="52"/>
      <c r="CQ968" s="52"/>
      <c r="CR968" s="52"/>
      <c r="CS968" s="52"/>
      <c r="CT968" s="52"/>
      <c r="CU968" s="52"/>
      <c r="CV968" s="52"/>
      <c r="CW968" s="52"/>
      <c r="CX968" s="52"/>
      <c r="CY968" s="52"/>
      <c r="CZ968" s="52"/>
      <c r="DA968" s="52"/>
      <c r="DB968" s="52"/>
      <c r="DC968" s="52"/>
      <c r="DD968" s="52"/>
      <c r="DE968" s="52"/>
      <c r="DF968" s="52"/>
      <c r="DG968" s="52"/>
      <c r="DH968" s="52"/>
      <c r="DI968" s="52"/>
      <c r="DJ968" s="52"/>
      <c r="DK968" s="52"/>
      <c r="DL968" s="52"/>
      <c r="DM968" s="52"/>
      <c r="DN968" s="52"/>
      <c r="DO968" s="52"/>
      <c r="DP968" s="52"/>
      <c r="DQ968" s="52"/>
      <c r="DR968" s="52"/>
      <c r="DS968" s="52"/>
      <c r="DT968" s="52"/>
      <c r="DU968" s="52"/>
      <c r="DV968" s="52"/>
      <c r="DW968" s="52"/>
      <c r="DX968" s="52"/>
      <c r="DZ968"/>
      <c r="EA968" s="19"/>
      <c r="EB968" s="19"/>
      <c r="EC968" s="9"/>
      <c r="ED968" s="9"/>
      <c r="EE968" s="9"/>
      <c r="EF968" s="9"/>
      <c r="EG968" s="9"/>
      <c r="EH968" s="13"/>
      <c r="EI968" s="13"/>
      <c r="EJ968" s="13"/>
      <c r="EK968" s="13"/>
      <c r="EL968" s="13"/>
      <c r="EM968" s="13"/>
      <c r="EN968" s="13"/>
      <c r="EO968" s="13"/>
      <c r="EP968" s="13"/>
      <c r="EQ968" s="13"/>
      <c r="ER968" s="13"/>
      <c r="ES968" s="13"/>
      <c r="ET968" s="13"/>
      <c r="EU968" s="13"/>
      <c r="EV968" s="13"/>
      <c r="EW968" s="13"/>
      <c r="EX968" s="13"/>
      <c r="EY968" s="13"/>
      <c r="EZ968" s="13"/>
      <c r="FA968" s="13"/>
      <c r="FB968" s="13"/>
      <c r="FC968" s="13"/>
      <c r="FD968" s="13"/>
      <c r="FE968" s="13"/>
      <c r="FF968" s="13"/>
      <c r="FG968" s="13"/>
      <c r="FH968" s="13"/>
      <c r="FI968" s="13"/>
      <c r="FJ968" s="13"/>
      <c r="FK968" s="13"/>
      <c r="FL968" s="13"/>
      <c r="FM968" s="13"/>
      <c r="FN968" s="13"/>
      <c r="FO968" s="13"/>
      <c r="FP968" s="13"/>
      <c r="FQ968" s="13"/>
      <c r="FR968" s="13"/>
      <c r="FS968" s="13"/>
      <c r="FT968" s="13"/>
      <c r="FU968" s="13"/>
      <c r="FV968" s="13"/>
      <c r="FW968" s="13"/>
      <c r="FX968" s="13"/>
      <c r="FY968" s="13"/>
      <c r="FZ968" s="13"/>
      <c r="GA968" s="13"/>
    </row>
    <row r="969" spans="1:183" s="43" customFormat="1" x14ac:dyDescent="0.25">
      <c r="A969" s="2"/>
      <c r="B969" s="2"/>
      <c r="C969" s="9">
        <v>23</v>
      </c>
      <c r="D969" s="9">
        <v>51</v>
      </c>
      <c r="E969" s="9">
        <v>53</v>
      </c>
      <c r="F969" s="9">
        <v>58</v>
      </c>
      <c r="G969" s="9">
        <v>68</v>
      </c>
      <c r="H969" s="9">
        <v>75</v>
      </c>
      <c r="J969" s="9">
        <v>75</v>
      </c>
      <c r="L969" s="39">
        <v>44447</v>
      </c>
      <c r="N969"/>
      <c r="O969"/>
      <c r="P969"/>
      <c r="Q969"/>
      <c r="R969"/>
      <c r="S969"/>
      <c r="T969"/>
      <c r="U969"/>
      <c r="V969"/>
      <c r="W969" s="52"/>
      <c r="Y969"/>
      <c r="Z969"/>
      <c r="AA969"/>
      <c r="AB969"/>
      <c r="AC969"/>
      <c r="AD969"/>
      <c r="AE969"/>
      <c r="AF969"/>
      <c r="AG969"/>
      <c r="AH969" s="52"/>
      <c r="AI969" s="148"/>
      <c r="AJ969" s="19"/>
      <c r="AK969" s="19"/>
      <c r="AL969" s="19"/>
      <c r="AM969" s="19"/>
      <c r="AN969" s="42"/>
      <c r="AO969" s="54"/>
      <c r="AP969" s="19"/>
      <c r="AQ969" s="1"/>
      <c r="AR969" s="74"/>
      <c r="AS969" s="42"/>
      <c r="AT969" s="54"/>
      <c r="AU969" s="54"/>
      <c r="AV969" s="19"/>
      <c r="AW969" s="54"/>
      <c r="AX969" s="57"/>
      <c r="AY969" s="54"/>
      <c r="AZ969" s="54"/>
      <c r="BA969" s="54"/>
      <c r="BB969" s="54"/>
      <c r="BC969" s="57"/>
      <c r="BD969" s="19"/>
      <c r="BE969" s="19"/>
      <c r="BF969" s="19"/>
      <c r="BG969" s="54"/>
      <c r="BI969" s="54"/>
      <c r="BJ969" s="55"/>
      <c r="BK969" s="55"/>
      <c r="BL969" s="54"/>
      <c r="BM969" s="56"/>
      <c r="BN969" s="56"/>
      <c r="BO969" s="52"/>
      <c r="BP969" s="52"/>
      <c r="BQ969" s="52"/>
      <c r="BR969" s="52"/>
      <c r="BS969" s="52"/>
      <c r="BT969" s="52"/>
      <c r="BU969" s="52"/>
      <c r="BV969" s="52"/>
      <c r="BW969" s="52"/>
      <c r="BX969" s="52"/>
      <c r="BY969" s="52"/>
      <c r="BZ969" s="52"/>
      <c r="CA969" s="52"/>
      <c r="CB969" s="52"/>
      <c r="CC969" s="52"/>
      <c r="CD969" s="52"/>
      <c r="CE969" s="52"/>
      <c r="CF969" s="52"/>
      <c r="CG969" s="52"/>
      <c r="CH969" s="52"/>
      <c r="CI969" s="52"/>
      <c r="CJ969" s="52"/>
      <c r="CK969" s="52"/>
      <c r="CL969" s="52"/>
      <c r="CM969" s="52"/>
      <c r="CN969" s="52"/>
      <c r="CO969" s="52"/>
      <c r="CP969" s="52"/>
      <c r="CQ969" s="52"/>
      <c r="CR969" s="52"/>
      <c r="CS969" s="52"/>
      <c r="CT969" s="52"/>
      <c r="CU969" s="52"/>
      <c r="CV969" s="52"/>
      <c r="CW969" s="52"/>
      <c r="CX969" s="52"/>
      <c r="CY969" s="52"/>
      <c r="CZ969" s="52"/>
      <c r="DA969" s="52"/>
      <c r="DB969" s="52"/>
      <c r="DC969" s="52"/>
      <c r="DD969" s="52"/>
      <c r="DE969" s="52"/>
      <c r="DF969" s="52"/>
      <c r="DG969" s="52"/>
      <c r="DH969" s="52"/>
      <c r="DI969" s="52"/>
      <c r="DJ969" s="52"/>
      <c r="DK969" s="52"/>
      <c r="DL969" s="52"/>
      <c r="DM969" s="52"/>
      <c r="DN969" s="52"/>
      <c r="DO969" s="52"/>
      <c r="DP969" s="52"/>
      <c r="DQ969" s="52"/>
      <c r="DR969" s="52"/>
      <c r="DS969" s="52"/>
      <c r="DT969" s="52"/>
      <c r="DU969" s="52"/>
      <c r="DV969" s="52"/>
      <c r="DW969" s="52"/>
      <c r="DX969" s="52"/>
      <c r="DZ969"/>
      <c r="EA969" s="19"/>
      <c r="EB969" s="19"/>
      <c r="EC969" s="9"/>
      <c r="ED969" s="9"/>
      <c r="EE969" s="9"/>
      <c r="EF969" s="9"/>
      <c r="EG969" s="9"/>
      <c r="EH969" s="13"/>
      <c r="EI969" s="13"/>
      <c r="EJ969" s="13"/>
      <c r="EK969" s="13"/>
      <c r="EL969" s="13"/>
      <c r="EM969" s="13"/>
      <c r="EN969" s="13"/>
      <c r="EO969" s="13"/>
      <c r="EP969" s="13"/>
      <c r="EQ969" s="13"/>
      <c r="ER969" s="13"/>
      <c r="ES969" s="13"/>
      <c r="ET969" s="13"/>
      <c r="EU969" s="13"/>
      <c r="EV969" s="13"/>
      <c r="EW969" s="13"/>
      <c r="EX969" s="13"/>
      <c r="EY969" s="13"/>
      <c r="EZ969" s="13"/>
      <c r="FA969" s="13"/>
      <c r="FB969" s="13"/>
      <c r="FC969" s="13"/>
      <c r="FD969" s="13"/>
      <c r="FE969" s="13"/>
      <c r="FF969" s="13"/>
      <c r="FG969" s="13"/>
      <c r="FH969" s="13"/>
      <c r="FI969" s="13"/>
      <c r="FJ969" s="13"/>
      <c r="FK969" s="13"/>
      <c r="FL969" s="13"/>
      <c r="FM969" s="13"/>
      <c r="FN969" s="13"/>
      <c r="FO969" s="13"/>
      <c r="FP969" s="13"/>
      <c r="FQ969" s="13"/>
      <c r="FR969" s="13"/>
      <c r="FS969" s="13"/>
      <c r="FT969" s="13"/>
      <c r="FU969" s="13"/>
      <c r="FV969" s="13"/>
      <c r="FW969" s="13"/>
      <c r="FX969" s="13"/>
      <c r="FY969" s="13"/>
      <c r="FZ969" s="13"/>
      <c r="GA969" s="13"/>
    </row>
    <row r="970" spans="1:183" s="43" customFormat="1" x14ac:dyDescent="0.25">
      <c r="A970" s="2"/>
      <c r="B970" s="2"/>
      <c r="C970" s="9">
        <v>16</v>
      </c>
      <c r="D970" s="9">
        <v>38</v>
      </c>
      <c r="E970" s="9">
        <v>50</v>
      </c>
      <c r="F970" s="9">
        <v>56</v>
      </c>
      <c r="G970" s="9">
        <v>77</v>
      </c>
      <c r="H970" s="9">
        <v>82</v>
      </c>
      <c r="J970" s="9">
        <v>82</v>
      </c>
      <c r="L970" s="39">
        <v>44445</v>
      </c>
      <c r="N970"/>
      <c r="O970"/>
      <c r="P970"/>
      <c r="Q970"/>
      <c r="R970"/>
      <c r="S970"/>
      <c r="T970"/>
      <c r="U970"/>
      <c r="V970"/>
      <c r="W970" s="52"/>
      <c r="Y970"/>
      <c r="Z970"/>
      <c r="AA970"/>
      <c r="AB970"/>
      <c r="AC970"/>
      <c r="AD970"/>
      <c r="AE970"/>
      <c r="AF970"/>
      <c r="AG970"/>
      <c r="AH970" s="52"/>
      <c r="AI970" s="148"/>
      <c r="AJ970" s="19"/>
      <c r="AK970" s="19"/>
      <c r="AL970" s="19"/>
      <c r="AM970" s="19"/>
      <c r="AN970" s="42"/>
      <c r="AO970" s="54"/>
      <c r="AP970" s="19"/>
      <c r="AQ970" s="1"/>
      <c r="AR970" s="74"/>
      <c r="AS970" s="42"/>
      <c r="AT970" s="54"/>
      <c r="AU970" s="54"/>
      <c r="AV970" s="19"/>
      <c r="AW970" s="54"/>
      <c r="AX970" s="57"/>
      <c r="AY970" s="54"/>
      <c r="AZ970" s="54"/>
      <c r="BA970" s="54"/>
      <c r="BB970" s="54"/>
      <c r="BC970" s="57"/>
      <c r="BD970" s="19"/>
      <c r="BE970" s="19"/>
      <c r="BF970" s="19"/>
      <c r="BG970" s="54"/>
      <c r="BI970" s="54"/>
      <c r="BJ970" s="55"/>
      <c r="BK970" s="55"/>
      <c r="BL970" s="54"/>
      <c r="BM970" s="56"/>
      <c r="BN970" s="56"/>
      <c r="BO970" s="52"/>
      <c r="BP970" s="52"/>
      <c r="BQ970" s="52"/>
      <c r="BR970" s="52"/>
      <c r="BS970" s="52"/>
      <c r="BT970" s="52"/>
      <c r="BU970" s="52"/>
      <c r="BV970" s="52"/>
      <c r="BW970" s="52"/>
      <c r="BX970" s="52"/>
      <c r="BY970" s="52"/>
      <c r="BZ970" s="52"/>
      <c r="CA970" s="52"/>
      <c r="CB970" s="52"/>
      <c r="CC970" s="52"/>
      <c r="CD970" s="52"/>
      <c r="CE970" s="52"/>
      <c r="CF970" s="52"/>
      <c r="CG970" s="52"/>
      <c r="CH970" s="52"/>
      <c r="CI970" s="52"/>
      <c r="CJ970" s="52"/>
      <c r="CK970" s="52"/>
      <c r="CL970" s="52"/>
      <c r="CM970" s="52"/>
      <c r="CN970" s="52"/>
      <c r="CO970" s="52"/>
      <c r="CP970" s="52"/>
      <c r="CQ970" s="52"/>
      <c r="CR970" s="52"/>
      <c r="CS970" s="52"/>
      <c r="CT970" s="52"/>
      <c r="CU970" s="52"/>
      <c r="CV970" s="52"/>
      <c r="CW970" s="52"/>
      <c r="CX970" s="52"/>
      <c r="CY970" s="52"/>
      <c r="CZ970" s="52"/>
      <c r="DA970" s="52"/>
      <c r="DB970" s="52"/>
      <c r="DC970" s="52"/>
      <c r="DD970" s="52"/>
      <c r="DE970" s="52"/>
      <c r="DF970" s="52"/>
      <c r="DG970" s="52"/>
      <c r="DH970" s="52"/>
      <c r="DI970" s="52"/>
      <c r="DJ970" s="52"/>
      <c r="DK970" s="52"/>
      <c r="DL970" s="52"/>
      <c r="DM970" s="52"/>
      <c r="DN970" s="52"/>
      <c r="DO970" s="52"/>
      <c r="DP970" s="52"/>
      <c r="DQ970" s="52"/>
      <c r="DR970" s="52"/>
      <c r="DS970" s="52"/>
      <c r="DT970" s="52"/>
      <c r="DU970" s="52"/>
      <c r="DV970" s="52"/>
      <c r="DW970" s="52"/>
      <c r="DX970" s="52"/>
      <c r="DZ970"/>
      <c r="EA970" s="19"/>
      <c r="EB970" s="19"/>
      <c r="EC970" s="9"/>
      <c r="ED970" s="9"/>
      <c r="EE970" s="9"/>
      <c r="EF970" s="9"/>
      <c r="EG970" s="9"/>
      <c r="EH970" s="13"/>
      <c r="EI970" s="13"/>
      <c r="EJ970" s="13"/>
      <c r="EK970" s="13"/>
      <c r="EL970" s="13"/>
      <c r="EM970" s="13"/>
      <c r="EN970" s="13"/>
      <c r="EO970" s="13"/>
      <c r="EP970" s="13"/>
      <c r="EQ970" s="13"/>
      <c r="ER970" s="13"/>
      <c r="ES970" s="13"/>
      <c r="ET970" s="13"/>
      <c r="EU970" s="13"/>
      <c r="EV970" s="13"/>
      <c r="EW970" s="13"/>
      <c r="EX970" s="13"/>
      <c r="EY970" s="13"/>
      <c r="EZ970" s="13"/>
      <c r="FA970" s="13"/>
      <c r="FB970" s="13"/>
      <c r="FC970" s="13"/>
      <c r="FD970" s="13"/>
      <c r="FE970" s="13"/>
      <c r="FF970" s="13"/>
      <c r="FG970" s="13"/>
      <c r="FH970" s="13"/>
      <c r="FI970" s="13"/>
      <c r="FJ970" s="13"/>
      <c r="FK970" s="13"/>
      <c r="FL970" s="13"/>
      <c r="FM970" s="13"/>
      <c r="FN970" s="13"/>
      <c r="FO970" s="13"/>
      <c r="FP970" s="13"/>
      <c r="FQ970" s="13"/>
      <c r="FR970" s="13"/>
      <c r="FS970" s="13"/>
      <c r="FT970" s="13"/>
      <c r="FU970" s="13"/>
      <c r="FV970" s="13"/>
      <c r="FW970" s="13"/>
      <c r="FX970" s="13"/>
      <c r="FY970" s="13"/>
      <c r="FZ970" s="13"/>
      <c r="GA970" s="13"/>
    </row>
    <row r="971" spans="1:183" s="43" customFormat="1" x14ac:dyDescent="0.25">
      <c r="A971" s="2"/>
      <c r="B971" s="2"/>
      <c r="C971" s="9">
        <v>3</v>
      </c>
      <c r="D971" s="9">
        <v>21</v>
      </c>
      <c r="E971" s="9">
        <v>27</v>
      </c>
      <c r="F971" s="9">
        <v>32</v>
      </c>
      <c r="G971" s="9">
        <v>40</v>
      </c>
      <c r="H971" s="9">
        <v>49</v>
      </c>
      <c r="J971" s="9">
        <v>49</v>
      </c>
      <c r="L971" s="39">
        <v>44443</v>
      </c>
      <c r="N971"/>
      <c r="O971"/>
      <c r="P971"/>
      <c r="Q971"/>
      <c r="R971"/>
      <c r="S971"/>
      <c r="T971"/>
      <c r="U971"/>
      <c r="V971"/>
      <c r="W971" s="52"/>
      <c r="Y971"/>
      <c r="Z971"/>
      <c r="AA971"/>
      <c r="AB971"/>
      <c r="AC971"/>
      <c r="AD971"/>
      <c r="AE971"/>
      <c r="AF971"/>
      <c r="AG971"/>
      <c r="AH971" s="52"/>
      <c r="AI971" s="148"/>
      <c r="AJ971" s="19"/>
      <c r="AK971" s="19"/>
      <c r="AL971" s="19"/>
      <c r="AM971" s="19"/>
      <c r="AN971" s="42"/>
      <c r="AO971" s="54"/>
      <c r="AP971" s="19"/>
      <c r="AQ971" s="1"/>
      <c r="AR971" s="74"/>
      <c r="AS971" s="42"/>
      <c r="AT971" s="54"/>
      <c r="AU971" s="54"/>
      <c r="AV971" s="19"/>
      <c r="AW971" s="54"/>
      <c r="AX971" s="57"/>
      <c r="AY971" s="54"/>
      <c r="AZ971" s="54"/>
      <c r="BA971" s="54"/>
      <c r="BB971" s="54"/>
      <c r="BC971" s="57"/>
      <c r="BD971" s="19"/>
      <c r="BE971" s="19"/>
      <c r="BF971" s="19"/>
      <c r="BG971" s="54"/>
      <c r="BI971" s="54"/>
      <c r="BJ971" s="55"/>
      <c r="BK971" s="55"/>
      <c r="BL971" s="54"/>
      <c r="BM971" s="56"/>
      <c r="BN971" s="56"/>
      <c r="BO971" s="52"/>
      <c r="BP971" s="52"/>
      <c r="BQ971" s="52"/>
      <c r="BR971" s="52"/>
      <c r="BS971" s="52"/>
      <c r="BT971" s="52"/>
      <c r="BU971" s="52"/>
      <c r="BV971" s="52"/>
      <c r="BW971" s="52"/>
      <c r="BX971" s="52"/>
      <c r="BY971" s="52"/>
      <c r="BZ971" s="52"/>
      <c r="CA971" s="52"/>
      <c r="CB971" s="52"/>
      <c r="CC971" s="52"/>
      <c r="CD971" s="52"/>
      <c r="CE971" s="52"/>
      <c r="CF971" s="52"/>
      <c r="CG971" s="52"/>
      <c r="CH971" s="52"/>
      <c r="CI971" s="52"/>
      <c r="CJ971" s="52"/>
      <c r="CK971" s="52"/>
      <c r="CL971" s="52"/>
      <c r="CM971" s="52"/>
      <c r="CN971" s="52"/>
      <c r="CO971" s="52"/>
      <c r="CP971" s="52"/>
      <c r="CQ971" s="52"/>
      <c r="CR971" s="52"/>
      <c r="CS971" s="52"/>
      <c r="CT971" s="52"/>
      <c r="CU971" s="52"/>
      <c r="CV971" s="52"/>
      <c r="CW971" s="52"/>
      <c r="CX971" s="52"/>
      <c r="CY971" s="52"/>
      <c r="CZ971" s="52"/>
      <c r="DA971" s="52"/>
      <c r="DB971" s="52"/>
      <c r="DC971" s="52"/>
      <c r="DD971" s="52"/>
      <c r="DE971" s="52"/>
      <c r="DF971" s="52"/>
      <c r="DG971" s="52"/>
      <c r="DH971" s="52"/>
      <c r="DI971" s="52"/>
      <c r="DJ971" s="52"/>
      <c r="DK971" s="52"/>
      <c r="DL971" s="52"/>
      <c r="DM971" s="52"/>
      <c r="DN971" s="52"/>
      <c r="DO971" s="52"/>
      <c r="DP971" s="52"/>
      <c r="DQ971" s="52"/>
      <c r="DR971" s="52"/>
      <c r="DS971" s="52"/>
      <c r="DT971" s="52"/>
      <c r="DU971" s="52"/>
      <c r="DV971" s="52"/>
      <c r="DW971" s="52"/>
      <c r="DX971" s="52"/>
      <c r="DZ971"/>
      <c r="EA971" s="19"/>
      <c r="EB971" s="19"/>
      <c r="EC971" s="9"/>
      <c r="ED971" s="9"/>
      <c r="EE971" s="9"/>
      <c r="EF971" s="9"/>
      <c r="EG971" s="9"/>
      <c r="EH971" s="13"/>
      <c r="EI971" s="13"/>
      <c r="EJ971" s="13"/>
      <c r="EK971" s="13"/>
      <c r="EL971" s="13"/>
      <c r="EM971" s="13"/>
      <c r="EN971" s="13"/>
      <c r="EO971" s="13"/>
      <c r="EP971" s="13"/>
      <c r="EQ971" s="13"/>
      <c r="ER971" s="13"/>
      <c r="ES971" s="13"/>
      <c r="ET971" s="13"/>
      <c r="EU971" s="13"/>
      <c r="EV971" s="13"/>
      <c r="EW971" s="13"/>
      <c r="EX971" s="13"/>
      <c r="EY971" s="13"/>
      <c r="EZ971" s="13"/>
      <c r="FA971" s="13"/>
      <c r="FB971" s="13"/>
      <c r="FC971" s="13"/>
      <c r="FD971" s="13"/>
      <c r="FE971" s="13"/>
      <c r="FF971" s="13"/>
      <c r="FG971" s="13"/>
      <c r="FH971" s="13"/>
      <c r="FI971" s="13"/>
      <c r="FJ971" s="13"/>
      <c r="FK971" s="13"/>
      <c r="FL971" s="13"/>
      <c r="FM971" s="13"/>
      <c r="FN971" s="13"/>
      <c r="FO971" s="13"/>
      <c r="FP971" s="13"/>
      <c r="FQ971" s="13"/>
      <c r="FR971" s="13"/>
      <c r="FS971" s="13"/>
      <c r="FT971" s="13"/>
      <c r="FU971" s="13"/>
      <c r="FV971" s="13"/>
      <c r="FW971" s="13"/>
      <c r="FX971" s="13"/>
      <c r="FY971" s="13"/>
      <c r="FZ971" s="13"/>
      <c r="GA971" s="13"/>
    </row>
    <row r="972" spans="1:183" s="43" customFormat="1" x14ac:dyDescent="0.25">
      <c r="A972" s="2"/>
      <c r="B972" s="2"/>
      <c r="C972" s="9">
        <v>5</v>
      </c>
      <c r="D972" s="9">
        <v>8</v>
      </c>
      <c r="E972" s="9">
        <v>21</v>
      </c>
      <c r="F972" s="9">
        <v>27</v>
      </c>
      <c r="G972" s="9">
        <v>50</v>
      </c>
      <c r="H972" s="9">
        <v>78</v>
      </c>
      <c r="J972" s="9">
        <v>78</v>
      </c>
      <c r="L972" s="39">
        <v>44440</v>
      </c>
      <c r="N972"/>
      <c r="O972"/>
      <c r="P972"/>
      <c r="Q972"/>
      <c r="R972"/>
      <c r="S972"/>
      <c r="T972"/>
      <c r="U972"/>
      <c r="V972"/>
      <c r="W972" s="52"/>
      <c r="Y972"/>
      <c r="Z972"/>
      <c r="AA972"/>
      <c r="AB972"/>
      <c r="AC972"/>
      <c r="AD972"/>
      <c r="AE972"/>
      <c r="AF972"/>
      <c r="AG972"/>
      <c r="AH972" s="52"/>
      <c r="AI972" s="148"/>
      <c r="AJ972" s="19"/>
      <c r="AK972" s="19"/>
      <c r="AL972" s="19"/>
      <c r="AM972" s="19"/>
      <c r="AN972" s="42"/>
      <c r="AO972" s="54"/>
      <c r="AP972" s="19"/>
      <c r="AQ972" s="1"/>
      <c r="AR972" s="74"/>
      <c r="AS972" s="42"/>
      <c r="AT972" s="54"/>
      <c r="AU972" s="54"/>
      <c r="AV972" s="19"/>
      <c r="AW972" s="54"/>
      <c r="AX972" s="57"/>
      <c r="AY972" s="54"/>
      <c r="AZ972" s="54"/>
      <c r="BA972" s="54"/>
      <c r="BB972" s="54"/>
      <c r="BC972" s="57"/>
      <c r="BD972" s="19"/>
      <c r="BE972" s="19"/>
      <c r="BF972" s="19"/>
      <c r="BG972" s="54"/>
      <c r="BI972" s="54"/>
      <c r="BJ972" s="55"/>
      <c r="BK972" s="55"/>
      <c r="BL972" s="54"/>
      <c r="BM972" s="56"/>
      <c r="BN972" s="56"/>
      <c r="BO972" s="52"/>
      <c r="BP972" s="52"/>
      <c r="BQ972" s="52"/>
      <c r="BR972" s="52"/>
      <c r="BS972" s="52"/>
      <c r="BT972" s="52"/>
      <c r="BU972" s="52"/>
      <c r="BV972" s="52"/>
      <c r="BW972" s="52"/>
      <c r="BX972" s="52"/>
      <c r="BY972" s="52"/>
      <c r="BZ972" s="52"/>
      <c r="CA972" s="52"/>
      <c r="CB972" s="52"/>
      <c r="CC972" s="52"/>
      <c r="CD972" s="52"/>
      <c r="CE972" s="52"/>
      <c r="CF972" s="52"/>
      <c r="CG972" s="52"/>
      <c r="CH972" s="52"/>
      <c r="CI972" s="52"/>
      <c r="CJ972" s="52"/>
      <c r="CK972" s="52"/>
      <c r="CL972" s="52"/>
      <c r="CM972" s="52"/>
      <c r="CN972" s="52"/>
      <c r="CO972" s="52"/>
      <c r="CP972" s="52"/>
      <c r="CQ972" s="52"/>
      <c r="CR972" s="52"/>
      <c r="CS972" s="52"/>
      <c r="CT972" s="52"/>
      <c r="CU972" s="52"/>
      <c r="CV972" s="52"/>
      <c r="CW972" s="52"/>
      <c r="CX972" s="52"/>
      <c r="CY972" s="52"/>
      <c r="CZ972" s="52"/>
      <c r="DA972" s="52"/>
      <c r="DB972" s="52"/>
      <c r="DC972" s="52"/>
      <c r="DD972" s="52"/>
      <c r="DE972" s="52"/>
      <c r="DF972" s="52"/>
      <c r="DG972" s="52"/>
      <c r="DH972" s="52"/>
      <c r="DI972" s="52"/>
      <c r="DJ972" s="52"/>
      <c r="DK972" s="52"/>
      <c r="DL972" s="52"/>
      <c r="DM972" s="52"/>
      <c r="DN972" s="52"/>
      <c r="DO972" s="52"/>
      <c r="DP972" s="52"/>
      <c r="DQ972" s="52"/>
      <c r="DR972" s="52"/>
      <c r="DS972" s="52"/>
      <c r="DT972" s="52"/>
      <c r="DU972" s="52"/>
      <c r="DV972" s="52"/>
      <c r="DW972" s="52"/>
      <c r="DX972" s="52"/>
      <c r="DZ972"/>
      <c r="EA972" s="19"/>
      <c r="EB972" s="19"/>
      <c r="EC972" s="9"/>
      <c r="ED972" s="9"/>
      <c r="EE972" s="9"/>
      <c r="EF972" s="9"/>
      <c r="EG972" s="9"/>
      <c r="EH972" s="13"/>
      <c r="EI972" s="13"/>
      <c r="EJ972" s="13"/>
      <c r="EK972" s="13"/>
      <c r="EL972" s="13"/>
      <c r="EM972" s="13"/>
      <c r="EN972" s="13"/>
      <c r="EO972" s="13"/>
      <c r="EP972" s="13"/>
      <c r="EQ972" s="13"/>
      <c r="ER972" s="13"/>
      <c r="ES972" s="13"/>
      <c r="ET972" s="13"/>
      <c r="EU972" s="13"/>
      <c r="EV972" s="13"/>
      <c r="EW972" s="13"/>
      <c r="EX972" s="13"/>
      <c r="EY972" s="13"/>
      <c r="EZ972" s="13"/>
      <c r="FA972" s="13"/>
      <c r="FB972" s="13"/>
      <c r="FC972" s="13"/>
      <c r="FD972" s="13"/>
      <c r="FE972" s="13"/>
      <c r="FF972" s="13"/>
      <c r="FG972" s="13"/>
      <c r="FH972" s="13"/>
      <c r="FI972" s="13"/>
      <c r="FJ972" s="13"/>
      <c r="FK972" s="13"/>
      <c r="FL972" s="13"/>
      <c r="FM972" s="13"/>
      <c r="FN972" s="13"/>
      <c r="FO972" s="13"/>
      <c r="FP972" s="13"/>
      <c r="FQ972" s="13"/>
      <c r="FR972" s="13"/>
      <c r="FS972" s="13"/>
      <c r="FT972" s="13"/>
      <c r="FU972" s="13"/>
      <c r="FV972" s="13"/>
      <c r="FW972" s="13"/>
      <c r="FX972" s="13"/>
      <c r="FY972" s="13"/>
      <c r="FZ972" s="13"/>
      <c r="GA972" s="13"/>
    </row>
    <row r="973" spans="1:183" s="43" customFormat="1" x14ac:dyDescent="0.25">
      <c r="A973" s="2"/>
      <c r="B973" s="2"/>
      <c r="C973" s="9">
        <v>30</v>
      </c>
      <c r="D973" s="9">
        <v>46</v>
      </c>
      <c r="E973" s="9">
        <v>48</v>
      </c>
      <c r="F973" s="9">
        <v>68</v>
      </c>
      <c r="G973" s="9">
        <v>87</v>
      </c>
      <c r="H973" s="9">
        <v>88</v>
      </c>
      <c r="J973" s="9">
        <v>88</v>
      </c>
      <c r="L973" s="39">
        <v>44438</v>
      </c>
      <c r="N973"/>
      <c r="O973"/>
      <c r="P973"/>
      <c r="Q973"/>
      <c r="R973"/>
      <c r="S973"/>
      <c r="T973"/>
      <c r="U973"/>
      <c r="V973"/>
      <c r="W973" s="52"/>
      <c r="Y973"/>
      <c r="Z973"/>
      <c r="AA973"/>
      <c r="AB973"/>
      <c r="AC973"/>
      <c r="AD973"/>
      <c r="AE973"/>
      <c r="AF973"/>
      <c r="AG973"/>
      <c r="AH973" s="52"/>
      <c r="AI973" s="148"/>
      <c r="AJ973" s="19"/>
      <c r="AK973" s="19"/>
      <c r="AL973" s="19"/>
      <c r="AM973" s="19"/>
      <c r="AN973" s="42"/>
      <c r="AO973" s="54"/>
      <c r="AP973" s="19"/>
      <c r="AQ973" s="1"/>
      <c r="AR973" s="74"/>
      <c r="AS973" s="42"/>
      <c r="AT973" s="54"/>
      <c r="AU973" s="54"/>
      <c r="AV973" s="19"/>
      <c r="AW973" s="54"/>
      <c r="AX973" s="57"/>
      <c r="AY973" s="54"/>
      <c r="AZ973" s="54"/>
      <c r="BA973" s="54"/>
      <c r="BB973" s="54"/>
      <c r="BC973" s="57"/>
      <c r="BD973" s="19"/>
      <c r="BE973" s="19"/>
      <c r="BF973" s="19"/>
      <c r="BG973" s="54"/>
      <c r="BI973" s="54"/>
      <c r="BJ973" s="55"/>
      <c r="BK973" s="55"/>
      <c r="BL973" s="54"/>
      <c r="BM973" s="56"/>
      <c r="BN973" s="56"/>
      <c r="BO973" s="52"/>
      <c r="BP973" s="52"/>
      <c r="BQ973" s="52"/>
      <c r="BR973" s="52"/>
      <c r="BS973" s="52"/>
      <c r="BT973" s="52"/>
      <c r="BU973" s="52"/>
      <c r="BV973" s="52"/>
      <c r="BW973" s="52"/>
      <c r="BX973" s="52"/>
      <c r="BY973" s="52"/>
      <c r="BZ973" s="52"/>
      <c r="CA973" s="52"/>
      <c r="CB973" s="52"/>
      <c r="CC973" s="52"/>
      <c r="CD973" s="52"/>
      <c r="CE973" s="52"/>
      <c r="CF973" s="52"/>
      <c r="CG973" s="52"/>
      <c r="CH973" s="52"/>
      <c r="CI973" s="52"/>
      <c r="CJ973" s="52"/>
      <c r="CK973" s="52"/>
      <c r="CL973" s="52"/>
      <c r="CM973" s="52"/>
      <c r="CN973" s="52"/>
      <c r="CO973" s="52"/>
      <c r="CP973" s="52"/>
      <c r="CQ973" s="52"/>
      <c r="CR973" s="52"/>
      <c r="CS973" s="52"/>
      <c r="CT973" s="52"/>
      <c r="CU973" s="52"/>
      <c r="CV973" s="52"/>
      <c r="CW973" s="52"/>
      <c r="CX973" s="52"/>
      <c r="CY973" s="52"/>
      <c r="CZ973" s="52"/>
      <c r="DA973" s="52"/>
      <c r="DB973" s="52"/>
      <c r="DC973" s="52"/>
      <c r="DD973" s="52"/>
      <c r="DE973" s="52"/>
      <c r="DF973" s="52"/>
      <c r="DG973" s="52"/>
      <c r="DH973" s="52"/>
      <c r="DI973" s="52"/>
      <c r="DJ973" s="52"/>
      <c r="DK973" s="52"/>
      <c r="DL973" s="52"/>
      <c r="DM973" s="52"/>
      <c r="DN973" s="52"/>
      <c r="DO973" s="52"/>
      <c r="DP973" s="52"/>
      <c r="DQ973" s="52"/>
      <c r="DR973" s="52"/>
      <c r="DS973" s="52"/>
      <c r="DT973" s="52"/>
      <c r="DU973" s="52"/>
      <c r="DV973" s="52"/>
      <c r="DW973" s="52"/>
      <c r="DX973" s="52"/>
      <c r="DZ973"/>
      <c r="EA973" s="19"/>
      <c r="EB973" s="19"/>
      <c r="EC973" s="9"/>
      <c r="ED973" s="9"/>
      <c r="EE973" s="9"/>
      <c r="EF973" s="9"/>
      <c r="EG973" s="9"/>
      <c r="EH973" s="13"/>
      <c r="EI973" s="13"/>
      <c r="EJ973" s="13"/>
      <c r="EK973" s="13"/>
      <c r="EL973" s="13"/>
      <c r="EM973" s="13"/>
      <c r="EN973" s="13"/>
      <c r="EO973" s="13"/>
      <c r="EP973" s="13"/>
      <c r="EQ973" s="13"/>
      <c r="ER973" s="13"/>
      <c r="ES973" s="13"/>
      <c r="ET973" s="13"/>
      <c r="EU973" s="13"/>
      <c r="EV973" s="13"/>
      <c r="EW973" s="13"/>
      <c r="EX973" s="13"/>
      <c r="EY973" s="13"/>
      <c r="EZ973" s="13"/>
      <c r="FA973" s="13"/>
      <c r="FB973" s="13"/>
      <c r="FC973" s="13"/>
      <c r="FD973" s="13"/>
      <c r="FE973" s="13"/>
      <c r="FF973" s="13"/>
      <c r="FG973" s="13"/>
      <c r="FH973" s="13"/>
      <c r="FI973" s="13"/>
      <c r="FJ973" s="13"/>
      <c r="FK973" s="13"/>
      <c r="FL973" s="13"/>
      <c r="FM973" s="13"/>
      <c r="FN973" s="13"/>
      <c r="FO973" s="13"/>
      <c r="FP973" s="13"/>
      <c r="FQ973" s="13"/>
      <c r="FR973" s="13"/>
      <c r="FS973" s="13"/>
      <c r="FT973" s="13"/>
      <c r="FU973" s="13"/>
      <c r="FV973" s="13"/>
      <c r="FW973" s="13"/>
      <c r="FX973" s="13"/>
      <c r="FY973" s="13"/>
      <c r="FZ973" s="13"/>
      <c r="GA973" s="13"/>
    </row>
    <row r="974" spans="1:183" s="43" customFormat="1" x14ac:dyDescent="0.25">
      <c r="A974" s="2"/>
      <c r="B974" s="2"/>
      <c r="C974" s="9">
        <v>16</v>
      </c>
      <c r="D974" s="9">
        <v>25</v>
      </c>
      <c r="E974" s="9">
        <v>58</v>
      </c>
      <c r="F974" s="9">
        <v>66</v>
      </c>
      <c r="G974" s="9">
        <v>80</v>
      </c>
      <c r="H974" s="9">
        <v>89</v>
      </c>
      <c r="J974" s="9">
        <v>89</v>
      </c>
      <c r="L974" s="39">
        <v>44436</v>
      </c>
      <c r="N974"/>
      <c r="O974"/>
      <c r="P974"/>
      <c r="Q974"/>
      <c r="R974"/>
      <c r="S974"/>
      <c r="T974"/>
      <c r="U974"/>
      <c r="V974"/>
      <c r="W974" s="52"/>
      <c r="Y974"/>
      <c r="Z974"/>
      <c r="AA974"/>
      <c r="AB974"/>
      <c r="AC974"/>
      <c r="AD974"/>
      <c r="AE974"/>
      <c r="AF974"/>
      <c r="AG974"/>
      <c r="AH974" s="52"/>
      <c r="AI974" s="148"/>
      <c r="AJ974" s="19"/>
      <c r="AK974" s="19"/>
      <c r="AL974" s="19"/>
      <c r="AM974" s="19"/>
      <c r="AN974" s="42"/>
      <c r="AO974" s="54"/>
      <c r="AP974" s="19"/>
      <c r="AQ974" s="1"/>
      <c r="AR974" s="74"/>
      <c r="AS974" s="42"/>
      <c r="AT974" s="54"/>
      <c r="AU974" s="54"/>
      <c r="AV974" s="19"/>
      <c r="AW974" s="54"/>
      <c r="AX974" s="57"/>
      <c r="AY974" s="54"/>
      <c r="AZ974" s="54"/>
      <c r="BA974" s="54"/>
      <c r="BB974" s="54"/>
      <c r="BC974" s="57"/>
      <c r="BD974" s="19"/>
      <c r="BE974" s="19"/>
      <c r="BF974" s="19"/>
      <c r="BG974" s="54"/>
      <c r="BI974" s="54"/>
      <c r="BJ974" s="55"/>
      <c r="BK974" s="55"/>
      <c r="BL974" s="54"/>
      <c r="BM974" s="56"/>
      <c r="BN974" s="56"/>
      <c r="BO974" s="52"/>
      <c r="BP974" s="52"/>
      <c r="BQ974" s="52"/>
      <c r="BR974" s="52"/>
      <c r="BS974" s="52"/>
      <c r="BT974" s="52"/>
      <c r="BU974" s="52"/>
      <c r="BV974" s="52"/>
      <c r="BW974" s="52"/>
      <c r="BX974" s="52"/>
      <c r="BY974" s="52"/>
      <c r="BZ974" s="52"/>
      <c r="CA974" s="52"/>
      <c r="CB974" s="52"/>
      <c r="CC974" s="52"/>
      <c r="CD974" s="52"/>
      <c r="CE974" s="52"/>
      <c r="CF974" s="52"/>
      <c r="CG974" s="52"/>
      <c r="CH974" s="52"/>
      <c r="CI974" s="52"/>
      <c r="CJ974" s="52"/>
      <c r="CK974" s="52"/>
      <c r="CL974" s="52"/>
      <c r="CM974" s="52"/>
      <c r="CN974" s="52"/>
      <c r="CO974" s="52"/>
      <c r="CP974" s="52"/>
      <c r="CQ974" s="52"/>
      <c r="CR974" s="52"/>
      <c r="CS974" s="52"/>
      <c r="CT974" s="52"/>
      <c r="CU974" s="52"/>
      <c r="CV974" s="52"/>
      <c r="CW974" s="52"/>
      <c r="CX974" s="52"/>
      <c r="CY974" s="52"/>
      <c r="CZ974" s="52"/>
      <c r="DA974" s="52"/>
      <c r="DB974" s="52"/>
      <c r="DC974" s="52"/>
      <c r="DD974" s="52"/>
      <c r="DE974" s="52"/>
      <c r="DF974" s="52"/>
      <c r="DG974" s="52"/>
      <c r="DH974" s="52"/>
      <c r="DI974" s="52"/>
      <c r="DJ974" s="52"/>
      <c r="DK974" s="52"/>
      <c r="DL974" s="52"/>
      <c r="DM974" s="52"/>
      <c r="DN974" s="52"/>
      <c r="DO974" s="52"/>
      <c r="DP974" s="52"/>
      <c r="DQ974" s="52"/>
      <c r="DR974" s="52"/>
      <c r="DS974" s="52"/>
      <c r="DT974" s="52"/>
      <c r="DU974" s="52"/>
      <c r="DV974" s="52"/>
      <c r="DW974" s="52"/>
      <c r="DX974" s="52"/>
      <c r="DZ974"/>
      <c r="EA974" s="19"/>
      <c r="EB974" s="19"/>
      <c r="EC974" s="9"/>
      <c r="ED974" s="9"/>
      <c r="EE974" s="9"/>
      <c r="EF974" s="9"/>
      <c r="EG974" s="9"/>
      <c r="EH974" s="13"/>
      <c r="EI974" s="13"/>
      <c r="EJ974" s="13"/>
      <c r="EK974" s="13"/>
      <c r="EL974" s="13"/>
      <c r="EM974" s="13"/>
      <c r="EN974" s="13"/>
      <c r="EO974" s="13"/>
      <c r="EP974" s="13"/>
      <c r="EQ974" s="13"/>
      <c r="ER974" s="13"/>
      <c r="ES974" s="13"/>
      <c r="ET974" s="13"/>
      <c r="EU974" s="13"/>
      <c r="EV974" s="13"/>
      <c r="EW974" s="13"/>
      <c r="EX974" s="13"/>
      <c r="EY974" s="13"/>
      <c r="EZ974" s="13"/>
      <c r="FA974" s="13"/>
      <c r="FB974" s="13"/>
      <c r="FC974" s="13"/>
      <c r="FD974" s="13"/>
      <c r="FE974" s="13"/>
      <c r="FF974" s="13"/>
      <c r="FG974" s="13"/>
      <c r="FH974" s="13"/>
      <c r="FI974" s="13"/>
      <c r="FJ974" s="13"/>
      <c r="FK974" s="13"/>
      <c r="FL974" s="13"/>
      <c r="FM974" s="13"/>
      <c r="FN974" s="13"/>
      <c r="FO974" s="13"/>
      <c r="FP974" s="13"/>
      <c r="FQ974" s="13"/>
      <c r="FR974" s="13"/>
      <c r="FS974" s="13"/>
      <c r="FT974" s="13"/>
      <c r="FU974" s="13"/>
      <c r="FV974" s="13"/>
      <c r="FW974" s="13"/>
      <c r="FX974" s="13"/>
      <c r="FY974" s="13"/>
      <c r="FZ974" s="13"/>
      <c r="GA974" s="13"/>
    </row>
    <row r="975" spans="1:183" s="43" customFormat="1" x14ac:dyDescent="0.25">
      <c r="A975" s="2"/>
      <c r="B975" s="2"/>
      <c r="C975" s="9">
        <v>22</v>
      </c>
      <c r="D975" s="9">
        <v>34</v>
      </c>
      <c r="E975" s="9">
        <v>49</v>
      </c>
      <c r="F975" s="9">
        <v>54</v>
      </c>
      <c r="G975" s="9">
        <v>63</v>
      </c>
      <c r="H975" s="9">
        <v>89</v>
      </c>
      <c r="J975" s="9">
        <v>89</v>
      </c>
      <c r="L975" s="39">
        <v>44433</v>
      </c>
      <c r="N975"/>
      <c r="O975"/>
      <c r="P975"/>
      <c r="Q975"/>
      <c r="R975"/>
      <c r="S975"/>
      <c r="T975"/>
      <c r="U975"/>
      <c r="V975"/>
      <c r="W975" s="52"/>
      <c r="Y975"/>
      <c r="Z975"/>
      <c r="AA975"/>
      <c r="AB975"/>
      <c r="AC975"/>
      <c r="AD975"/>
      <c r="AE975"/>
      <c r="AF975"/>
      <c r="AG975"/>
      <c r="AH975" s="52"/>
      <c r="AI975" s="148"/>
      <c r="AJ975" s="19"/>
      <c r="AK975" s="19"/>
      <c r="AL975" s="19"/>
      <c r="AM975" s="19"/>
      <c r="AN975" s="42"/>
      <c r="AO975" s="54"/>
      <c r="AP975" s="19"/>
      <c r="AQ975" s="1"/>
      <c r="AR975" s="74"/>
      <c r="AS975" s="42"/>
      <c r="AT975" s="54"/>
      <c r="AU975" s="54"/>
      <c r="AV975" s="19"/>
      <c r="AW975" s="54"/>
      <c r="AX975" s="57"/>
      <c r="AY975" s="54"/>
      <c r="AZ975" s="54"/>
      <c r="BA975" s="54"/>
      <c r="BB975" s="54"/>
      <c r="BC975" s="57"/>
      <c r="BD975" s="19"/>
      <c r="BE975" s="19"/>
      <c r="BF975" s="19"/>
      <c r="BG975" s="54"/>
      <c r="BI975" s="54"/>
      <c r="BJ975" s="55"/>
      <c r="BK975" s="55"/>
      <c r="BL975" s="54"/>
      <c r="BM975" s="56"/>
      <c r="BN975" s="56"/>
      <c r="BO975" s="52"/>
      <c r="BP975" s="52"/>
      <c r="BQ975" s="52"/>
      <c r="BR975" s="52"/>
      <c r="BS975" s="52"/>
      <c r="BT975" s="52"/>
      <c r="BU975" s="52"/>
      <c r="BV975" s="52"/>
      <c r="BW975" s="52"/>
      <c r="BX975" s="52"/>
      <c r="BY975" s="52"/>
      <c r="BZ975" s="52"/>
      <c r="CA975" s="52"/>
      <c r="CB975" s="52"/>
      <c r="CC975" s="52"/>
      <c r="CD975" s="52"/>
      <c r="CE975" s="52"/>
      <c r="CF975" s="52"/>
      <c r="CG975" s="52"/>
      <c r="CH975" s="52"/>
      <c r="CI975" s="52"/>
      <c r="CJ975" s="52"/>
      <c r="CK975" s="52"/>
      <c r="CL975" s="52"/>
      <c r="CM975" s="52"/>
      <c r="CN975" s="52"/>
      <c r="CO975" s="52"/>
      <c r="CP975" s="52"/>
      <c r="CQ975" s="52"/>
      <c r="CR975" s="52"/>
      <c r="CS975" s="52"/>
      <c r="CT975" s="52"/>
      <c r="CU975" s="52"/>
      <c r="CV975" s="52"/>
      <c r="CW975" s="52"/>
      <c r="CX975" s="52"/>
      <c r="CY975" s="52"/>
      <c r="CZ975" s="52"/>
      <c r="DA975" s="52"/>
      <c r="DB975" s="52"/>
      <c r="DC975" s="52"/>
      <c r="DD975" s="52"/>
      <c r="DE975" s="52"/>
      <c r="DF975" s="52"/>
      <c r="DG975" s="52"/>
      <c r="DH975" s="52"/>
      <c r="DI975" s="52"/>
      <c r="DJ975" s="52"/>
      <c r="DK975" s="52"/>
      <c r="DL975" s="52"/>
      <c r="DM975" s="52"/>
      <c r="DN975" s="52"/>
      <c r="DO975" s="52"/>
      <c r="DP975" s="52"/>
      <c r="DQ975" s="52"/>
      <c r="DR975" s="52"/>
      <c r="DS975" s="52"/>
      <c r="DT975" s="52"/>
      <c r="DU975" s="52"/>
      <c r="DV975" s="52"/>
      <c r="DW975" s="52"/>
      <c r="DX975" s="52"/>
      <c r="DZ975"/>
      <c r="EA975" s="19"/>
      <c r="EB975" s="19"/>
      <c r="EC975" s="9"/>
      <c r="ED975" s="9"/>
      <c r="EE975" s="9"/>
      <c r="EF975" s="9"/>
      <c r="EG975" s="9"/>
      <c r="EH975" s="13"/>
      <c r="EI975" s="13"/>
      <c r="EJ975" s="13"/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/>
      <c r="FB975" s="13"/>
      <c r="FC975" s="13"/>
      <c r="FD975" s="13"/>
      <c r="FE975" s="13"/>
      <c r="FF975" s="13"/>
      <c r="FG975" s="13"/>
      <c r="FH975" s="13"/>
      <c r="FI975" s="13"/>
      <c r="FJ975" s="13"/>
      <c r="FK975" s="13"/>
      <c r="FL975" s="13"/>
      <c r="FM975" s="13"/>
      <c r="FN975" s="13"/>
      <c r="FO975" s="13"/>
      <c r="FP975" s="13"/>
      <c r="FQ975" s="13"/>
      <c r="FR975" s="13"/>
      <c r="FS975" s="13"/>
      <c r="FT975" s="13"/>
      <c r="FU975" s="13"/>
      <c r="FV975" s="13"/>
      <c r="FW975" s="13"/>
      <c r="FX975" s="13"/>
      <c r="FY975" s="13"/>
      <c r="FZ975" s="13"/>
      <c r="GA975" s="13"/>
    </row>
    <row r="976" spans="1:183" s="43" customFormat="1" x14ac:dyDescent="0.25">
      <c r="A976" s="2"/>
      <c r="B976" s="2"/>
      <c r="C976" s="9">
        <v>12</v>
      </c>
      <c r="D976" s="9">
        <v>14</v>
      </c>
      <c r="E976" s="9">
        <v>23</v>
      </c>
      <c r="F976" s="9">
        <v>31</v>
      </c>
      <c r="G976" s="9">
        <v>32</v>
      </c>
      <c r="H976" s="9">
        <v>87</v>
      </c>
      <c r="J976" s="9">
        <v>87</v>
      </c>
      <c r="L976" s="39">
        <v>44431</v>
      </c>
      <c r="N976"/>
      <c r="O976"/>
      <c r="P976"/>
      <c r="Q976"/>
      <c r="R976"/>
      <c r="S976"/>
      <c r="T976"/>
      <c r="U976"/>
      <c r="V976"/>
      <c r="W976" s="52"/>
      <c r="Y976"/>
      <c r="Z976"/>
      <c r="AA976"/>
      <c r="AB976"/>
      <c r="AC976"/>
      <c r="AD976"/>
      <c r="AE976"/>
      <c r="AF976"/>
      <c r="AG976"/>
      <c r="AH976" s="52"/>
      <c r="AI976" s="148"/>
      <c r="AJ976" s="19"/>
      <c r="AK976" s="19"/>
      <c r="AL976" s="19"/>
      <c r="AM976" s="19"/>
      <c r="AN976" s="42"/>
      <c r="AO976" s="54"/>
      <c r="AP976" s="19"/>
      <c r="AQ976" s="1"/>
      <c r="AR976" s="74"/>
      <c r="AS976" s="42"/>
      <c r="AT976" s="54"/>
      <c r="AU976" s="54"/>
      <c r="AV976" s="19"/>
      <c r="AW976" s="54"/>
      <c r="AX976" s="57"/>
      <c r="AY976" s="54"/>
      <c r="AZ976" s="54"/>
      <c r="BA976" s="54"/>
      <c r="BB976" s="54"/>
      <c r="BC976" s="57"/>
      <c r="BD976" s="19"/>
      <c r="BE976" s="19"/>
      <c r="BF976" s="19"/>
      <c r="BG976" s="54"/>
      <c r="BI976" s="54"/>
      <c r="BJ976" s="55"/>
      <c r="BK976" s="55"/>
      <c r="BL976" s="54"/>
      <c r="BM976" s="56"/>
      <c r="BN976" s="56"/>
      <c r="BO976" s="52"/>
      <c r="BP976" s="52"/>
      <c r="BQ976" s="52"/>
      <c r="BR976" s="52"/>
      <c r="BS976" s="52"/>
      <c r="BT976" s="52"/>
      <c r="BU976" s="52"/>
      <c r="BV976" s="52"/>
      <c r="BW976" s="52"/>
      <c r="BX976" s="52"/>
      <c r="BY976" s="52"/>
      <c r="BZ976" s="52"/>
      <c r="CA976" s="52"/>
      <c r="CB976" s="52"/>
      <c r="CC976" s="52"/>
      <c r="CD976" s="52"/>
      <c r="CE976" s="52"/>
      <c r="CF976" s="52"/>
      <c r="CG976" s="52"/>
      <c r="CH976" s="52"/>
      <c r="CI976" s="52"/>
      <c r="CJ976" s="52"/>
      <c r="CK976" s="52"/>
      <c r="CL976" s="52"/>
      <c r="CM976" s="52"/>
      <c r="CN976" s="52"/>
      <c r="CO976" s="52"/>
      <c r="CP976" s="52"/>
      <c r="CQ976" s="52"/>
      <c r="CR976" s="52"/>
      <c r="CS976" s="52"/>
      <c r="CT976" s="52"/>
      <c r="CU976" s="52"/>
      <c r="CV976" s="52"/>
      <c r="CW976" s="52"/>
      <c r="CX976" s="52"/>
      <c r="CY976" s="52"/>
      <c r="CZ976" s="52"/>
      <c r="DA976" s="52"/>
      <c r="DB976" s="52"/>
      <c r="DC976" s="52"/>
      <c r="DD976" s="52"/>
      <c r="DE976" s="52"/>
      <c r="DF976" s="52"/>
      <c r="DG976" s="52"/>
      <c r="DH976" s="52"/>
      <c r="DI976" s="52"/>
      <c r="DJ976" s="52"/>
      <c r="DK976" s="52"/>
      <c r="DL976" s="52"/>
      <c r="DM976" s="52"/>
      <c r="DN976" s="52"/>
      <c r="DO976" s="52"/>
      <c r="DP976" s="52"/>
      <c r="DQ976" s="52"/>
      <c r="DR976" s="52"/>
      <c r="DS976" s="52"/>
      <c r="DT976" s="52"/>
      <c r="DU976" s="52"/>
      <c r="DV976" s="52"/>
      <c r="DW976" s="52"/>
      <c r="DX976" s="52"/>
      <c r="DZ976"/>
      <c r="EA976" s="19"/>
      <c r="EB976" s="19"/>
      <c r="EC976" s="9"/>
      <c r="ED976" s="9"/>
      <c r="EE976" s="9"/>
      <c r="EF976" s="9"/>
      <c r="EG976" s="9"/>
      <c r="EH976" s="13"/>
      <c r="EI976" s="13"/>
      <c r="EJ976" s="13"/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13"/>
      <c r="EX976" s="13"/>
      <c r="EY976" s="13"/>
      <c r="EZ976" s="13"/>
      <c r="FA976" s="13"/>
      <c r="FB976" s="13"/>
      <c r="FC976" s="13"/>
      <c r="FD976" s="13"/>
      <c r="FE976" s="13"/>
      <c r="FF976" s="13"/>
      <c r="FG976" s="13"/>
      <c r="FH976" s="13"/>
      <c r="FI976" s="13"/>
      <c r="FJ976" s="13"/>
      <c r="FK976" s="13"/>
      <c r="FL976" s="13"/>
      <c r="FM976" s="13"/>
      <c r="FN976" s="13"/>
      <c r="FO976" s="13"/>
      <c r="FP976" s="13"/>
      <c r="FQ976" s="13"/>
      <c r="FR976" s="13"/>
      <c r="FS976" s="13"/>
      <c r="FT976" s="13"/>
      <c r="FU976" s="13"/>
      <c r="FV976" s="13"/>
      <c r="FW976" s="13"/>
      <c r="FX976" s="13"/>
      <c r="FY976" s="13"/>
      <c r="FZ976" s="13"/>
      <c r="GA976" s="13"/>
    </row>
    <row r="977" spans="1:183" s="43" customFormat="1" x14ac:dyDescent="0.25">
      <c r="A977" s="2"/>
      <c r="B977" s="2"/>
      <c r="C977" s="9">
        <v>14</v>
      </c>
      <c r="D977" s="9">
        <v>40</v>
      </c>
      <c r="E977" s="9">
        <v>41</v>
      </c>
      <c r="F977" s="9">
        <v>44</v>
      </c>
      <c r="G977" s="9">
        <v>72</v>
      </c>
      <c r="H977" s="9">
        <v>77</v>
      </c>
      <c r="J977" s="9">
        <v>77</v>
      </c>
      <c r="L977" s="39">
        <v>44429</v>
      </c>
      <c r="N977"/>
      <c r="O977"/>
      <c r="P977"/>
      <c r="Q977"/>
      <c r="R977"/>
      <c r="S977"/>
      <c r="T977"/>
      <c r="U977"/>
      <c r="V977"/>
      <c r="W977" s="52"/>
      <c r="Y977"/>
      <c r="Z977"/>
      <c r="AA977"/>
      <c r="AB977"/>
      <c r="AC977"/>
      <c r="AD977"/>
      <c r="AE977"/>
      <c r="AF977"/>
      <c r="AG977"/>
      <c r="AH977" s="52"/>
      <c r="AI977" s="148"/>
      <c r="AJ977" s="19"/>
      <c r="AK977" s="19"/>
      <c r="AL977" s="19"/>
      <c r="AM977" s="19"/>
      <c r="AN977" s="42"/>
      <c r="AO977" s="54"/>
      <c r="AP977" s="19"/>
      <c r="AQ977" s="1"/>
      <c r="AR977" s="74"/>
      <c r="AS977" s="42"/>
      <c r="AT977" s="54"/>
      <c r="AU977" s="54"/>
      <c r="AV977" s="19"/>
      <c r="AW977" s="54"/>
      <c r="AX977" s="57"/>
      <c r="AY977" s="54"/>
      <c r="AZ977" s="54"/>
      <c r="BA977" s="54"/>
      <c r="BB977" s="54"/>
      <c r="BC977" s="57"/>
      <c r="BD977" s="19"/>
      <c r="BE977" s="19"/>
      <c r="BF977" s="19"/>
      <c r="BG977" s="54"/>
      <c r="BI977" s="54"/>
      <c r="BJ977" s="55"/>
      <c r="BK977" s="55"/>
      <c r="BL977" s="54"/>
      <c r="BM977" s="56"/>
      <c r="BN977" s="56"/>
      <c r="BO977" s="52"/>
      <c r="BP977" s="52"/>
      <c r="BQ977" s="52"/>
      <c r="BR977" s="52"/>
      <c r="BS977" s="52"/>
      <c r="BT977" s="52"/>
      <c r="BU977" s="52"/>
      <c r="BV977" s="52"/>
      <c r="BW977" s="52"/>
      <c r="BX977" s="52"/>
      <c r="BY977" s="52"/>
      <c r="BZ977" s="52"/>
      <c r="CA977" s="52"/>
      <c r="CB977" s="52"/>
      <c r="CC977" s="52"/>
      <c r="CD977" s="52"/>
      <c r="CE977" s="52"/>
      <c r="CF977" s="52"/>
      <c r="CG977" s="52"/>
      <c r="CH977" s="52"/>
      <c r="CI977" s="52"/>
      <c r="CJ977" s="52"/>
      <c r="CK977" s="52"/>
      <c r="CL977" s="52"/>
      <c r="CM977" s="52"/>
      <c r="CN977" s="52"/>
      <c r="CO977" s="52"/>
      <c r="CP977" s="52"/>
      <c r="CQ977" s="52"/>
      <c r="CR977" s="52"/>
      <c r="CS977" s="52"/>
      <c r="CT977" s="52"/>
      <c r="CU977" s="52"/>
      <c r="CV977" s="52"/>
      <c r="CW977" s="52"/>
      <c r="CX977" s="52"/>
      <c r="CY977" s="52"/>
      <c r="CZ977" s="52"/>
      <c r="DA977" s="52"/>
      <c r="DB977" s="52"/>
      <c r="DC977" s="52"/>
      <c r="DD977" s="52"/>
      <c r="DE977" s="52"/>
      <c r="DF977" s="52"/>
      <c r="DG977" s="52"/>
      <c r="DH977" s="52"/>
      <c r="DI977" s="52"/>
      <c r="DJ977" s="52"/>
      <c r="DK977" s="52"/>
      <c r="DL977" s="52"/>
      <c r="DM977" s="52"/>
      <c r="DN977" s="52"/>
      <c r="DO977" s="52"/>
      <c r="DP977" s="52"/>
      <c r="DQ977" s="52"/>
      <c r="DR977" s="52"/>
      <c r="DS977" s="52"/>
      <c r="DT977" s="52"/>
      <c r="DU977" s="52"/>
      <c r="DV977" s="52"/>
      <c r="DW977" s="52"/>
      <c r="DX977" s="52"/>
      <c r="DZ977"/>
      <c r="EA977" s="19"/>
      <c r="EB977" s="19"/>
      <c r="EC977" s="9"/>
      <c r="ED977" s="9"/>
      <c r="EE977" s="9"/>
      <c r="EF977" s="9"/>
      <c r="EG977" s="9"/>
      <c r="EH977" s="13"/>
      <c r="EI977" s="13"/>
      <c r="EJ977" s="13"/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3"/>
      <c r="EV977" s="13"/>
      <c r="EW977" s="13"/>
      <c r="EX977" s="13"/>
      <c r="EY977" s="13"/>
      <c r="EZ977" s="13"/>
      <c r="FA977" s="13"/>
      <c r="FB977" s="13"/>
      <c r="FC977" s="13"/>
      <c r="FD977" s="13"/>
      <c r="FE977" s="13"/>
      <c r="FF977" s="13"/>
      <c r="FG977" s="13"/>
      <c r="FH977" s="13"/>
      <c r="FI977" s="13"/>
      <c r="FJ977" s="13"/>
      <c r="FK977" s="13"/>
      <c r="FL977" s="13"/>
      <c r="FM977" s="13"/>
      <c r="FN977" s="13"/>
      <c r="FO977" s="13"/>
      <c r="FP977" s="13"/>
      <c r="FQ977" s="13"/>
      <c r="FR977" s="13"/>
      <c r="FS977" s="13"/>
      <c r="FT977" s="13"/>
      <c r="FU977" s="13"/>
      <c r="FV977" s="13"/>
      <c r="FW977" s="13"/>
      <c r="FX977" s="13"/>
      <c r="FY977" s="13"/>
      <c r="FZ977" s="13"/>
      <c r="GA977" s="13"/>
    </row>
    <row r="978" spans="1:183" s="43" customFormat="1" x14ac:dyDescent="0.25">
      <c r="A978" s="2"/>
      <c r="B978" s="2"/>
      <c r="C978" s="9">
        <v>36</v>
      </c>
      <c r="D978" s="9">
        <v>41</v>
      </c>
      <c r="E978" s="9">
        <v>48</v>
      </c>
      <c r="F978" s="9">
        <v>59</v>
      </c>
      <c r="G978" s="9">
        <v>64</v>
      </c>
      <c r="H978" s="9">
        <v>84</v>
      </c>
      <c r="J978" s="9">
        <v>84</v>
      </c>
      <c r="L978" s="39">
        <v>44426</v>
      </c>
      <c r="N978"/>
      <c r="O978"/>
      <c r="P978"/>
      <c r="Q978"/>
      <c r="R978"/>
      <c r="S978"/>
      <c r="T978"/>
      <c r="U978"/>
      <c r="V978"/>
      <c r="W978" s="52"/>
      <c r="Y978"/>
      <c r="Z978"/>
      <c r="AA978"/>
      <c r="AB978"/>
      <c r="AC978"/>
      <c r="AD978"/>
      <c r="AE978"/>
      <c r="AF978"/>
      <c r="AG978"/>
      <c r="AH978" s="52"/>
      <c r="AI978" s="148"/>
      <c r="AJ978" s="19"/>
      <c r="AK978" s="19"/>
      <c r="AL978" s="19"/>
      <c r="AM978" s="19"/>
      <c r="AN978" s="42"/>
      <c r="AO978" s="54"/>
      <c r="AP978" s="19"/>
      <c r="AQ978" s="1"/>
      <c r="AR978" s="74"/>
      <c r="AS978" s="42"/>
      <c r="AT978" s="54"/>
      <c r="AU978" s="54"/>
      <c r="AV978" s="19"/>
      <c r="AW978" s="54"/>
      <c r="AX978" s="57"/>
      <c r="AY978" s="54"/>
      <c r="AZ978" s="54"/>
      <c r="BA978" s="54"/>
      <c r="BB978" s="54"/>
      <c r="BC978" s="57"/>
      <c r="BD978" s="19"/>
      <c r="BE978" s="19"/>
      <c r="BF978" s="19"/>
      <c r="BG978" s="54"/>
      <c r="BI978" s="54"/>
      <c r="BJ978" s="55"/>
      <c r="BK978" s="55"/>
      <c r="BL978" s="54"/>
      <c r="BM978" s="56"/>
      <c r="BN978" s="56"/>
      <c r="BO978" s="52"/>
      <c r="BP978" s="52"/>
      <c r="BQ978" s="52"/>
      <c r="BR978" s="52"/>
      <c r="BS978" s="52"/>
      <c r="BT978" s="52"/>
      <c r="BU978" s="52"/>
      <c r="BV978" s="52"/>
      <c r="BW978" s="52"/>
      <c r="BX978" s="52"/>
      <c r="BY978" s="52"/>
      <c r="BZ978" s="52"/>
      <c r="CA978" s="52"/>
      <c r="CB978" s="52"/>
      <c r="CC978" s="52"/>
      <c r="CD978" s="52"/>
      <c r="CE978" s="52"/>
      <c r="CF978" s="52"/>
      <c r="CG978" s="52"/>
      <c r="CH978" s="52"/>
      <c r="CI978" s="52"/>
      <c r="CJ978" s="52"/>
      <c r="CK978" s="52"/>
      <c r="CL978" s="52"/>
      <c r="CM978" s="52"/>
      <c r="CN978" s="52"/>
      <c r="CO978" s="52"/>
      <c r="CP978" s="52"/>
      <c r="CQ978" s="52"/>
      <c r="CR978" s="52"/>
      <c r="CS978" s="52"/>
      <c r="CT978" s="52"/>
      <c r="CU978" s="52"/>
      <c r="CV978" s="52"/>
      <c r="CW978" s="52"/>
      <c r="CX978" s="52"/>
      <c r="CY978" s="52"/>
      <c r="CZ978" s="52"/>
      <c r="DA978" s="52"/>
      <c r="DB978" s="52"/>
      <c r="DC978" s="52"/>
      <c r="DD978" s="52"/>
      <c r="DE978" s="52"/>
      <c r="DF978" s="52"/>
      <c r="DG978" s="52"/>
      <c r="DH978" s="52"/>
      <c r="DI978" s="52"/>
      <c r="DJ978" s="52"/>
      <c r="DK978" s="52"/>
      <c r="DL978" s="52"/>
      <c r="DM978" s="52"/>
      <c r="DN978" s="52"/>
      <c r="DO978" s="52"/>
      <c r="DP978" s="52"/>
      <c r="DQ978" s="52"/>
      <c r="DR978" s="52"/>
      <c r="DS978" s="52"/>
      <c r="DT978" s="52"/>
      <c r="DU978" s="52"/>
      <c r="DV978" s="52"/>
      <c r="DW978" s="52"/>
      <c r="DX978" s="52"/>
      <c r="DZ978"/>
      <c r="EA978" s="19"/>
      <c r="EB978" s="19"/>
      <c r="EC978" s="9"/>
      <c r="ED978" s="9"/>
      <c r="EE978" s="9"/>
      <c r="EF978" s="9"/>
      <c r="EG978" s="9"/>
      <c r="EH978" s="13"/>
      <c r="EI978" s="13"/>
      <c r="EJ978" s="13"/>
      <c r="EK978" s="13"/>
      <c r="EL978" s="13"/>
      <c r="EM978" s="13"/>
      <c r="EN978" s="13"/>
      <c r="EO978" s="13"/>
      <c r="EP978" s="13"/>
      <c r="EQ978" s="13"/>
      <c r="ER978" s="13"/>
      <c r="ES978" s="13"/>
      <c r="ET978" s="13"/>
      <c r="EU978" s="13"/>
      <c r="EV978" s="13"/>
      <c r="EW978" s="13"/>
      <c r="EX978" s="13"/>
      <c r="EY978" s="13"/>
      <c r="EZ978" s="13"/>
      <c r="FA978" s="13"/>
      <c r="FB978" s="13"/>
      <c r="FC978" s="13"/>
      <c r="FD978" s="13"/>
      <c r="FE978" s="13"/>
      <c r="FF978" s="13"/>
      <c r="FG978" s="13"/>
      <c r="FH978" s="13"/>
      <c r="FI978" s="13"/>
      <c r="FJ978" s="13"/>
      <c r="FK978" s="13"/>
      <c r="FL978" s="13"/>
      <c r="FM978" s="13"/>
      <c r="FN978" s="13"/>
      <c r="FO978" s="13"/>
      <c r="FP978" s="13"/>
      <c r="FQ978" s="13"/>
      <c r="FR978" s="13"/>
      <c r="FS978" s="13"/>
      <c r="FT978" s="13"/>
      <c r="FU978" s="13"/>
      <c r="FV978" s="13"/>
      <c r="FW978" s="13"/>
      <c r="FX978" s="13"/>
      <c r="FY978" s="13"/>
      <c r="FZ978" s="13"/>
      <c r="GA978" s="13"/>
    </row>
    <row r="979" spans="1:183" s="43" customFormat="1" x14ac:dyDescent="0.25">
      <c r="A979" s="2"/>
      <c r="B979" s="2"/>
      <c r="C979" s="9">
        <v>29</v>
      </c>
      <c r="D979" s="9">
        <v>44</v>
      </c>
      <c r="E979" s="9">
        <v>45</v>
      </c>
      <c r="F979" s="9">
        <v>67</v>
      </c>
      <c r="G979" s="9">
        <v>84</v>
      </c>
      <c r="H979" s="9">
        <v>86</v>
      </c>
      <c r="J979" s="9">
        <v>86</v>
      </c>
      <c r="L979" s="39">
        <v>44424</v>
      </c>
      <c r="N979"/>
      <c r="O979"/>
      <c r="P979"/>
      <c r="Q979"/>
      <c r="R979"/>
      <c r="S979"/>
      <c r="T979"/>
      <c r="U979"/>
      <c r="V979"/>
      <c r="W979" s="52"/>
      <c r="Y979"/>
      <c r="Z979"/>
      <c r="AA979"/>
      <c r="AB979"/>
      <c r="AC979"/>
      <c r="AD979"/>
      <c r="AE979"/>
      <c r="AF979"/>
      <c r="AG979"/>
      <c r="AH979" s="52"/>
      <c r="AI979" s="148"/>
      <c r="AJ979" s="19"/>
      <c r="AK979" s="19"/>
      <c r="AL979" s="19"/>
      <c r="AM979" s="19"/>
      <c r="AN979" s="42"/>
      <c r="AO979" s="54"/>
      <c r="AP979" s="19"/>
      <c r="AQ979" s="1"/>
      <c r="AR979" s="74"/>
      <c r="AS979" s="42"/>
      <c r="AT979" s="54"/>
      <c r="AU979" s="54"/>
      <c r="AV979" s="19"/>
      <c r="AW979" s="54"/>
      <c r="AX979" s="57"/>
      <c r="AY979" s="54"/>
      <c r="AZ979" s="54"/>
      <c r="BA979" s="54"/>
      <c r="BB979" s="54"/>
      <c r="BC979" s="57"/>
      <c r="BD979" s="19"/>
      <c r="BE979" s="19"/>
      <c r="BF979" s="19"/>
      <c r="BG979" s="54"/>
      <c r="BI979" s="54"/>
      <c r="BJ979" s="55"/>
      <c r="BK979" s="55"/>
      <c r="BL979" s="54"/>
      <c r="BM979" s="56"/>
      <c r="BN979" s="56"/>
      <c r="BO979" s="52"/>
      <c r="BP979" s="52"/>
      <c r="BQ979" s="52"/>
      <c r="BR979" s="52"/>
      <c r="BS979" s="52"/>
      <c r="BT979" s="52"/>
      <c r="BU979" s="52"/>
      <c r="BV979" s="52"/>
      <c r="BW979" s="52"/>
      <c r="BX979" s="52"/>
      <c r="BY979" s="52"/>
      <c r="BZ979" s="52"/>
      <c r="CA979" s="52"/>
      <c r="CB979" s="52"/>
      <c r="CC979" s="52"/>
      <c r="CD979" s="52"/>
      <c r="CE979" s="52"/>
      <c r="CF979" s="52"/>
      <c r="CG979" s="52"/>
      <c r="CH979" s="52"/>
      <c r="CI979" s="52"/>
      <c r="CJ979" s="52"/>
      <c r="CK979" s="52"/>
      <c r="CL979" s="52"/>
      <c r="CM979" s="52"/>
      <c r="CN979" s="52"/>
      <c r="CO979" s="52"/>
      <c r="CP979" s="52"/>
      <c r="CQ979" s="52"/>
      <c r="CR979" s="52"/>
      <c r="CS979" s="52"/>
      <c r="CT979" s="52"/>
      <c r="CU979" s="52"/>
      <c r="CV979" s="52"/>
      <c r="CW979" s="52"/>
      <c r="CX979" s="52"/>
      <c r="CY979" s="52"/>
      <c r="CZ979" s="52"/>
      <c r="DA979" s="52"/>
      <c r="DB979" s="52"/>
      <c r="DC979" s="52"/>
      <c r="DD979" s="52"/>
      <c r="DE979" s="52"/>
      <c r="DF979" s="52"/>
      <c r="DG979" s="52"/>
      <c r="DH979" s="52"/>
      <c r="DI979" s="52"/>
      <c r="DJ979" s="52"/>
      <c r="DK979" s="52"/>
      <c r="DL979" s="52"/>
      <c r="DM979" s="52"/>
      <c r="DN979" s="52"/>
      <c r="DO979" s="52"/>
      <c r="DP979" s="52"/>
      <c r="DQ979" s="52"/>
      <c r="DR979" s="52"/>
      <c r="DS979" s="52"/>
      <c r="DT979" s="52"/>
      <c r="DU979" s="52"/>
      <c r="DV979" s="52"/>
      <c r="DW979" s="52"/>
      <c r="DX979" s="52"/>
      <c r="DZ979"/>
      <c r="EA979" s="19"/>
      <c r="EB979" s="19"/>
      <c r="EC979" s="9"/>
      <c r="ED979" s="9"/>
      <c r="EE979" s="9"/>
      <c r="EF979" s="9"/>
      <c r="EG979" s="9"/>
      <c r="EH979" s="13"/>
      <c r="EI979" s="13"/>
      <c r="EJ979" s="13"/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  <c r="EV979" s="13"/>
      <c r="EW979" s="13"/>
      <c r="EX979" s="13"/>
      <c r="EY979" s="13"/>
      <c r="EZ979" s="13"/>
      <c r="FA979" s="13"/>
      <c r="FB979" s="13"/>
      <c r="FC979" s="13"/>
      <c r="FD979" s="13"/>
      <c r="FE979" s="13"/>
      <c r="FF979" s="13"/>
      <c r="FG979" s="13"/>
      <c r="FH979" s="13"/>
      <c r="FI979" s="13"/>
      <c r="FJ979" s="13"/>
      <c r="FK979" s="13"/>
      <c r="FL979" s="13"/>
      <c r="FM979" s="13"/>
      <c r="FN979" s="13"/>
      <c r="FO979" s="13"/>
      <c r="FP979" s="13"/>
      <c r="FQ979" s="13"/>
      <c r="FR979" s="13"/>
      <c r="FS979" s="13"/>
      <c r="FT979" s="13"/>
      <c r="FU979" s="13"/>
      <c r="FV979" s="13"/>
      <c r="FW979" s="13"/>
      <c r="FX979" s="13"/>
      <c r="FY979" s="13"/>
      <c r="FZ979" s="13"/>
      <c r="GA979" s="13"/>
    </row>
    <row r="980" spans="1:183" s="43" customFormat="1" x14ac:dyDescent="0.25">
      <c r="A980" s="2"/>
      <c r="B980" s="2"/>
      <c r="C980" s="9">
        <v>2</v>
      </c>
      <c r="D980" s="9">
        <v>5</v>
      </c>
      <c r="E980" s="9">
        <v>44</v>
      </c>
      <c r="F980" s="9">
        <v>64</v>
      </c>
      <c r="G980" s="9">
        <v>71</v>
      </c>
      <c r="H980" s="9">
        <v>80</v>
      </c>
      <c r="J980" s="9">
        <v>80</v>
      </c>
      <c r="L980" s="39">
        <v>44422</v>
      </c>
      <c r="N980"/>
      <c r="O980"/>
      <c r="P980"/>
      <c r="Q980"/>
      <c r="R980"/>
      <c r="S980"/>
      <c r="T980"/>
      <c r="U980"/>
      <c r="V980"/>
      <c r="W980" s="52"/>
      <c r="Y980"/>
      <c r="Z980"/>
      <c r="AA980"/>
      <c r="AB980"/>
      <c r="AC980"/>
      <c r="AD980"/>
      <c r="AE980"/>
      <c r="AF980"/>
      <c r="AG980"/>
      <c r="AH980" s="52"/>
      <c r="AI980" s="148"/>
      <c r="AJ980" s="19"/>
      <c r="AK980" s="19"/>
      <c r="AL980" s="19"/>
      <c r="AM980" s="19"/>
      <c r="AN980" s="42"/>
      <c r="AO980" s="54"/>
      <c r="AP980" s="19"/>
      <c r="AQ980" s="1"/>
      <c r="AR980" s="74"/>
      <c r="AS980" s="42"/>
      <c r="AT980" s="54"/>
      <c r="AU980" s="54"/>
      <c r="AV980" s="19"/>
      <c r="AW980" s="54"/>
      <c r="AX980" s="57"/>
      <c r="AY980" s="54"/>
      <c r="AZ980" s="54"/>
      <c r="BA980" s="54"/>
      <c r="BB980" s="54"/>
      <c r="BC980" s="57"/>
      <c r="BD980" s="19"/>
      <c r="BE980" s="19"/>
      <c r="BF980" s="19"/>
      <c r="BG980" s="54"/>
      <c r="BI980" s="54"/>
      <c r="BJ980" s="55"/>
      <c r="BK980" s="55"/>
      <c r="BL980" s="54"/>
      <c r="BM980" s="56"/>
      <c r="BN980" s="56"/>
      <c r="BO980" s="52"/>
      <c r="BP980" s="52"/>
      <c r="BQ980" s="52"/>
      <c r="BR980" s="52"/>
      <c r="BS980" s="52"/>
      <c r="BT980" s="52"/>
      <c r="BU980" s="52"/>
      <c r="BV980" s="52"/>
      <c r="BW980" s="52"/>
      <c r="BX980" s="52"/>
      <c r="BY980" s="52"/>
      <c r="BZ980" s="52"/>
      <c r="CA980" s="52"/>
      <c r="CB980" s="52"/>
      <c r="CC980" s="52"/>
      <c r="CD980" s="52"/>
      <c r="CE980" s="52"/>
      <c r="CF980" s="52"/>
      <c r="CG980" s="52"/>
      <c r="CH980" s="52"/>
      <c r="CI980" s="52"/>
      <c r="CJ980" s="52"/>
      <c r="CK980" s="52"/>
      <c r="CL980" s="52"/>
      <c r="CM980" s="52"/>
      <c r="CN980" s="52"/>
      <c r="CO980" s="52"/>
      <c r="CP980" s="52"/>
      <c r="CQ980" s="52"/>
      <c r="CR980" s="52"/>
      <c r="CS980" s="52"/>
      <c r="CT980" s="52"/>
      <c r="CU980" s="52"/>
      <c r="CV980" s="52"/>
      <c r="CW980" s="52"/>
      <c r="CX980" s="52"/>
      <c r="CY980" s="52"/>
      <c r="CZ980" s="52"/>
      <c r="DA980" s="52"/>
      <c r="DB980" s="52"/>
      <c r="DC980" s="52"/>
      <c r="DD980" s="52"/>
      <c r="DE980" s="52"/>
      <c r="DF980" s="52"/>
      <c r="DG980" s="52"/>
      <c r="DH980" s="52"/>
      <c r="DI980" s="52"/>
      <c r="DJ980" s="52"/>
      <c r="DK980" s="52"/>
      <c r="DL980" s="52"/>
      <c r="DM980" s="52"/>
      <c r="DN980" s="52"/>
      <c r="DO980" s="52"/>
      <c r="DP980" s="52"/>
      <c r="DQ980" s="52"/>
      <c r="DR980" s="52"/>
      <c r="DS980" s="52"/>
      <c r="DT980" s="52"/>
      <c r="DU980" s="52"/>
      <c r="DV980" s="52"/>
      <c r="DW980" s="52"/>
      <c r="DX980" s="52"/>
      <c r="DZ980"/>
      <c r="EA980" s="19"/>
      <c r="EB980" s="19"/>
      <c r="EC980" s="9"/>
      <c r="ED980" s="9"/>
      <c r="EE980" s="9"/>
      <c r="EF980" s="9"/>
      <c r="EG980" s="9"/>
      <c r="EH980" s="13"/>
      <c r="EI980" s="13"/>
      <c r="EJ980" s="13"/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13"/>
      <c r="EX980" s="13"/>
      <c r="EY980" s="13"/>
      <c r="EZ980" s="13"/>
      <c r="FA980" s="13"/>
      <c r="FB980" s="13"/>
      <c r="FC980" s="13"/>
      <c r="FD980" s="13"/>
      <c r="FE980" s="13"/>
      <c r="FF980" s="13"/>
      <c r="FG980" s="13"/>
      <c r="FH980" s="13"/>
      <c r="FI980" s="13"/>
      <c r="FJ980" s="13"/>
      <c r="FK980" s="13"/>
      <c r="FL980" s="13"/>
      <c r="FM980" s="13"/>
      <c r="FN980" s="13"/>
      <c r="FO980" s="13"/>
      <c r="FP980" s="13"/>
      <c r="FQ980" s="13"/>
      <c r="FR980" s="13"/>
      <c r="FS980" s="13"/>
      <c r="FT980" s="13"/>
      <c r="FU980" s="13"/>
      <c r="FV980" s="13"/>
      <c r="FW980" s="13"/>
      <c r="FX980" s="13"/>
      <c r="FY980" s="13"/>
      <c r="FZ980" s="13"/>
      <c r="GA980" s="13"/>
    </row>
    <row r="981" spans="1:183" s="43" customFormat="1" x14ac:dyDescent="0.25">
      <c r="A981" s="2"/>
      <c r="B981" s="2"/>
      <c r="C981" s="9">
        <v>8</v>
      </c>
      <c r="D981" s="9">
        <v>35</v>
      </c>
      <c r="E981" s="9">
        <v>38</v>
      </c>
      <c r="F981" s="9">
        <v>57</v>
      </c>
      <c r="G981" s="9">
        <v>74</v>
      </c>
      <c r="H981" s="9">
        <v>80</v>
      </c>
      <c r="J981" s="9">
        <v>80</v>
      </c>
      <c r="L981" s="39">
        <v>44419</v>
      </c>
      <c r="N981"/>
      <c r="O981"/>
      <c r="P981"/>
      <c r="Q981"/>
      <c r="R981"/>
      <c r="S981"/>
      <c r="T981"/>
      <c r="U981"/>
      <c r="V981"/>
      <c r="W981" s="52"/>
      <c r="Y981"/>
      <c r="Z981"/>
      <c r="AA981"/>
      <c r="AB981"/>
      <c r="AC981"/>
      <c r="AD981"/>
      <c r="AE981"/>
      <c r="AF981"/>
      <c r="AG981"/>
      <c r="AH981" s="52"/>
      <c r="AI981" s="148"/>
      <c r="AJ981" s="19"/>
      <c r="AK981" s="19"/>
      <c r="AL981" s="19"/>
      <c r="AM981" s="19"/>
      <c r="AN981" s="42"/>
      <c r="AO981" s="54"/>
      <c r="AP981" s="19"/>
      <c r="AQ981" s="1"/>
      <c r="AR981" s="74"/>
      <c r="AS981" s="42"/>
      <c r="AT981" s="54"/>
      <c r="AU981" s="54"/>
      <c r="AV981" s="19"/>
      <c r="AW981" s="54"/>
      <c r="AX981" s="57"/>
      <c r="AY981" s="54"/>
      <c r="AZ981" s="54"/>
      <c r="BA981" s="54"/>
      <c r="BB981" s="54"/>
      <c r="BC981" s="57"/>
      <c r="BD981" s="19"/>
      <c r="BE981" s="19"/>
      <c r="BF981" s="19"/>
      <c r="BG981" s="54"/>
      <c r="BI981" s="54"/>
      <c r="BJ981" s="55"/>
      <c r="BK981" s="55"/>
      <c r="BL981" s="54"/>
      <c r="BM981" s="56"/>
      <c r="BN981" s="56"/>
      <c r="BO981" s="52"/>
      <c r="BP981" s="52"/>
      <c r="BQ981" s="52"/>
      <c r="BR981" s="52"/>
      <c r="BS981" s="52"/>
      <c r="BT981" s="52"/>
      <c r="BU981" s="52"/>
      <c r="BV981" s="52"/>
      <c r="BW981" s="52"/>
      <c r="BX981" s="52"/>
      <c r="BY981" s="52"/>
      <c r="BZ981" s="52"/>
      <c r="CA981" s="52"/>
      <c r="CB981" s="52"/>
      <c r="CC981" s="52"/>
      <c r="CD981" s="52"/>
      <c r="CE981" s="52"/>
      <c r="CF981" s="52"/>
      <c r="CG981" s="52"/>
      <c r="CH981" s="52"/>
      <c r="CI981" s="52"/>
      <c r="CJ981" s="52"/>
      <c r="CK981" s="52"/>
      <c r="CL981" s="52"/>
      <c r="CM981" s="52"/>
      <c r="CN981" s="52"/>
      <c r="CO981" s="52"/>
      <c r="CP981" s="52"/>
      <c r="CQ981" s="52"/>
      <c r="CR981" s="52"/>
      <c r="CS981" s="52"/>
      <c r="CT981" s="52"/>
      <c r="CU981" s="52"/>
      <c r="CV981" s="52"/>
      <c r="CW981" s="52"/>
      <c r="CX981" s="52"/>
      <c r="CY981" s="52"/>
      <c r="CZ981" s="52"/>
      <c r="DA981" s="52"/>
      <c r="DB981" s="52"/>
      <c r="DC981" s="52"/>
      <c r="DD981" s="52"/>
      <c r="DE981" s="52"/>
      <c r="DF981" s="52"/>
      <c r="DG981" s="52"/>
      <c r="DH981" s="52"/>
      <c r="DI981" s="52"/>
      <c r="DJ981" s="52"/>
      <c r="DK981" s="52"/>
      <c r="DL981" s="52"/>
      <c r="DM981" s="52"/>
      <c r="DN981" s="52"/>
      <c r="DO981" s="52"/>
      <c r="DP981" s="52"/>
      <c r="DQ981" s="52"/>
      <c r="DR981" s="52"/>
      <c r="DS981" s="52"/>
      <c r="DT981" s="52"/>
      <c r="DU981" s="52"/>
      <c r="DV981" s="52"/>
      <c r="DW981" s="52"/>
      <c r="DX981" s="52"/>
      <c r="DZ981"/>
      <c r="EA981" s="19"/>
      <c r="EB981" s="19"/>
      <c r="EC981" s="9"/>
      <c r="ED981" s="9"/>
      <c r="EE981" s="9"/>
      <c r="EF981" s="9"/>
      <c r="EG981" s="9"/>
      <c r="EH981" s="13"/>
      <c r="EI981" s="13"/>
      <c r="EJ981" s="13"/>
      <c r="EK981" s="13"/>
      <c r="EL981" s="13"/>
      <c r="EM981" s="13"/>
      <c r="EN981" s="13"/>
      <c r="EO981" s="13"/>
      <c r="EP981" s="13"/>
      <c r="EQ981" s="13"/>
      <c r="ER981" s="13"/>
      <c r="ES981" s="13"/>
      <c r="ET981" s="13"/>
      <c r="EU981" s="13"/>
      <c r="EV981" s="13"/>
      <c r="EW981" s="13"/>
      <c r="EX981" s="13"/>
      <c r="EY981" s="13"/>
      <c r="EZ981" s="13"/>
      <c r="FA981" s="13"/>
      <c r="FB981" s="13"/>
      <c r="FC981" s="13"/>
      <c r="FD981" s="13"/>
      <c r="FE981" s="13"/>
      <c r="FF981" s="13"/>
      <c r="FG981" s="13"/>
      <c r="FH981" s="13"/>
      <c r="FI981" s="13"/>
      <c r="FJ981" s="13"/>
      <c r="FK981" s="13"/>
      <c r="FL981" s="13"/>
      <c r="FM981" s="13"/>
      <c r="FN981" s="13"/>
      <c r="FO981" s="13"/>
      <c r="FP981" s="13"/>
      <c r="FQ981" s="13"/>
      <c r="FR981" s="13"/>
      <c r="FS981" s="13"/>
      <c r="FT981" s="13"/>
      <c r="FU981" s="13"/>
      <c r="FV981" s="13"/>
      <c r="FW981" s="13"/>
      <c r="FX981" s="13"/>
      <c r="FY981" s="13"/>
      <c r="FZ981" s="13"/>
      <c r="GA981" s="13"/>
    </row>
    <row r="982" spans="1:183" s="43" customFormat="1" x14ac:dyDescent="0.25">
      <c r="A982" s="2"/>
      <c r="B982" s="2"/>
      <c r="C982" s="9">
        <v>22</v>
      </c>
      <c r="D982" s="9">
        <v>30</v>
      </c>
      <c r="E982" s="9">
        <v>42</v>
      </c>
      <c r="F982" s="9">
        <v>44</v>
      </c>
      <c r="G982" s="9">
        <v>66</v>
      </c>
      <c r="H982" s="9">
        <v>77</v>
      </c>
      <c r="J982" s="9">
        <v>77</v>
      </c>
      <c r="L982" s="39">
        <v>44417</v>
      </c>
      <c r="N982"/>
      <c r="O982"/>
      <c r="P982"/>
      <c r="Q982"/>
      <c r="R982"/>
      <c r="S982"/>
      <c r="T982"/>
      <c r="U982"/>
      <c r="V982"/>
      <c r="W982" s="52"/>
      <c r="Y982"/>
      <c r="Z982"/>
      <c r="AA982"/>
      <c r="AB982"/>
      <c r="AC982"/>
      <c r="AD982"/>
      <c r="AE982"/>
      <c r="AF982"/>
      <c r="AG982"/>
      <c r="AH982" s="52"/>
      <c r="AI982" s="148"/>
      <c r="AJ982" s="19"/>
      <c r="AK982" s="19"/>
      <c r="AL982" s="19"/>
      <c r="AM982" s="19"/>
      <c r="AN982" s="42"/>
      <c r="AO982" s="54"/>
      <c r="AP982" s="19"/>
      <c r="AQ982" s="1"/>
      <c r="AR982" s="74"/>
      <c r="AS982" s="42"/>
      <c r="AT982" s="54"/>
      <c r="AU982" s="54"/>
      <c r="AV982" s="19"/>
      <c r="AW982" s="54"/>
      <c r="AX982" s="57"/>
      <c r="AY982" s="54"/>
      <c r="AZ982" s="54"/>
      <c r="BA982" s="54"/>
      <c r="BB982" s="54"/>
      <c r="BC982" s="57"/>
      <c r="BD982" s="19"/>
      <c r="BE982" s="19"/>
      <c r="BF982" s="19"/>
      <c r="BG982" s="54"/>
      <c r="BI982" s="54"/>
      <c r="BJ982" s="55"/>
      <c r="BK982" s="55"/>
      <c r="BL982" s="54"/>
      <c r="BM982" s="56"/>
      <c r="BN982" s="56"/>
      <c r="BO982" s="52"/>
      <c r="BP982" s="52"/>
      <c r="BQ982" s="52"/>
      <c r="BR982" s="52"/>
      <c r="BS982" s="52"/>
      <c r="BT982" s="52"/>
      <c r="BU982" s="52"/>
      <c r="BV982" s="52"/>
      <c r="BW982" s="52"/>
      <c r="BX982" s="52"/>
      <c r="BY982" s="52"/>
      <c r="BZ982" s="52"/>
      <c r="CA982" s="52"/>
      <c r="CB982" s="52"/>
      <c r="CC982" s="52"/>
      <c r="CD982" s="52"/>
      <c r="CE982" s="52"/>
      <c r="CF982" s="52"/>
      <c r="CG982" s="52"/>
      <c r="CH982" s="52"/>
      <c r="CI982" s="52"/>
      <c r="CJ982" s="52"/>
      <c r="CK982" s="52"/>
      <c r="CL982" s="52"/>
      <c r="CM982" s="52"/>
      <c r="CN982" s="52"/>
      <c r="CO982" s="52"/>
      <c r="CP982" s="52"/>
      <c r="CQ982" s="52"/>
      <c r="CR982" s="52"/>
      <c r="CS982" s="52"/>
      <c r="CT982" s="52"/>
      <c r="CU982" s="52"/>
      <c r="CV982" s="52"/>
      <c r="CW982" s="52"/>
      <c r="CX982" s="52"/>
      <c r="CY982" s="52"/>
      <c r="CZ982" s="52"/>
      <c r="DA982" s="52"/>
      <c r="DB982" s="52"/>
      <c r="DC982" s="52"/>
      <c r="DD982" s="52"/>
      <c r="DE982" s="52"/>
      <c r="DF982" s="52"/>
      <c r="DG982" s="52"/>
      <c r="DH982" s="52"/>
      <c r="DI982" s="52"/>
      <c r="DJ982" s="52"/>
      <c r="DK982" s="52"/>
      <c r="DL982" s="52"/>
      <c r="DM982" s="52"/>
      <c r="DN982" s="52"/>
      <c r="DO982" s="52"/>
      <c r="DP982" s="52"/>
      <c r="DQ982" s="52"/>
      <c r="DR982" s="52"/>
      <c r="DS982" s="52"/>
      <c r="DT982" s="52"/>
      <c r="DU982" s="52"/>
      <c r="DV982" s="52"/>
      <c r="DW982" s="52"/>
      <c r="DX982" s="52"/>
      <c r="DZ982"/>
      <c r="EA982" s="19"/>
      <c r="EB982" s="19"/>
      <c r="EC982" s="9"/>
      <c r="ED982" s="9"/>
      <c r="EE982" s="9"/>
      <c r="EF982" s="9"/>
      <c r="EG982" s="9"/>
      <c r="EH982" s="13"/>
      <c r="EI982" s="13"/>
      <c r="EJ982" s="13"/>
      <c r="EK982" s="13"/>
      <c r="EL982" s="13"/>
      <c r="EM982" s="13"/>
      <c r="EN982" s="13"/>
      <c r="EO982" s="13"/>
      <c r="EP982" s="13"/>
      <c r="EQ982" s="13"/>
      <c r="ER982" s="13"/>
      <c r="ES982" s="13"/>
      <c r="ET982" s="13"/>
      <c r="EU982" s="13"/>
      <c r="EV982" s="13"/>
      <c r="EW982" s="13"/>
      <c r="EX982" s="13"/>
      <c r="EY982" s="13"/>
      <c r="EZ982" s="13"/>
      <c r="FA982" s="13"/>
      <c r="FB982" s="13"/>
      <c r="FC982" s="13"/>
      <c r="FD982" s="13"/>
      <c r="FE982" s="13"/>
      <c r="FF982" s="13"/>
      <c r="FG982" s="13"/>
      <c r="FH982" s="13"/>
      <c r="FI982" s="13"/>
      <c r="FJ982" s="13"/>
      <c r="FK982" s="13"/>
      <c r="FL982" s="13"/>
      <c r="FM982" s="13"/>
      <c r="FN982" s="13"/>
      <c r="FO982" s="13"/>
      <c r="FP982" s="13"/>
      <c r="FQ982" s="13"/>
      <c r="FR982" s="13"/>
      <c r="FS982" s="13"/>
      <c r="FT982" s="13"/>
      <c r="FU982" s="13"/>
      <c r="FV982" s="13"/>
      <c r="FW982" s="13"/>
      <c r="FX982" s="13"/>
      <c r="FY982" s="13"/>
      <c r="FZ982" s="13"/>
      <c r="GA982" s="13"/>
    </row>
    <row r="983" spans="1:183" s="43" customFormat="1" x14ac:dyDescent="0.25">
      <c r="A983" s="2"/>
      <c r="B983" s="2"/>
      <c r="C983" s="9">
        <v>6</v>
      </c>
      <c r="D983" s="9">
        <v>43</v>
      </c>
      <c r="E983" s="9">
        <v>49</v>
      </c>
      <c r="F983" s="9">
        <v>83</v>
      </c>
      <c r="G983" s="9">
        <v>85</v>
      </c>
      <c r="H983" s="9">
        <v>86</v>
      </c>
      <c r="J983" s="9">
        <v>86</v>
      </c>
      <c r="L983" s="39">
        <v>44415</v>
      </c>
      <c r="N983"/>
      <c r="O983"/>
      <c r="P983"/>
      <c r="Q983"/>
      <c r="R983"/>
      <c r="S983"/>
      <c r="T983"/>
      <c r="U983"/>
      <c r="V983"/>
      <c r="W983" s="52"/>
      <c r="Y983"/>
      <c r="Z983"/>
      <c r="AA983"/>
      <c r="AB983"/>
      <c r="AC983"/>
      <c r="AD983"/>
      <c r="AE983"/>
      <c r="AF983"/>
      <c r="AG983"/>
      <c r="AH983" s="52"/>
      <c r="AI983" s="148"/>
      <c r="AJ983" s="19"/>
      <c r="AK983" s="19"/>
      <c r="AL983" s="19"/>
      <c r="AM983" s="19"/>
      <c r="AN983" s="42"/>
      <c r="AO983" s="54"/>
      <c r="AP983" s="19"/>
      <c r="AQ983" s="1"/>
      <c r="AR983" s="74"/>
      <c r="AS983" s="42"/>
      <c r="AT983" s="54"/>
      <c r="AU983" s="54"/>
      <c r="AV983" s="19"/>
      <c r="AW983" s="54"/>
      <c r="AX983" s="57"/>
      <c r="AY983" s="54"/>
      <c r="AZ983" s="54"/>
      <c r="BA983" s="54"/>
      <c r="BB983" s="54"/>
      <c r="BC983" s="57"/>
      <c r="BD983" s="19"/>
      <c r="BE983" s="19"/>
      <c r="BF983" s="19"/>
      <c r="BG983" s="54"/>
      <c r="BI983" s="54"/>
      <c r="BJ983" s="55"/>
      <c r="BK983" s="55"/>
      <c r="BL983" s="54"/>
      <c r="BM983" s="56"/>
      <c r="BN983" s="56"/>
      <c r="BO983" s="52"/>
      <c r="BP983" s="52"/>
      <c r="BQ983" s="52"/>
      <c r="BR983" s="52"/>
      <c r="BS983" s="52"/>
      <c r="BT983" s="52"/>
      <c r="BU983" s="52"/>
      <c r="BV983" s="52"/>
      <c r="BW983" s="52"/>
      <c r="BX983" s="52"/>
      <c r="BY983" s="52"/>
      <c r="BZ983" s="52"/>
      <c r="CA983" s="52"/>
      <c r="CB983" s="52"/>
      <c r="CC983" s="52"/>
      <c r="CD983" s="52"/>
      <c r="CE983" s="52"/>
      <c r="CF983" s="52"/>
      <c r="CG983" s="52"/>
      <c r="CH983" s="52"/>
      <c r="CI983" s="52"/>
      <c r="CJ983" s="52"/>
      <c r="CK983" s="52"/>
      <c r="CL983" s="52"/>
      <c r="CM983" s="52"/>
      <c r="CN983" s="52"/>
      <c r="CO983" s="52"/>
      <c r="CP983" s="52"/>
      <c r="CQ983" s="52"/>
      <c r="CR983" s="52"/>
      <c r="CS983" s="52"/>
      <c r="CT983" s="52"/>
      <c r="CU983" s="52"/>
      <c r="CV983" s="52"/>
      <c r="CW983" s="52"/>
      <c r="CX983" s="52"/>
      <c r="CY983" s="52"/>
      <c r="CZ983" s="52"/>
      <c r="DA983" s="52"/>
      <c r="DB983" s="52"/>
      <c r="DC983" s="52"/>
      <c r="DD983" s="52"/>
      <c r="DE983" s="52"/>
      <c r="DF983" s="52"/>
      <c r="DG983" s="52"/>
      <c r="DH983" s="52"/>
      <c r="DI983" s="52"/>
      <c r="DJ983" s="52"/>
      <c r="DK983" s="52"/>
      <c r="DL983" s="52"/>
      <c r="DM983" s="52"/>
      <c r="DN983" s="52"/>
      <c r="DO983" s="52"/>
      <c r="DP983" s="52"/>
      <c r="DQ983" s="52"/>
      <c r="DR983" s="52"/>
      <c r="DS983" s="52"/>
      <c r="DT983" s="52"/>
      <c r="DU983" s="52"/>
      <c r="DV983" s="52"/>
      <c r="DW983" s="52"/>
      <c r="DX983" s="52"/>
      <c r="DZ983"/>
      <c r="EA983" s="19"/>
      <c r="EB983" s="19"/>
      <c r="EC983" s="9"/>
      <c r="ED983" s="9"/>
      <c r="EE983" s="9"/>
      <c r="EF983" s="9"/>
      <c r="EG983" s="9"/>
      <c r="EH983" s="13"/>
      <c r="EI983" s="13"/>
      <c r="EJ983" s="13"/>
      <c r="EK983" s="13"/>
      <c r="EL983" s="13"/>
      <c r="EM983" s="13"/>
      <c r="EN983" s="13"/>
      <c r="EO983" s="13"/>
      <c r="EP983" s="13"/>
      <c r="EQ983" s="13"/>
      <c r="ER983" s="13"/>
      <c r="ES983" s="13"/>
      <c r="ET983" s="13"/>
      <c r="EU983" s="13"/>
      <c r="EV983" s="13"/>
      <c r="EW983" s="13"/>
      <c r="EX983" s="13"/>
      <c r="EY983" s="13"/>
      <c r="EZ983" s="13"/>
      <c r="FA983" s="13"/>
      <c r="FB983" s="13"/>
      <c r="FC983" s="13"/>
      <c r="FD983" s="13"/>
      <c r="FE983" s="13"/>
      <c r="FF983" s="13"/>
      <c r="FG983" s="13"/>
      <c r="FH983" s="13"/>
      <c r="FI983" s="13"/>
      <c r="FJ983" s="13"/>
      <c r="FK983" s="13"/>
      <c r="FL983" s="13"/>
      <c r="FM983" s="13"/>
      <c r="FN983" s="13"/>
      <c r="FO983" s="13"/>
      <c r="FP983" s="13"/>
      <c r="FQ983" s="13"/>
      <c r="FR983" s="13"/>
      <c r="FS983" s="13"/>
      <c r="FT983" s="13"/>
      <c r="FU983" s="13"/>
      <c r="FV983" s="13"/>
      <c r="FW983" s="13"/>
      <c r="FX983" s="13"/>
      <c r="FY983" s="13"/>
      <c r="FZ983" s="13"/>
      <c r="GA983" s="13"/>
    </row>
    <row r="984" spans="1:183" s="43" customFormat="1" x14ac:dyDescent="0.25">
      <c r="A984" s="2"/>
      <c r="B984" s="2"/>
      <c r="C984" s="9">
        <v>23</v>
      </c>
      <c r="D984" s="9">
        <v>33</v>
      </c>
      <c r="E984" s="9">
        <v>35</v>
      </c>
      <c r="F984" s="9">
        <v>51</v>
      </c>
      <c r="G984" s="9">
        <v>59</v>
      </c>
      <c r="H984" s="9">
        <v>67</v>
      </c>
      <c r="J984" s="9">
        <v>67</v>
      </c>
      <c r="L984" s="39">
        <v>44412</v>
      </c>
      <c r="N984"/>
      <c r="O984"/>
      <c r="P984"/>
      <c r="Q984"/>
      <c r="R984"/>
      <c r="S984"/>
      <c r="T984"/>
      <c r="U984"/>
      <c r="V984"/>
      <c r="W984" s="52"/>
      <c r="Y984"/>
      <c r="Z984"/>
      <c r="AA984"/>
      <c r="AB984"/>
      <c r="AC984"/>
      <c r="AD984"/>
      <c r="AE984"/>
      <c r="AF984"/>
      <c r="AG984"/>
      <c r="AH984" s="52"/>
      <c r="AI984" s="148"/>
      <c r="AJ984" s="19"/>
      <c r="AK984" s="19"/>
      <c r="AL984" s="19"/>
      <c r="AM984" s="19"/>
      <c r="AN984" s="42"/>
      <c r="AO984" s="54"/>
      <c r="AP984" s="19"/>
      <c r="AQ984" s="1"/>
      <c r="AR984" s="74"/>
      <c r="AS984" s="42"/>
      <c r="AT984" s="54"/>
      <c r="AU984" s="54"/>
      <c r="AV984" s="19"/>
      <c r="AW984" s="54"/>
      <c r="AX984" s="57"/>
      <c r="AY984" s="54"/>
      <c r="AZ984" s="54"/>
      <c r="BA984" s="54"/>
      <c r="BB984" s="54"/>
      <c r="BC984" s="57"/>
      <c r="BD984" s="19"/>
      <c r="BE984" s="19"/>
      <c r="BF984" s="19"/>
      <c r="BG984" s="54"/>
      <c r="BI984" s="54"/>
      <c r="BJ984" s="55"/>
      <c r="BK984" s="55"/>
      <c r="BL984" s="54"/>
      <c r="BM984" s="56"/>
      <c r="BN984" s="56"/>
      <c r="BO984" s="52"/>
      <c r="BP984" s="52"/>
      <c r="BQ984" s="52"/>
      <c r="BR984" s="52"/>
      <c r="BS984" s="52"/>
      <c r="BT984" s="52"/>
      <c r="BU984" s="52"/>
      <c r="BV984" s="52"/>
      <c r="BW984" s="52"/>
      <c r="BX984" s="52"/>
      <c r="BY984" s="52"/>
      <c r="BZ984" s="52"/>
      <c r="CA984" s="52"/>
      <c r="CB984" s="52"/>
      <c r="CC984" s="52"/>
      <c r="CD984" s="52"/>
      <c r="CE984" s="52"/>
      <c r="CF984" s="52"/>
      <c r="CG984" s="52"/>
      <c r="CH984" s="52"/>
      <c r="CI984" s="52"/>
      <c r="CJ984" s="52"/>
      <c r="CK984" s="52"/>
      <c r="CL984" s="52"/>
      <c r="CM984" s="52"/>
      <c r="CN984" s="52"/>
      <c r="CO984" s="52"/>
      <c r="CP984" s="52"/>
      <c r="CQ984" s="52"/>
      <c r="CR984" s="52"/>
      <c r="CS984" s="52"/>
      <c r="CT984" s="52"/>
      <c r="CU984" s="52"/>
      <c r="CV984" s="52"/>
      <c r="CW984" s="52"/>
      <c r="CX984" s="52"/>
      <c r="CY984" s="52"/>
      <c r="CZ984" s="52"/>
      <c r="DA984" s="52"/>
      <c r="DB984" s="52"/>
      <c r="DC984" s="52"/>
      <c r="DD984" s="52"/>
      <c r="DE984" s="52"/>
      <c r="DF984" s="52"/>
      <c r="DG984" s="52"/>
      <c r="DH984" s="52"/>
      <c r="DI984" s="52"/>
      <c r="DJ984" s="52"/>
      <c r="DK984" s="52"/>
      <c r="DL984" s="52"/>
      <c r="DM984" s="52"/>
      <c r="DN984" s="52"/>
      <c r="DO984" s="52"/>
      <c r="DP984" s="52"/>
      <c r="DQ984" s="52"/>
      <c r="DR984" s="52"/>
      <c r="DS984" s="52"/>
      <c r="DT984" s="52"/>
      <c r="DU984" s="52"/>
      <c r="DV984" s="52"/>
      <c r="DW984" s="52"/>
      <c r="DX984" s="52"/>
      <c r="DZ984"/>
      <c r="EA984" s="19"/>
      <c r="EB984" s="19"/>
      <c r="EC984" s="9"/>
      <c r="ED984" s="9"/>
      <c r="EE984" s="9"/>
      <c r="EF984" s="9"/>
      <c r="EG984" s="9"/>
      <c r="EH984" s="13"/>
      <c r="EI984" s="13"/>
      <c r="EJ984" s="13"/>
      <c r="EK984" s="13"/>
      <c r="EL984" s="13"/>
      <c r="EM984" s="13"/>
      <c r="EN984" s="13"/>
      <c r="EO984" s="13"/>
      <c r="EP984" s="13"/>
      <c r="EQ984" s="13"/>
      <c r="ER984" s="13"/>
      <c r="ES984" s="13"/>
      <c r="ET984" s="13"/>
      <c r="EU984" s="13"/>
      <c r="EV984" s="13"/>
      <c r="EW984" s="13"/>
      <c r="EX984" s="13"/>
      <c r="EY984" s="13"/>
      <c r="EZ984" s="13"/>
      <c r="FA984" s="13"/>
      <c r="FB984" s="13"/>
      <c r="FC984" s="13"/>
      <c r="FD984" s="13"/>
      <c r="FE984" s="13"/>
      <c r="FF984" s="13"/>
      <c r="FG984" s="13"/>
      <c r="FH984" s="13"/>
      <c r="FI984" s="13"/>
      <c r="FJ984" s="13"/>
      <c r="FK984" s="13"/>
      <c r="FL984" s="13"/>
      <c r="FM984" s="13"/>
      <c r="FN984" s="13"/>
      <c r="FO984" s="13"/>
      <c r="FP984" s="13"/>
      <c r="FQ984" s="13"/>
      <c r="FR984" s="13"/>
      <c r="FS984" s="13"/>
      <c r="FT984" s="13"/>
      <c r="FU984" s="13"/>
      <c r="FV984" s="13"/>
      <c r="FW984" s="13"/>
      <c r="FX984" s="13"/>
      <c r="FY984" s="13"/>
      <c r="FZ984" s="13"/>
      <c r="GA984" s="13"/>
    </row>
    <row r="985" spans="1:183" s="43" customFormat="1" x14ac:dyDescent="0.25">
      <c r="A985" s="2"/>
      <c r="B985" s="2"/>
      <c r="C985" s="9">
        <v>6</v>
      </c>
      <c r="D985" s="9">
        <v>10</v>
      </c>
      <c r="E985" s="9">
        <v>26</v>
      </c>
      <c r="F985" s="9">
        <v>65</v>
      </c>
      <c r="G985" s="9">
        <v>69</v>
      </c>
      <c r="H985" s="9">
        <v>90</v>
      </c>
      <c r="J985" s="9">
        <v>90</v>
      </c>
      <c r="L985" s="39">
        <v>44410</v>
      </c>
      <c r="N985"/>
      <c r="O985"/>
      <c r="P985"/>
      <c r="Q985"/>
      <c r="R985"/>
      <c r="S985"/>
      <c r="T985"/>
      <c r="U985"/>
      <c r="V985"/>
      <c r="W985" s="52"/>
      <c r="Y985"/>
      <c r="Z985"/>
      <c r="AA985"/>
      <c r="AB985"/>
      <c r="AC985"/>
      <c r="AD985"/>
      <c r="AE985"/>
      <c r="AF985"/>
      <c r="AG985"/>
      <c r="AH985" s="52"/>
      <c r="AI985" s="148"/>
      <c r="AJ985" s="19"/>
      <c r="AK985" s="19"/>
      <c r="AL985" s="19"/>
      <c r="AM985" s="19"/>
      <c r="AN985" s="42"/>
      <c r="AO985" s="54"/>
      <c r="AP985" s="19"/>
      <c r="AQ985" s="1"/>
      <c r="AR985" s="74"/>
      <c r="AS985" s="42"/>
      <c r="AT985" s="54"/>
      <c r="AU985" s="54"/>
      <c r="AV985" s="19"/>
      <c r="AW985" s="54"/>
      <c r="AX985" s="57"/>
      <c r="AY985" s="54"/>
      <c r="AZ985" s="54"/>
      <c r="BA985" s="54"/>
      <c r="BB985" s="54"/>
      <c r="BC985" s="57"/>
      <c r="BD985" s="19"/>
      <c r="BE985" s="19"/>
      <c r="BF985" s="19"/>
      <c r="BG985" s="54"/>
      <c r="BI985" s="54"/>
      <c r="BJ985" s="55"/>
      <c r="BK985" s="55"/>
      <c r="BL985" s="54"/>
      <c r="BM985" s="56"/>
      <c r="BN985" s="56"/>
      <c r="BO985" s="52"/>
      <c r="BP985" s="52"/>
      <c r="BQ985" s="52"/>
      <c r="BR985" s="52"/>
      <c r="BS985" s="52"/>
      <c r="BT985" s="52"/>
      <c r="BU985" s="52"/>
      <c r="BV985" s="52"/>
      <c r="BW985" s="52"/>
      <c r="BX985" s="52"/>
      <c r="BY985" s="52"/>
      <c r="BZ985" s="52"/>
      <c r="CA985" s="52"/>
      <c r="CB985" s="52"/>
      <c r="CC985" s="52"/>
      <c r="CD985" s="52"/>
      <c r="CE985" s="52"/>
      <c r="CF985" s="52"/>
      <c r="CG985" s="52"/>
      <c r="CH985" s="52"/>
      <c r="CI985" s="52"/>
      <c r="CJ985" s="52"/>
      <c r="CK985" s="52"/>
      <c r="CL985" s="52"/>
      <c r="CM985" s="52"/>
      <c r="CN985" s="52"/>
      <c r="CO985" s="52"/>
      <c r="CP985" s="52"/>
      <c r="CQ985" s="52"/>
      <c r="CR985" s="52"/>
      <c r="CS985" s="52"/>
      <c r="CT985" s="52"/>
      <c r="CU985" s="52"/>
      <c r="CV985" s="52"/>
      <c r="CW985" s="52"/>
      <c r="CX985" s="52"/>
      <c r="CY985" s="52"/>
      <c r="CZ985" s="52"/>
      <c r="DA985" s="52"/>
      <c r="DB985" s="52"/>
      <c r="DC985" s="52"/>
      <c r="DD985" s="52"/>
      <c r="DE985" s="52"/>
      <c r="DF985" s="52"/>
      <c r="DG985" s="52"/>
      <c r="DH985" s="52"/>
      <c r="DI985" s="52"/>
      <c r="DJ985" s="52"/>
      <c r="DK985" s="52"/>
      <c r="DL985" s="52"/>
      <c r="DM985" s="52"/>
      <c r="DN985" s="52"/>
      <c r="DO985" s="52"/>
      <c r="DP985" s="52"/>
      <c r="DQ985" s="52"/>
      <c r="DR985" s="52"/>
      <c r="DS985" s="52"/>
      <c r="DT985" s="52"/>
      <c r="DU985" s="52"/>
      <c r="DV985" s="52"/>
      <c r="DW985" s="52"/>
      <c r="DX985" s="52"/>
      <c r="DZ985"/>
      <c r="EA985" s="19"/>
      <c r="EB985" s="19"/>
      <c r="EC985" s="9"/>
      <c r="ED985" s="9"/>
      <c r="EE985" s="9"/>
      <c r="EF985" s="9"/>
      <c r="EG985" s="9"/>
      <c r="EH985" s="13"/>
      <c r="EI985" s="13"/>
      <c r="EJ985" s="13"/>
      <c r="EK985" s="13"/>
      <c r="EL985" s="13"/>
      <c r="EM985" s="13"/>
      <c r="EN985" s="13"/>
      <c r="EO985" s="13"/>
      <c r="EP985" s="13"/>
      <c r="EQ985" s="13"/>
      <c r="ER985" s="13"/>
      <c r="ES985" s="13"/>
      <c r="ET985" s="13"/>
      <c r="EU985" s="13"/>
      <c r="EV985" s="13"/>
      <c r="EW985" s="13"/>
      <c r="EX985" s="13"/>
      <c r="EY985" s="13"/>
      <c r="EZ985" s="13"/>
      <c r="FA985" s="13"/>
      <c r="FB985" s="13"/>
      <c r="FC985" s="13"/>
      <c r="FD985" s="13"/>
      <c r="FE985" s="13"/>
      <c r="FF985" s="13"/>
      <c r="FG985" s="13"/>
      <c r="FH985" s="13"/>
      <c r="FI985" s="13"/>
      <c r="FJ985" s="13"/>
      <c r="FK985" s="13"/>
      <c r="FL985" s="13"/>
      <c r="FM985" s="13"/>
      <c r="FN985" s="13"/>
      <c r="FO985" s="13"/>
      <c r="FP985" s="13"/>
      <c r="FQ985" s="13"/>
      <c r="FR985" s="13"/>
      <c r="FS985" s="13"/>
      <c r="FT985" s="13"/>
      <c r="FU985" s="13"/>
      <c r="FV985" s="13"/>
      <c r="FW985" s="13"/>
      <c r="FX985" s="13"/>
      <c r="FY985" s="13"/>
      <c r="FZ985" s="13"/>
      <c r="GA985" s="13"/>
    </row>
    <row r="986" spans="1:183" s="43" customFormat="1" x14ac:dyDescent="0.25">
      <c r="A986" s="2"/>
      <c r="B986" s="2"/>
      <c r="C986" s="9">
        <v>8</v>
      </c>
      <c r="D986" s="9">
        <v>14</v>
      </c>
      <c r="E986" s="9">
        <v>15</v>
      </c>
      <c r="F986" s="9">
        <v>16</v>
      </c>
      <c r="G986" s="9">
        <v>36</v>
      </c>
      <c r="H986" s="9">
        <v>64</v>
      </c>
      <c r="J986" s="9">
        <v>64</v>
      </c>
      <c r="L986" s="39">
        <v>44408</v>
      </c>
      <c r="N986"/>
      <c r="O986"/>
      <c r="P986"/>
      <c r="Q986"/>
      <c r="R986"/>
      <c r="S986"/>
      <c r="T986"/>
      <c r="U986"/>
      <c r="V986"/>
      <c r="W986" s="52"/>
      <c r="Y986"/>
      <c r="Z986"/>
      <c r="AA986"/>
      <c r="AB986"/>
      <c r="AC986"/>
      <c r="AD986"/>
      <c r="AE986"/>
      <c r="AF986"/>
      <c r="AG986"/>
      <c r="AH986" s="52"/>
      <c r="AI986" s="148"/>
      <c r="AJ986" s="19"/>
      <c r="AK986" s="19"/>
      <c r="AL986" s="19"/>
      <c r="AM986" s="19"/>
      <c r="AN986" s="42"/>
      <c r="AO986" s="54"/>
      <c r="AP986" s="19"/>
      <c r="AQ986" s="1"/>
      <c r="AR986" s="74"/>
      <c r="AS986" s="42"/>
      <c r="AT986" s="54"/>
      <c r="AU986" s="54"/>
      <c r="AV986" s="19"/>
      <c r="AW986" s="54"/>
      <c r="AX986" s="57"/>
      <c r="AY986" s="54"/>
      <c r="AZ986" s="54"/>
      <c r="BA986" s="54"/>
      <c r="BB986" s="54"/>
      <c r="BC986" s="57"/>
      <c r="BD986" s="19"/>
      <c r="BE986" s="19"/>
      <c r="BF986" s="19"/>
      <c r="BG986" s="54"/>
      <c r="BI986" s="54"/>
      <c r="BJ986" s="55"/>
      <c r="BK986" s="55"/>
      <c r="BL986" s="54"/>
      <c r="BM986" s="56"/>
      <c r="BN986" s="56"/>
      <c r="BO986" s="52"/>
      <c r="BP986" s="52"/>
      <c r="BQ986" s="52"/>
      <c r="BR986" s="52"/>
      <c r="BS986" s="52"/>
      <c r="BT986" s="52"/>
      <c r="BU986" s="52"/>
      <c r="BV986" s="52"/>
      <c r="BW986" s="52"/>
      <c r="BX986" s="52"/>
      <c r="BY986" s="52"/>
      <c r="BZ986" s="52"/>
      <c r="CA986" s="52"/>
      <c r="CB986" s="52"/>
      <c r="CC986" s="52"/>
      <c r="CD986" s="52"/>
      <c r="CE986" s="52"/>
      <c r="CF986" s="52"/>
      <c r="CG986" s="52"/>
      <c r="CH986" s="52"/>
      <c r="CI986" s="52"/>
      <c r="CJ986" s="52"/>
      <c r="CK986" s="52"/>
      <c r="CL986" s="52"/>
      <c r="CM986" s="52"/>
      <c r="CN986" s="52"/>
      <c r="CO986" s="52"/>
      <c r="CP986" s="52"/>
      <c r="CQ986" s="52"/>
      <c r="CR986" s="52"/>
      <c r="CS986" s="52"/>
      <c r="CT986" s="52"/>
      <c r="CU986" s="52"/>
      <c r="CV986" s="52"/>
      <c r="CW986" s="52"/>
      <c r="CX986" s="52"/>
      <c r="CY986" s="52"/>
      <c r="CZ986" s="52"/>
      <c r="DA986" s="52"/>
      <c r="DB986" s="52"/>
      <c r="DC986" s="52"/>
      <c r="DD986" s="52"/>
      <c r="DE986" s="52"/>
      <c r="DF986" s="52"/>
      <c r="DG986" s="52"/>
      <c r="DH986" s="52"/>
      <c r="DI986" s="52"/>
      <c r="DJ986" s="52"/>
      <c r="DK986" s="52"/>
      <c r="DL986" s="52"/>
      <c r="DM986" s="52"/>
      <c r="DN986" s="52"/>
      <c r="DO986" s="52"/>
      <c r="DP986" s="52"/>
      <c r="DQ986" s="52"/>
      <c r="DR986" s="52"/>
      <c r="DS986" s="52"/>
      <c r="DT986" s="52"/>
      <c r="DU986" s="52"/>
      <c r="DV986" s="52"/>
      <c r="DW986" s="52"/>
      <c r="DX986" s="52"/>
      <c r="DZ986"/>
      <c r="EA986" s="19"/>
      <c r="EB986" s="19"/>
      <c r="EC986" s="9"/>
      <c r="ED986" s="9"/>
      <c r="EE986" s="9"/>
      <c r="EF986" s="9"/>
      <c r="EG986" s="9"/>
      <c r="EH986" s="13"/>
      <c r="EI986" s="13"/>
      <c r="EJ986" s="13"/>
      <c r="EK986" s="13"/>
      <c r="EL986" s="13"/>
      <c r="EM986" s="13"/>
      <c r="EN986" s="13"/>
      <c r="EO986" s="13"/>
      <c r="EP986" s="13"/>
      <c r="EQ986" s="13"/>
      <c r="ER986" s="13"/>
      <c r="ES986" s="13"/>
      <c r="ET986" s="13"/>
      <c r="EU986" s="13"/>
      <c r="EV986" s="13"/>
      <c r="EW986" s="13"/>
      <c r="EX986" s="13"/>
      <c r="EY986" s="13"/>
      <c r="EZ986" s="13"/>
      <c r="FA986" s="13"/>
      <c r="FB986" s="13"/>
      <c r="FC986" s="13"/>
      <c r="FD986" s="13"/>
      <c r="FE986" s="13"/>
      <c r="FF986" s="13"/>
      <c r="FG986" s="13"/>
      <c r="FH986" s="13"/>
      <c r="FI986" s="13"/>
      <c r="FJ986" s="13"/>
      <c r="FK986" s="13"/>
      <c r="FL986" s="13"/>
      <c r="FM986" s="13"/>
      <c r="FN986" s="13"/>
      <c r="FO986" s="13"/>
      <c r="FP986" s="13"/>
      <c r="FQ986" s="13"/>
      <c r="FR986" s="13"/>
      <c r="FS986" s="13"/>
      <c r="FT986" s="13"/>
      <c r="FU986" s="13"/>
      <c r="FV986" s="13"/>
      <c r="FW986" s="13"/>
      <c r="FX986" s="13"/>
      <c r="FY986" s="13"/>
      <c r="FZ986" s="13"/>
      <c r="GA986" s="13"/>
    </row>
    <row r="987" spans="1:183" s="43" customFormat="1" x14ac:dyDescent="0.25">
      <c r="A987" s="2"/>
      <c r="B987" s="2"/>
      <c r="C987" s="9">
        <v>18</v>
      </c>
      <c r="D987" s="9">
        <v>20</v>
      </c>
      <c r="E987" s="9">
        <v>33</v>
      </c>
      <c r="F987" s="9">
        <v>40</v>
      </c>
      <c r="G987" s="9">
        <v>74</v>
      </c>
      <c r="H987" s="9">
        <v>86</v>
      </c>
      <c r="J987" s="9">
        <v>86</v>
      </c>
      <c r="L987" s="39">
        <v>44405</v>
      </c>
      <c r="N987"/>
      <c r="O987"/>
      <c r="P987"/>
      <c r="Q987"/>
      <c r="R987"/>
      <c r="S987"/>
      <c r="T987"/>
      <c r="U987"/>
      <c r="V987"/>
      <c r="W987" s="52"/>
      <c r="Y987"/>
      <c r="Z987"/>
      <c r="AA987"/>
      <c r="AB987"/>
      <c r="AC987"/>
      <c r="AD987"/>
      <c r="AE987"/>
      <c r="AF987"/>
      <c r="AG987"/>
      <c r="AH987" s="52"/>
      <c r="AI987" s="148"/>
      <c r="AJ987" s="19"/>
      <c r="AK987" s="19"/>
      <c r="AL987" s="19"/>
      <c r="AM987" s="19"/>
      <c r="AN987" s="42"/>
      <c r="AO987" s="54"/>
      <c r="AP987" s="19"/>
      <c r="AQ987" s="1"/>
      <c r="AR987" s="74"/>
      <c r="AS987" s="42"/>
      <c r="AT987" s="54"/>
      <c r="AU987" s="54"/>
      <c r="AV987" s="19"/>
      <c r="AW987" s="54"/>
      <c r="AX987" s="57"/>
      <c r="AY987" s="54"/>
      <c r="AZ987" s="54"/>
      <c r="BA987" s="54"/>
      <c r="BB987" s="54"/>
      <c r="BC987" s="57"/>
      <c r="BD987" s="19"/>
      <c r="BE987" s="19"/>
      <c r="BF987" s="19"/>
      <c r="BG987" s="54"/>
      <c r="BI987" s="54"/>
      <c r="BJ987" s="55"/>
      <c r="BK987" s="55"/>
      <c r="BL987" s="54"/>
      <c r="BM987" s="56"/>
      <c r="BN987" s="56"/>
      <c r="BO987" s="52"/>
      <c r="BP987" s="52"/>
      <c r="BQ987" s="52"/>
      <c r="BR987" s="52"/>
      <c r="BS987" s="52"/>
      <c r="BT987" s="52"/>
      <c r="BU987" s="52"/>
      <c r="BV987" s="52"/>
      <c r="BW987" s="52"/>
      <c r="BX987" s="52"/>
      <c r="BY987" s="52"/>
      <c r="BZ987" s="52"/>
      <c r="CA987" s="52"/>
      <c r="CB987" s="52"/>
      <c r="CC987" s="52"/>
      <c r="CD987" s="52"/>
      <c r="CE987" s="52"/>
      <c r="CF987" s="52"/>
      <c r="CG987" s="52"/>
      <c r="CH987" s="52"/>
      <c r="CI987" s="52"/>
      <c r="CJ987" s="52"/>
      <c r="CK987" s="52"/>
      <c r="CL987" s="52"/>
      <c r="CM987" s="52"/>
      <c r="CN987" s="52"/>
      <c r="CO987" s="52"/>
      <c r="CP987" s="52"/>
      <c r="CQ987" s="52"/>
      <c r="CR987" s="52"/>
      <c r="CS987" s="52"/>
      <c r="CT987" s="52"/>
      <c r="CU987" s="52"/>
      <c r="CV987" s="52"/>
      <c r="CW987" s="52"/>
      <c r="CX987" s="52"/>
      <c r="CY987" s="52"/>
      <c r="CZ987" s="52"/>
      <c r="DA987" s="52"/>
      <c r="DB987" s="52"/>
      <c r="DC987" s="52"/>
      <c r="DD987" s="52"/>
      <c r="DE987" s="52"/>
      <c r="DF987" s="52"/>
      <c r="DG987" s="52"/>
      <c r="DH987" s="52"/>
      <c r="DI987" s="52"/>
      <c r="DJ987" s="52"/>
      <c r="DK987" s="52"/>
      <c r="DL987" s="52"/>
      <c r="DM987" s="52"/>
      <c r="DN987" s="52"/>
      <c r="DO987" s="52"/>
      <c r="DP987" s="52"/>
      <c r="DQ987" s="52"/>
      <c r="DR987" s="52"/>
      <c r="DS987" s="52"/>
      <c r="DT987" s="52"/>
      <c r="DU987" s="52"/>
      <c r="DV987" s="52"/>
      <c r="DW987" s="52"/>
      <c r="DX987" s="52"/>
      <c r="DZ987"/>
      <c r="EA987" s="19"/>
      <c r="EB987" s="19"/>
      <c r="EC987" s="9"/>
      <c r="ED987" s="9"/>
      <c r="EE987" s="9"/>
      <c r="EF987" s="9"/>
      <c r="EG987" s="9"/>
      <c r="EH987" s="13"/>
      <c r="EI987" s="13"/>
      <c r="EJ987" s="13"/>
      <c r="EK987" s="13"/>
      <c r="EL987" s="13"/>
      <c r="EM987" s="13"/>
      <c r="EN987" s="13"/>
      <c r="EO987" s="13"/>
      <c r="EP987" s="13"/>
      <c r="EQ987" s="13"/>
      <c r="ER987" s="13"/>
      <c r="ES987" s="13"/>
      <c r="ET987" s="13"/>
      <c r="EU987" s="13"/>
      <c r="EV987" s="13"/>
      <c r="EW987" s="13"/>
      <c r="EX987" s="13"/>
      <c r="EY987" s="13"/>
      <c r="EZ987" s="13"/>
      <c r="FA987" s="13"/>
      <c r="FB987" s="13"/>
      <c r="FC987" s="13"/>
      <c r="FD987" s="13"/>
      <c r="FE987" s="13"/>
      <c r="FF987" s="13"/>
      <c r="FG987" s="13"/>
      <c r="FH987" s="13"/>
      <c r="FI987" s="13"/>
      <c r="FJ987" s="13"/>
      <c r="FK987" s="13"/>
      <c r="FL987" s="13"/>
      <c r="FM987" s="13"/>
      <c r="FN987" s="13"/>
      <c r="FO987" s="13"/>
      <c r="FP987" s="13"/>
      <c r="FQ987" s="13"/>
      <c r="FR987" s="13"/>
      <c r="FS987" s="13"/>
      <c r="FT987" s="13"/>
      <c r="FU987" s="13"/>
      <c r="FV987" s="13"/>
      <c r="FW987" s="13"/>
      <c r="FX987" s="13"/>
      <c r="FY987" s="13"/>
      <c r="FZ987" s="13"/>
      <c r="GA987" s="13"/>
    </row>
    <row r="988" spans="1:183" s="43" customFormat="1" x14ac:dyDescent="0.25">
      <c r="A988" s="2"/>
      <c r="B988" s="2"/>
      <c r="C988" s="9">
        <v>1</v>
      </c>
      <c r="D988" s="9">
        <v>8</v>
      </c>
      <c r="E988" s="9">
        <v>50</v>
      </c>
      <c r="F988" s="9">
        <v>68</v>
      </c>
      <c r="G988" s="9">
        <v>83</v>
      </c>
      <c r="H988" s="9">
        <v>87</v>
      </c>
      <c r="J988" s="9">
        <v>87</v>
      </c>
      <c r="L988" s="39">
        <v>44403</v>
      </c>
      <c r="N988"/>
      <c r="O988"/>
      <c r="P988"/>
      <c r="Q988"/>
      <c r="R988"/>
      <c r="S988"/>
      <c r="T988"/>
      <c r="U988"/>
      <c r="V988"/>
      <c r="W988" s="52"/>
      <c r="Y988"/>
      <c r="Z988"/>
      <c r="AA988"/>
      <c r="AB988"/>
      <c r="AC988"/>
      <c r="AD988"/>
      <c r="AE988"/>
      <c r="AF988"/>
      <c r="AG988"/>
      <c r="AH988" s="52"/>
      <c r="AI988" s="148"/>
      <c r="AJ988" s="19"/>
      <c r="AK988" s="19"/>
      <c r="AL988" s="19"/>
      <c r="AM988" s="19"/>
      <c r="AN988" s="42"/>
      <c r="AO988" s="54"/>
      <c r="AP988" s="19"/>
      <c r="AQ988" s="1"/>
      <c r="AR988" s="74"/>
      <c r="AS988" s="42"/>
      <c r="AT988" s="54"/>
      <c r="AU988" s="54"/>
      <c r="AV988" s="19"/>
      <c r="AW988" s="54"/>
      <c r="AX988" s="57"/>
      <c r="AY988" s="54"/>
      <c r="AZ988" s="54"/>
      <c r="BA988" s="54"/>
      <c r="BB988" s="54"/>
      <c r="BC988" s="57"/>
      <c r="BD988" s="19"/>
      <c r="BE988" s="19"/>
      <c r="BF988" s="19"/>
      <c r="BG988" s="54"/>
      <c r="BI988" s="54"/>
      <c r="BJ988" s="55"/>
      <c r="BK988" s="55"/>
      <c r="BL988" s="54"/>
      <c r="BM988" s="56"/>
      <c r="BN988" s="56"/>
      <c r="BO988" s="52"/>
      <c r="BP988" s="52"/>
      <c r="BQ988" s="52"/>
      <c r="BR988" s="52"/>
      <c r="BS988" s="52"/>
      <c r="BT988" s="52"/>
      <c r="BU988" s="52"/>
      <c r="BV988" s="52"/>
      <c r="BW988" s="52"/>
      <c r="BX988" s="52"/>
      <c r="BY988" s="52"/>
      <c r="BZ988" s="52"/>
      <c r="CA988" s="52"/>
      <c r="CB988" s="52"/>
      <c r="CC988" s="52"/>
      <c r="CD988" s="52"/>
      <c r="CE988" s="52"/>
      <c r="CF988" s="52"/>
      <c r="CG988" s="52"/>
      <c r="CH988" s="52"/>
      <c r="CI988" s="52"/>
      <c r="CJ988" s="52"/>
      <c r="CK988" s="52"/>
      <c r="CL988" s="52"/>
      <c r="CM988" s="52"/>
      <c r="CN988" s="52"/>
      <c r="CO988" s="52"/>
      <c r="CP988" s="52"/>
      <c r="CQ988" s="52"/>
      <c r="CR988" s="52"/>
      <c r="CS988" s="52"/>
      <c r="CT988" s="52"/>
      <c r="CU988" s="52"/>
      <c r="CV988" s="52"/>
      <c r="CW988" s="52"/>
      <c r="CX988" s="52"/>
      <c r="CY988" s="52"/>
      <c r="CZ988" s="52"/>
      <c r="DA988" s="52"/>
      <c r="DB988" s="52"/>
      <c r="DC988" s="52"/>
      <c r="DD988" s="52"/>
      <c r="DE988" s="52"/>
      <c r="DF988" s="52"/>
      <c r="DG988" s="52"/>
      <c r="DH988" s="52"/>
      <c r="DI988" s="52"/>
      <c r="DJ988" s="52"/>
      <c r="DK988" s="52"/>
      <c r="DL988" s="52"/>
      <c r="DM988" s="52"/>
      <c r="DN988" s="52"/>
      <c r="DO988" s="52"/>
      <c r="DP988" s="52"/>
      <c r="DQ988" s="52"/>
      <c r="DR988" s="52"/>
      <c r="DS988" s="52"/>
      <c r="DT988" s="52"/>
      <c r="DU988" s="52"/>
      <c r="DV988" s="52"/>
      <c r="DW988" s="52"/>
      <c r="DX988" s="52"/>
      <c r="DZ988"/>
      <c r="EA988" s="19"/>
      <c r="EB988" s="19"/>
      <c r="EC988" s="9"/>
      <c r="ED988" s="9"/>
      <c r="EE988" s="9"/>
      <c r="EF988" s="9"/>
      <c r="EG988" s="9"/>
      <c r="EH988" s="13"/>
      <c r="EI988" s="13"/>
      <c r="EJ988" s="13"/>
      <c r="EK988" s="13"/>
      <c r="EL988" s="13"/>
      <c r="EM988" s="13"/>
      <c r="EN988" s="13"/>
      <c r="EO988" s="13"/>
      <c r="EP988" s="13"/>
      <c r="EQ988" s="13"/>
      <c r="ER988" s="13"/>
      <c r="ES988" s="13"/>
      <c r="ET988" s="13"/>
      <c r="EU988" s="13"/>
      <c r="EV988" s="13"/>
      <c r="EW988" s="13"/>
      <c r="EX988" s="13"/>
      <c r="EY988" s="13"/>
      <c r="EZ988" s="13"/>
      <c r="FA988" s="13"/>
      <c r="FB988" s="13"/>
      <c r="FC988" s="13"/>
      <c r="FD988" s="13"/>
      <c r="FE988" s="13"/>
      <c r="FF988" s="13"/>
      <c r="FG988" s="13"/>
      <c r="FH988" s="13"/>
      <c r="FI988" s="13"/>
      <c r="FJ988" s="13"/>
      <c r="FK988" s="13"/>
      <c r="FL988" s="13"/>
      <c r="FM988" s="13"/>
      <c r="FN988" s="13"/>
      <c r="FO988" s="13"/>
      <c r="FP988" s="13"/>
      <c r="FQ988" s="13"/>
      <c r="FR988" s="13"/>
      <c r="FS988" s="13"/>
      <c r="FT988" s="13"/>
      <c r="FU988" s="13"/>
      <c r="FV988" s="13"/>
      <c r="FW988" s="13"/>
      <c r="FX988" s="13"/>
      <c r="FY988" s="13"/>
      <c r="FZ988" s="13"/>
      <c r="GA988" s="13"/>
    </row>
    <row r="989" spans="1:183" s="43" customFormat="1" x14ac:dyDescent="0.25">
      <c r="A989" s="2"/>
      <c r="B989" s="2"/>
      <c r="C989" s="9">
        <v>13</v>
      </c>
      <c r="D989" s="9">
        <v>24</v>
      </c>
      <c r="E989" s="9">
        <v>47</v>
      </c>
      <c r="F989" s="9">
        <v>73</v>
      </c>
      <c r="G989" s="9">
        <v>75</v>
      </c>
      <c r="H989" s="9">
        <v>76</v>
      </c>
      <c r="J989" s="9">
        <v>76</v>
      </c>
      <c r="L989" s="39">
        <v>44401</v>
      </c>
      <c r="N989"/>
      <c r="O989"/>
      <c r="P989"/>
      <c r="Q989"/>
      <c r="R989"/>
      <c r="S989"/>
      <c r="T989"/>
      <c r="U989"/>
      <c r="V989"/>
      <c r="W989" s="52"/>
      <c r="Y989"/>
      <c r="Z989"/>
      <c r="AA989"/>
      <c r="AB989"/>
      <c r="AC989"/>
      <c r="AD989"/>
      <c r="AE989"/>
      <c r="AF989"/>
      <c r="AG989"/>
      <c r="AH989" s="52"/>
      <c r="AI989" s="148"/>
      <c r="AJ989" s="19"/>
      <c r="AK989" s="19"/>
      <c r="AL989" s="19"/>
      <c r="AM989" s="19"/>
      <c r="AN989" s="42"/>
      <c r="AO989" s="54"/>
      <c r="AP989" s="19"/>
      <c r="AQ989" s="1"/>
      <c r="AR989" s="74"/>
      <c r="AS989" s="42"/>
      <c r="AT989" s="54"/>
      <c r="AU989" s="54"/>
      <c r="AV989" s="19"/>
      <c r="AW989" s="54"/>
      <c r="AX989" s="57"/>
      <c r="AY989" s="54"/>
      <c r="AZ989" s="54"/>
      <c r="BA989" s="54"/>
      <c r="BB989" s="54"/>
      <c r="BC989" s="57"/>
      <c r="BD989" s="19"/>
      <c r="BE989" s="19"/>
      <c r="BF989" s="19"/>
      <c r="BG989" s="54"/>
      <c r="BI989" s="54"/>
      <c r="BJ989" s="55"/>
      <c r="BK989" s="55"/>
      <c r="BL989" s="54"/>
      <c r="BM989" s="56"/>
      <c r="BN989" s="56"/>
      <c r="BO989" s="52"/>
      <c r="BP989" s="52"/>
      <c r="BQ989" s="52"/>
      <c r="BR989" s="52"/>
      <c r="BS989" s="52"/>
      <c r="BT989" s="52"/>
      <c r="BU989" s="52"/>
      <c r="BV989" s="52"/>
      <c r="BW989" s="52"/>
      <c r="BX989" s="52"/>
      <c r="BY989" s="52"/>
      <c r="BZ989" s="52"/>
      <c r="CA989" s="52"/>
      <c r="CB989" s="52"/>
      <c r="CC989" s="52"/>
      <c r="CD989" s="52"/>
      <c r="CE989" s="52"/>
      <c r="CF989" s="52"/>
      <c r="CG989" s="52"/>
      <c r="CH989" s="52"/>
      <c r="CI989" s="52"/>
      <c r="CJ989" s="52"/>
      <c r="CK989" s="52"/>
      <c r="CL989" s="52"/>
      <c r="CM989" s="52"/>
      <c r="CN989" s="52"/>
      <c r="CO989" s="52"/>
      <c r="CP989" s="52"/>
      <c r="CQ989" s="52"/>
      <c r="CR989" s="52"/>
      <c r="CS989" s="52"/>
      <c r="CT989" s="52"/>
      <c r="CU989" s="52"/>
      <c r="CV989" s="52"/>
      <c r="CW989" s="52"/>
      <c r="CX989" s="52"/>
      <c r="CY989" s="52"/>
      <c r="CZ989" s="52"/>
      <c r="DA989" s="52"/>
      <c r="DB989" s="52"/>
      <c r="DC989" s="52"/>
      <c r="DD989" s="52"/>
      <c r="DE989" s="52"/>
      <c r="DF989" s="52"/>
      <c r="DG989" s="52"/>
      <c r="DH989" s="52"/>
      <c r="DI989" s="52"/>
      <c r="DJ989" s="52"/>
      <c r="DK989" s="52"/>
      <c r="DL989" s="52"/>
      <c r="DM989" s="52"/>
      <c r="DN989" s="52"/>
      <c r="DO989" s="52"/>
      <c r="DP989" s="52"/>
      <c r="DQ989" s="52"/>
      <c r="DR989" s="52"/>
      <c r="DS989" s="52"/>
      <c r="DT989" s="52"/>
      <c r="DU989" s="52"/>
      <c r="DV989" s="52"/>
      <c r="DW989" s="52"/>
      <c r="DX989" s="52"/>
      <c r="DZ989"/>
      <c r="EA989" s="19"/>
      <c r="EB989" s="19"/>
      <c r="EC989" s="9"/>
      <c r="ED989" s="9"/>
      <c r="EE989" s="9"/>
      <c r="EF989" s="9"/>
      <c r="EG989" s="9"/>
      <c r="EH989" s="13"/>
      <c r="EI989" s="13"/>
      <c r="EJ989" s="13"/>
      <c r="EK989" s="13"/>
      <c r="EL989" s="13"/>
      <c r="EM989" s="13"/>
      <c r="EN989" s="13"/>
      <c r="EO989" s="13"/>
      <c r="EP989" s="13"/>
      <c r="EQ989" s="13"/>
      <c r="ER989" s="13"/>
      <c r="ES989" s="13"/>
      <c r="ET989" s="13"/>
      <c r="EU989" s="13"/>
      <c r="EV989" s="13"/>
      <c r="EW989" s="13"/>
      <c r="EX989" s="13"/>
      <c r="EY989" s="13"/>
      <c r="EZ989" s="13"/>
      <c r="FA989" s="13"/>
      <c r="FB989" s="13"/>
      <c r="FC989" s="13"/>
      <c r="FD989" s="13"/>
      <c r="FE989" s="13"/>
      <c r="FF989" s="13"/>
      <c r="FG989" s="13"/>
      <c r="FH989" s="13"/>
      <c r="FI989" s="13"/>
      <c r="FJ989" s="13"/>
      <c r="FK989" s="13"/>
      <c r="FL989" s="13"/>
      <c r="FM989" s="13"/>
      <c r="FN989" s="13"/>
      <c r="FO989" s="13"/>
      <c r="FP989" s="13"/>
      <c r="FQ989" s="13"/>
      <c r="FR989" s="13"/>
      <c r="FS989" s="13"/>
      <c r="FT989" s="13"/>
      <c r="FU989" s="13"/>
      <c r="FV989" s="13"/>
      <c r="FW989" s="13"/>
      <c r="FX989" s="13"/>
      <c r="FY989" s="13"/>
      <c r="FZ989" s="13"/>
      <c r="GA989" s="13"/>
    </row>
    <row r="990" spans="1:183" s="43" customFormat="1" x14ac:dyDescent="0.25">
      <c r="A990" s="2"/>
      <c r="B990" s="2"/>
      <c r="C990" s="9">
        <v>8</v>
      </c>
      <c r="D990" s="9">
        <v>22</v>
      </c>
      <c r="E990" s="9">
        <v>52</v>
      </c>
      <c r="F990" s="9">
        <v>60</v>
      </c>
      <c r="G990" s="9">
        <v>83</v>
      </c>
      <c r="H990" s="9">
        <v>89</v>
      </c>
      <c r="J990" s="9">
        <v>89</v>
      </c>
      <c r="L990" s="39">
        <v>44398</v>
      </c>
      <c r="N990"/>
      <c r="O990"/>
      <c r="P990"/>
      <c r="Q990"/>
      <c r="R990"/>
      <c r="S990"/>
      <c r="T990"/>
      <c r="U990"/>
      <c r="V990"/>
      <c r="W990" s="52"/>
      <c r="Y990"/>
      <c r="Z990"/>
      <c r="AA990"/>
      <c r="AB990"/>
      <c r="AC990"/>
      <c r="AD990"/>
      <c r="AE990"/>
      <c r="AF990"/>
      <c r="AG990"/>
      <c r="AH990" s="52"/>
      <c r="AI990" s="148"/>
      <c r="AJ990" s="19"/>
      <c r="AK990" s="19"/>
      <c r="AL990" s="19"/>
      <c r="AM990" s="19"/>
      <c r="AN990" s="42"/>
      <c r="AO990" s="54"/>
      <c r="AP990" s="19"/>
      <c r="AQ990" s="1"/>
      <c r="AR990" s="74"/>
      <c r="AS990" s="42"/>
      <c r="AT990" s="54"/>
      <c r="AU990" s="54"/>
      <c r="AV990" s="19"/>
      <c r="AW990" s="54"/>
      <c r="AX990" s="57"/>
      <c r="AY990" s="54"/>
      <c r="AZ990" s="54"/>
      <c r="BA990" s="54"/>
      <c r="BB990" s="54"/>
      <c r="BC990" s="57"/>
      <c r="BD990" s="19"/>
      <c r="BE990" s="19"/>
      <c r="BF990" s="19"/>
      <c r="BG990" s="54"/>
      <c r="BI990" s="54"/>
      <c r="BJ990" s="55"/>
      <c r="BK990" s="55"/>
      <c r="BL990" s="54"/>
      <c r="BM990" s="56"/>
      <c r="BN990" s="56"/>
      <c r="BO990" s="52"/>
      <c r="BP990" s="52"/>
      <c r="BQ990" s="52"/>
      <c r="BR990" s="52"/>
      <c r="BS990" s="52"/>
      <c r="BT990" s="52"/>
      <c r="BU990" s="52"/>
      <c r="BV990" s="52"/>
      <c r="BW990" s="52"/>
      <c r="BX990" s="52"/>
      <c r="BY990" s="52"/>
      <c r="BZ990" s="52"/>
      <c r="CA990" s="52"/>
      <c r="CB990" s="52"/>
      <c r="CC990" s="52"/>
      <c r="CD990" s="52"/>
      <c r="CE990" s="52"/>
      <c r="CF990" s="52"/>
      <c r="CG990" s="52"/>
      <c r="CH990" s="52"/>
      <c r="CI990" s="52"/>
      <c r="CJ990" s="52"/>
      <c r="CK990" s="52"/>
      <c r="CL990" s="52"/>
      <c r="CM990" s="52"/>
      <c r="CN990" s="52"/>
      <c r="CO990" s="52"/>
      <c r="CP990" s="52"/>
      <c r="CQ990" s="52"/>
      <c r="CR990" s="52"/>
      <c r="CS990" s="52"/>
      <c r="CT990" s="52"/>
      <c r="CU990" s="52"/>
      <c r="CV990" s="52"/>
      <c r="CW990" s="52"/>
      <c r="CX990" s="52"/>
      <c r="CY990" s="52"/>
      <c r="CZ990" s="52"/>
      <c r="DA990" s="52"/>
      <c r="DB990" s="52"/>
      <c r="DC990" s="52"/>
      <c r="DD990" s="52"/>
      <c r="DE990" s="52"/>
      <c r="DF990" s="52"/>
      <c r="DG990" s="52"/>
      <c r="DH990" s="52"/>
      <c r="DI990" s="52"/>
      <c r="DJ990" s="52"/>
      <c r="DK990" s="52"/>
      <c r="DL990" s="52"/>
      <c r="DM990" s="52"/>
      <c r="DN990" s="52"/>
      <c r="DO990" s="52"/>
      <c r="DP990" s="52"/>
      <c r="DQ990" s="52"/>
      <c r="DR990" s="52"/>
      <c r="DS990" s="52"/>
      <c r="DT990" s="52"/>
      <c r="DU990" s="52"/>
      <c r="DV990" s="52"/>
      <c r="DW990" s="52"/>
      <c r="DX990" s="52"/>
      <c r="DZ990"/>
      <c r="EA990" s="19"/>
      <c r="EB990" s="19"/>
      <c r="EC990" s="9"/>
      <c r="ED990" s="9"/>
      <c r="EE990" s="9"/>
      <c r="EF990" s="9"/>
      <c r="EG990" s="9"/>
      <c r="EH990" s="13"/>
      <c r="EI990" s="13"/>
      <c r="EJ990" s="13"/>
      <c r="EK990" s="13"/>
      <c r="EL990" s="13"/>
      <c r="EM990" s="13"/>
      <c r="EN990" s="13"/>
      <c r="EO990" s="13"/>
      <c r="EP990" s="13"/>
      <c r="EQ990" s="13"/>
      <c r="ER990" s="13"/>
      <c r="ES990" s="13"/>
      <c r="ET990" s="13"/>
      <c r="EU990" s="13"/>
      <c r="EV990" s="13"/>
      <c r="EW990" s="13"/>
      <c r="EX990" s="13"/>
      <c r="EY990" s="13"/>
      <c r="EZ990" s="13"/>
      <c r="FA990" s="13"/>
      <c r="FB990" s="13"/>
      <c r="FC990" s="13"/>
      <c r="FD990" s="13"/>
      <c r="FE990" s="13"/>
      <c r="FF990" s="13"/>
      <c r="FG990" s="13"/>
      <c r="FH990" s="13"/>
      <c r="FI990" s="13"/>
      <c r="FJ990" s="13"/>
      <c r="FK990" s="13"/>
      <c r="FL990" s="13"/>
      <c r="FM990" s="13"/>
      <c r="FN990" s="13"/>
      <c r="FO990" s="13"/>
      <c r="FP990" s="13"/>
      <c r="FQ990" s="13"/>
      <c r="FR990" s="13"/>
      <c r="FS990" s="13"/>
      <c r="FT990" s="13"/>
      <c r="FU990" s="13"/>
      <c r="FV990" s="13"/>
      <c r="FW990" s="13"/>
      <c r="FX990" s="13"/>
      <c r="FY990" s="13"/>
      <c r="FZ990" s="13"/>
      <c r="GA990" s="13"/>
    </row>
    <row r="991" spans="1:183" s="43" customFormat="1" x14ac:dyDescent="0.25">
      <c r="A991" s="2"/>
      <c r="B991" s="2"/>
      <c r="C991" s="9">
        <v>2</v>
      </c>
      <c r="D991" s="9">
        <v>9</v>
      </c>
      <c r="E991" s="9">
        <v>31</v>
      </c>
      <c r="F991" s="9">
        <v>61</v>
      </c>
      <c r="G991" s="9">
        <v>85</v>
      </c>
      <c r="H991" s="9">
        <v>88</v>
      </c>
      <c r="J991" s="9">
        <v>88</v>
      </c>
      <c r="L991" s="39">
        <v>44396</v>
      </c>
      <c r="N991"/>
      <c r="O991"/>
      <c r="P991"/>
      <c r="Q991"/>
      <c r="R991"/>
      <c r="S991"/>
      <c r="T991"/>
      <c r="U991"/>
      <c r="V991"/>
      <c r="W991" s="52"/>
      <c r="Y991"/>
      <c r="Z991"/>
      <c r="AA991"/>
      <c r="AB991"/>
      <c r="AC991"/>
      <c r="AD991"/>
      <c r="AE991"/>
      <c r="AF991"/>
      <c r="AG991"/>
      <c r="AH991" s="52"/>
      <c r="AI991" s="148"/>
      <c r="AJ991" s="19"/>
      <c r="AK991" s="19"/>
      <c r="AL991" s="19"/>
      <c r="AM991" s="19"/>
      <c r="AN991" s="42"/>
      <c r="AO991" s="54"/>
      <c r="AP991" s="19"/>
      <c r="AQ991" s="1"/>
      <c r="AR991" s="74"/>
      <c r="AS991" s="42"/>
      <c r="AT991" s="54"/>
      <c r="AU991" s="54"/>
      <c r="AV991" s="19"/>
      <c r="AW991" s="54"/>
      <c r="AX991" s="57"/>
      <c r="AY991" s="54"/>
      <c r="AZ991" s="54"/>
      <c r="BA991" s="54"/>
      <c r="BB991" s="54"/>
      <c r="BC991" s="57"/>
      <c r="BD991" s="19"/>
      <c r="BE991" s="19"/>
      <c r="BF991" s="19"/>
      <c r="BG991" s="54"/>
      <c r="BI991" s="54"/>
      <c r="BJ991" s="55"/>
      <c r="BK991" s="55"/>
      <c r="BL991" s="54"/>
      <c r="BM991" s="56"/>
      <c r="BN991" s="56"/>
      <c r="BO991" s="52"/>
      <c r="BP991" s="52"/>
      <c r="BQ991" s="52"/>
      <c r="BR991" s="52"/>
      <c r="BS991" s="52"/>
      <c r="BT991" s="52"/>
      <c r="BU991" s="52"/>
      <c r="BV991" s="52"/>
      <c r="BW991" s="52"/>
      <c r="BX991" s="52"/>
      <c r="BY991" s="52"/>
      <c r="BZ991" s="52"/>
      <c r="CA991" s="52"/>
      <c r="CB991" s="52"/>
      <c r="CC991" s="52"/>
      <c r="CD991" s="52"/>
      <c r="CE991" s="52"/>
      <c r="CF991" s="52"/>
      <c r="CG991" s="52"/>
      <c r="CH991" s="52"/>
      <c r="CI991" s="52"/>
      <c r="CJ991" s="52"/>
      <c r="CK991" s="52"/>
      <c r="CL991" s="52"/>
      <c r="CM991" s="52"/>
      <c r="CN991" s="52"/>
      <c r="CO991" s="52"/>
      <c r="CP991" s="52"/>
      <c r="CQ991" s="52"/>
      <c r="CR991" s="52"/>
      <c r="CS991" s="52"/>
      <c r="CT991" s="52"/>
      <c r="CU991" s="52"/>
      <c r="CV991" s="52"/>
      <c r="CW991" s="52"/>
      <c r="CX991" s="52"/>
      <c r="CY991" s="52"/>
      <c r="CZ991" s="52"/>
      <c r="DA991" s="52"/>
      <c r="DB991" s="52"/>
      <c r="DC991" s="52"/>
      <c r="DD991" s="52"/>
      <c r="DE991" s="52"/>
      <c r="DF991" s="52"/>
      <c r="DG991" s="52"/>
      <c r="DH991" s="52"/>
      <c r="DI991" s="52"/>
      <c r="DJ991" s="52"/>
      <c r="DK991" s="52"/>
      <c r="DL991" s="52"/>
      <c r="DM991" s="52"/>
      <c r="DN991" s="52"/>
      <c r="DO991" s="52"/>
      <c r="DP991" s="52"/>
      <c r="DQ991" s="52"/>
      <c r="DR991" s="52"/>
      <c r="DS991" s="52"/>
      <c r="DT991" s="52"/>
      <c r="DU991" s="52"/>
      <c r="DV991" s="52"/>
      <c r="DW991" s="52"/>
      <c r="DX991" s="52"/>
      <c r="DZ991"/>
      <c r="EA991" s="19"/>
      <c r="EB991" s="19"/>
      <c r="EC991" s="9"/>
      <c r="ED991" s="9"/>
      <c r="EE991" s="9"/>
      <c r="EF991" s="9"/>
      <c r="EG991" s="9"/>
      <c r="EH991" s="13"/>
      <c r="EI991" s="13"/>
      <c r="EJ991" s="13"/>
      <c r="EK991" s="13"/>
      <c r="EL991" s="13"/>
      <c r="EM991" s="13"/>
      <c r="EN991" s="13"/>
      <c r="EO991" s="13"/>
      <c r="EP991" s="13"/>
      <c r="EQ991" s="13"/>
      <c r="ER991" s="13"/>
      <c r="ES991" s="13"/>
      <c r="ET991" s="13"/>
      <c r="EU991" s="13"/>
      <c r="EV991" s="13"/>
      <c r="EW991" s="13"/>
      <c r="EX991" s="13"/>
      <c r="EY991" s="13"/>
      <c r="EZ991" s="13"/>
      <c r="FA991" s="13"/>
      <c r="FB991" s="13"/>
      <c r="FC991" s="13"/>
      <c r="FD991" s="13"/>
      <c r="FE991" s="13"/>
      <c r="FF991" s="13"/>
      <c r="FG991" s="13"/>
      <c r="FH991" s="13"/>
      <c r="FI991" s="13"/>
      <c r="FJ991" s="13"/>
      <c r="FK991" s="13"/>
      <c r="FL991" s="13"/>
      <c r="FM991" s="13"/>
      <c r="FN991" s="13"/>
      <c r="FO991" s="13"/>
      <c r="FP991" s="13"/>
      <c r="FQ991" s="13"/>
      <c r="FR991" s="13"/>
      <c r="FS991" s="13"/>
      <c r="FT991" s="13"/>
      <c r="FU991" s="13"/>
      <c r="FV991" s="13"/>
      <c r="FW991" s="13"/>
      <c r="FX991" s="13"/>
      <c r="FY991" s="13"/>
      <c r="FZ991" s="13"/>
      <c r="GA991" s="13"/>
    </row>
    <row r="992" spans="1:183" s="43" customFormat="1" x14ac:dyDescent="0.25">
      <c r="A992" s="2"/>
      <c r="B992" s="2"/>
      <c r="C992" s="9">
        <v>1</v>
      </c>
      <c r="D992" s="9">
        <v>5</v>
      </c>
      <c r="E992" s="9">
        <v>6</v>
      </c>
      <c r="F992" s="9">
        <v>43</v>
      </c>
      <c r="G992" s="9">
        <v>52</v>
      </c>
      <c r="H992" s="9">
        <v>55</v>
      </c>
      <c r="J992" s="9">
        <v>55</v>
      </c>
      <c r="L992" s="39">
        <v>44394</v>
      </c>
      <c r="N992"/>
      <c r="O992"/>
      <c r="P992"/>
      <c r="Q992"/>
      <c r="R992"/>
      <c r="S992"/>
      <c r="T992"/>
      <c r="U992"/>
      <c r="V992"/>
      <c r="W992" s="52"/>
      <c r="Y992"/>
      <c r="Z992"/>
      <c r="AA992"/>
      <c r="AB992"/>
      <c r="AC992"/>
      <c r="AD992"/>
      <c r="AE992"/>
      <c r="AF992"/>
      <c r="AG992"/>
      <c r="AH992" s="52"/>
      <c r="AI992" s="148"/>
      <c r="AJ992" s="19"/>
      <c r="AK992" s="19"/>
      <c r="AL992" s="19"/>
      <c r="AM992" s="19"/>
      <c r="AN992" s="42"/>
      <c r="AO992" s="54"/>
      <c r="AP992" s="19"/>
      <c r="AQ992" s="1"/>
      <c r="AR992" s="74"/>
      <c r="AS992" s="42"/>
      <c r="AT992" s="54"/>
      <c r="AU992" s="54"/>
      <c r="AV992" s="19"/>
      <c r="AW992" s="54"/>
      <c r="AX992" s="57"/>
      <c r="AY992" s="54"/>
      <c r="AZ992" s="54"/>
      <c r="BA992" s="54"/>
      <c r="BB992" s="54"/>
      <c r="BC992" s="57"/>
      <c r="BD992" s="19"/>
      <c r="BE992" s="19"/>
      <c r="BF992" s="19"/>
      <c r="BG992" s="54"/>
      <c r="BI992" s="54"/>
      <c r="BJ992" s="55"/>
      <c r="BK992" s="55"/>
      <c r="BL992" s="54"/>
      <c r="BM992" s="56"/>
      <c r="BN992" s="56"/>
      <c r="BO992" s="52"/>
      <c r="BP992" s="52"/>
      <c r="BQ992" s="52"/>
      <c r="BR992" s="52"/>
      <c r="BS992" s="52"/>
      <c r="BT992" s="52"/>
      <c r="BU992" s="52"/>
      <c r="BV992" s="52"/>
      <c r="BW992" s="52"/>
      <c r="BX992" s="52"/>
      <c r="BY992" s="52"/>
      <c r="BZ992" s="52"/>
      <c r="CA992" s="52"/>
      <c r="CB992" s="52"/>
      <c r="CC992" s="52"/>
      <c r="CD992" s="52"/>
      <c r="CE992" s="52"/>
      <c r="CF992" s="52"/>
      <c r="CG992" s="52"/>
      <c r="CH992" s="52"/>
      <c r="CI992" s="52"/>
      <c r="CJ992" s="52"/>
      <c r="CK992" s="52"/>
      <c r="CL992" s="52"/>
      <c r="CM992" s="52"/>
      <c r="CN992" s="52"/>
      <c r="CO992" s="52"/>
      <c r="CP992" s="52"/>
      <c r="CQ992" s="52"/>
      <c r="CR992" s="52"/>
      <c r="CS992" s="52"/>
      <c r="CT992" s="52"/>
      <c r="CU992" s="52"/>
      <c r="CV992" s="52"/>
      <c r="CW992" s="52"/>
      <c r="CX992" s="52"/>
      <c r="CY992" s="52"/>
      <c r="CZ992" s="52"/>
      <c r="DA992" s="52"/>
      <c r="DB992" s="52"/>
      <c r="DC992" s="52"/>
      <c r="DD992" s="52"/>
      <c r="DE992" s="52"/>
      <c r="DF992" s="52"/>
      <c r="DG992" s="52"/>
      <c r="DH992" s="52"/>
      <c r="DI992" s="52"/>
      <c r="DJ992" s="52"/>
      <c r="DK992" s="52"/>
      <c r="DL992" s="52"/>
      <c r="DM992" s="52"/>
      <c r="DN992" s="52"/>
      <c r="DO992" s="52"/>
      <c r="DP992" s="52"/>
      <c r="DQ992" s="52"/>
      <c r="DR992" s="52"/>
      <c r="DS992" s="52"/>
      <c r="DT992" s="52"/>
      <c r="DU992" s="52"/>
      <c r="DV992" s="52"/>
      <c r="DW992" s="52"/>
      <c r="DX992" s="52"/>
      <c r="DZ992"/>
      <c r="EA992" s="19"/>
      <c r="EB992" s="19"/>
      <c r="EC992" s="9"/>
      <c r="ED992" s="9"/>
      <c r="EE992" s="9"/>
      <c r="EF992" s="9"/>
      <c r="EG992" s="9"/>
      <c r="EH992" s="13"/>
      <c r="EI992" s="13"/>
      <c r="EJ992" s="13"/>
      <c r="EK992" s="13"/>
      <c r="EL992" s="13"/>
      <c r="EM992" s="13"/>
      <c r="EN992" s="13"/>
      <c r="EO992" s="13"/>
      <c r="EP992" s="13"/>
      <c r="EQ992" s="13"/>
      <c r="ER992" s="13"/>
      <c r="ES992" s="13"/>
      <c r="ET992" s="13"/>
      <c r="EU992" s="13"/>
      <c r="EV992" s="13"/>
      <c r="EW992" s="13"/>
      <c r="EX992" s="13"/>
      <c r="EY992" s="13"/>
      <c r="EZ992" s="13"/>
      <c r="FA992" s="13"/>
      <c r="FB992" s="13"/>
      <c r="FC992" s="13"/>
      <c r="FD992" s="13"/>
      <c r="FE992" s="13"/>
      <c r="FF992" s="13"/>
      <c r="FG992" s="13"/>
      <c r="FH992" s="13"/>
      <c r="FI992" s="13"/>
      <c r="FJ992" s="13"/>
      <c r="FK992" s="13"/>
      <c r="FL992" s="13"/>
      <c r="FM992" s="13"/>
      <c r="FN992" s="13"/>
      <c r="FO992" s="13"/>
      <c r="FP992" s="13"/>
      <c r="FQ992" s="13"/>
      <c r="FR992" s="13"/>
      <c r="FS992" s="13"/>
      <c r="FT992" s="13"/>
      <c r="FU992" s="13"/>
      <c r="FV992" s="13"/>
      <c r="FW992" s="13"/>
      <c r="FX992" s="13"/>
      <c r="FY992" s="13"/>
      <c r="FZ992" s="13"/>
      <c r="GA992" s="13"/>
    </row>
    <row r="993" spans="1:183" s="43" customFormat="1" x14ac:dyDescent="0.25">
      <c r="A993" s="2"/>
      <c r="B993" s="2"/>
      <c r="C993" s="9">
        <v>12</v>
      </c>
      <c r="D993" s="9">
        <v>44</v>
      </c>
      <c r="E993" s="9">
        <v>45</v>
      </c>
      <c r="F993" s="9">
        <v>52</v>
      </c>
      <c r="G993" s="9">
        <v>67</v>
      </c>
      <c r="H993" s="9">
        <v>71</v>
      </c>
      <c r="J993" s="9">
        <v>71</v>
      </c>
      <c r="L993" s="39">
        <v>44391</v>
      </c>
      <c r="N993"/>
      <c r="O993"/>
      <c r="P993"/>
      <c r="Q993"/>
      <c r="R993"/>
      <c r="S993"/>
      <c r="T993"/>
      <c r="U993"/>
      <c r="V993"/>
      <c r="W993" s="52"/>
      <c r="Y993"/>
      <c r="Z993"/>
      <c r="AA993"/>
      <c r="AB993"/>
      <c r="AC993"/>
      <c r="AD993"/>
      <c r="AE993"/>
      <c r="AF993"/>
      <c r="AG993"/>
      <c r="AH993" s="52"/>
      <c r="AI993" s="148"/>
      <c r="AJ993" s="19"/>
      <c r="AK993" s="19"/>
      <c r="AL993" s="19"/>
      <c r="AM993" s="19"/>
      <c r="AN993" s="42"/>
      <c r="AO993" s="54"/>
      <c r="AP993" s="19"/>
      <c r="AQ993" s="1"/>
      <c r="AR993" s="74"/>
      <c r="AS993" s="42"/>
      <c r="AT993" s="54"/>
      <c r="AU993" s="54"/>
      <c r="AV993" s="19"/>
      <c r="AW993" s="54"/>
      <c r="AX993" s="57"/>
      <c r="AY993" s="54"/>
      <c r="AZ993" s="54"/>
      <c r="BA993" s="54"/>
      <c r="BB993" s="54"/>
      <c r="BC993" s="57"/>
      <c r="BD993" s="19"/>
      <c r="BE993" s="19"/>
      <c r="BF993" s="19"/>
      <c r="BG993" s="54"/>
      <c r="BI993" s="54"/>
      <c r="BJ993" s="55"/>
      <c r="BK993" s="55"/>
      <c r="BL993" s="54"/>
      <c r="BM993" s="56"/>
      <c r="BN993" s="56"/>
      <c r="BO993" s="52"/>
      <c r="BP993" s="52"/>
      <c r="BQ993" s="52"/>
      <c r="BR993" s="52"/>
      <c r="BS993" s="52"/>
      <c r="BT993" s="52"/>
      <c r="BU993" s="52"/>
      <c r="BV993" s="52"/>
      <c r="BW993" s="52"/>
      <c r="BX993" s="52"/>
      <c r="BY993" s="52"/>
      <c r="BZ993" s="52"/>
      <c r="CA993" s="52"/>
      <c r="CB993" s="52"/>
      <c r="CC993" s="52"/>
      <c r="CD993" s="52"/>
      <c r="CE993" s="52"/>
      <c r="CF993" s="52"/>
      <c r="CG993" s="52"/>
      <c r="CH993" s="52"/>
      <c r="CI993" s="52"/>
      <c r="CJ993" s="52"/>
      <c r="CK993" s="52"/>
      <c r="CL993" s="52"/>
      <c r="CM993" s="52"/>
      <c r="CN993" s="52"/>
      <c r="CO993" s="52"/>
      <c r="CP993" s="52"/>
      <c r="CQ993" s="52"/>
      <c r="CR993" s="52"/>
      <c r="CS993" s="52"/>
      <c r="CT993" s="52"/>
      <c r="CU993" s="52"/>
      <c r="CV993" s="52"/>
      <c r="CW993" s="52"/>
      <c r="CX993" s="52"/>
      <c r="CY993" s="52"/>
      <c r="CZ993" s="52"/>
      <c r="DA993" s="52"/>
      <c r="DB993" s="52"/>
      <c r="DC993" s="52"/>
      <c r="DD993" s="52"/>
      <c r="DE993" s="52"/>
      <c r="DF993" s="52"/>
      <c r="DG993" s="52"/>
      <c r="DH993" s="52"/>
      <c r="DI993" s="52"/>
      <c r="DJ993" s="52"/>
      <c r="DK993" s="52"/>
      <c r="DL993" s="52"/>
      <c r="DM993" s="52"/>
      <c r="DN993" s="52"/>
      <c r="DO993" s="52"/>
      <c r="DP993" s="52"/>
      <c r="DQ993" s="52"/>
      <c r="DR993" s="52"/>
      <c r="DS993" s="52"/>
      <c r="DT993" s="52"/>
      <c r="DU993" s="52"/>
      <c r="DV993" s="52"/>
      <c r="DW993" s="52"/>
      <c r="DX993" s="52"/>
      <c r="DZ993"/>
      <c r="EA993" s="19"/>
      <c r="EB993" s="19"/>
      <c r="EC993" s="9"/>
      <c r="ED993" s="9"/>
      <c r="EE993" s="9"/>
      <c r="EF993" s="9"/>
      <c r="EG993" s="9"/>
      <c r="EH993" s="13"/>
      <c r="EI993" s="13"/>
      <c r="EJ993" s="13"/>
      <c r="EK993" s="13"/>
      <c r="EL993" s="13"/>
      <c r="EM993" s="13"/>
      <c r="EN993" s="13"/>
      <c r="EO993" s="13"/>
      <c r="EP993" s="13"/>
      <c r="EQ993" s="13"/>
      <c r="ER993" s="13"/>
      <c r="ES993" s="13"/>
      <c r="ET993" s="13"/>
      <c r="EU993" s="13"/>
      <c r="EV993" s="13"/>
      <c r="EW993" s="13"/>
      <c r="EX993" s="13"/>
      <c r="EY993" s="13"/>
      <c r="EZ993" s="13"/>
      <c r="FA993" s="13"/>
      <c r="FB993" s="13"/>
      <c r="FC993" s="13"/>
      <c r="FD993" s="13"/>
      <c r="FE993" s="13"/>
      <c r="FF993" s="13"/>
      <c r="FG993" s="13"/>
      <c r="FH993" s="13"/>
      <c r="FI993" s="13"/>
      <c r="FJ993" s="13"/>
      <c r="FK993" s="13"/>
      <c r="FL993" s="13"/>
      <c r="FM993" s="13"/>
      <c r="FN993" s="13"/>
      <c r="FO993" s="13"/>
      <c r="FP993" s="13"/>
      <c r="FQ993" s="13"/>
      <c r="FR993" s="13"/>
      <c r="FS993" s="13"/>
      <c r="FT993" s="13"/>
      <c r="FU993" s="13"/>
      <c r="FV993" s="13"/>
      <c r="FW993" s="13"/>
      <c r="FX993" s="13"/>
      <c r="FY993" s="13"/>
      <c r="FZ993" s="13"/>
      <c r="GA993" s="13"/>
    </row>
    <row r="994" spans="1:183" s="43" customFormat="1" x14ac:dyDescent="0.25">
      <c r="A994" s="2"/>
      <c r="B994" s="2"/>
      <c r="C994" s="9">
        <v>2</v>
      </c>
      <c r="D994" s="9">
        <v>19</v>
      </c>
      <c r="E994" s="9">
        <v>23</v>
      </c>
      <c r="F994" s="9">
        <v>51</v>
      </c>
      <c r="G994" s="9">
        <v>73</v>
      </c>
      <c r="H994" s="9">
        <v>90</v>
      </c>
      <c r="J994" s="9">
        <v>90</v>
      </c>
      <c r="L994" s="39">
        <v>44389</v>
      </c>
      <c r="N994"/>
      <c r="O994"/>
      <c r="P994"/>
      <c r="Q994"/>
      <c r="R994"/>
      <c r="S994"/>
      <c r="T994"/>
      <c r="U994"/>
      <c r="V994"/>
      <c r="W994" s="52"/>
      <c r="Y994"/>
      <c r="Z994"/>
      <c r="AA994"/>
      <c r="AB994"/>
      <c r="AC994"/>
      <c r="AD994"/>
      <c r="AE994"/>
      <c r="AF994"/>
      <c r="AG994"/>
      <c r="AH994" s="52"/>
      <c r="AI994" s="148"/>
      <c r="AJ994" s="19"/>
      <c r="AK994" s="19"/>
      <c r="AL994" s="19"/>
      <c r="AM994" s="19"/>
      <c r="AN994" s="42"/>
      <c r="AO994" s="54"/>
      <c r="AP994" s="19"/>
      <c r="AQ994" s="1"/>
      <c r="AR994" s="74"/>
      <c r="AS994" s="42"/>
      <c r="AT994" s="54"/>
      <c r="AU994" s="54"/>
      <c r="AV994" s="19"/>
      <c r="AW994" s="54"/>
      <c r="AX994" s="57"/>
      <c r="AY994" s="54"/>
      <c r="AZ994" s="54"/>
      <c r="BA994" s="54"/>
      <c r="BB994" s="54"/>
      <c r="BC994" s="57"/>
      <c r="BD994" s="19"/>
      <c r="BE994" s="19"/>
      <c r="BF994" s="19"/>
      <c r="BG994" s="54"/>
      <c r="BI994" s="54"/>
      <c r="BJ994" s="55"/>
      <c r="BK994" s="55"/>
      <c r="BL994" s="54"/>
      <c r="BM994" s="56"/>
      <c r="BN994" s="56"/>
      <c r="BO994" s="52"/>
      <c r="BP994" s="52"/>
      <c r="BQ994" s="52"/>
      <c r="BR994" s="52"/>
      <c r="BS994" s="52"/>
      <c r="BT994" s="52"/>
      <c r="BU994" s="52"/>
      <c r="BV994" s="52"/>
      <c r="BW994" s="52"/>
      <c r="BX994" s="52"/>
      <c r="BY994" s="52"/>
      <c r="BZ994" s="52"/>
      <c r="CA994" s="52"/>
      <c r="CB994" s="52"/>
      <c r="CC994" s="52"/>
      <c r="CD994" s="52"/>
      <c r="CE994" s="52"/>
      <c r="CF994" s="52"/>
      <c r="CG994" s="52"/>
      <c r="CH994" s="52"/>
      <c r="CI994" s="52"/>
      <c r="CJ994" s="52"/>
      <c r="CK994" s="52"/>
      <c r="CL994" s="52"/>
      <c r="CM994" s="52"/>
      <c r="CN994" s="52"/>
      <c r="CO994" s="52"/>
      <c r="CP994" s="52"/>
      <c r="CQ994" s="52"/>
      <c r="CR994" s="52"/>
      <c r="CS994" s="52"/>
      <c r="CT994" s="52"/>
      <c r="CU994" s="52"/>
      <c r="CV994" s="52"/>
      <c r="CW994" s="52"/>
      <c r="CX994" s="52"/>
      <c r="CY994" s="52"/>
      <c r="CZ994" s="52"/>
      <c r="DA994" s="52"/>
      <c r="DB994" s="52"/>
      <c r="DC994" s="52"/>
      <c r="DD994" s="52"/>
      <c r="DE994" s="52"/>
      <c r="DF994" s="52"/>
      <c r="DG994" s="52"/>
      <c r="DH994" s="52"/>
      <c r="DI994" s="52"/>
      <c r="DJ994" s="52"/>
      <c r="DK994" s="52"/>
      <c r="DL994" s="52"/>
      <c r="DM994" s="52"/>
      <c r="DN994" s="52"/>
      <c r="DO994" s="52"/>
      <c r="DP994" s="52"/>
      <c r="DQ994" s="52"/>
      <c r="DR994" s="52"/>
      <c r="DS994" s="52"/>
      <c r="DT994" s="52"/>
      <c r="DU994" s="52"/>
      <c r="DV994" s="52"/>
      <c r="DW994" s="52"/>
      <c r="DX994" s="52"/>
      <c r="DZ994"/>
      <c r="EA994" s="19"/>
      <c r="EB994" s="19"/>
      <c r="EC994" s="9"/>
      <c r="ED994" s="9"/>
      <c r="EE994" s="9"/>
      <c r="EF994" s="9"/>
      <c r="EG994" s="9"/>
      <c r="EH994" s="13"/>
      <c r="EI994" s="13"/>
      <c r="EJ994" s="13"/>
      <c r="EK994" s="13"/>
      <c r="EL994" s="13"/>
      <c r="EM994" s="13"/>
      <c r="EN994" s="13"/>
      <c r="EO994" s="13"/>
      <c r="EP994" s="13"/>
      <c r="EQ994" s="13"/>
      <c r="ER994" s="13"/>
      <c r="ES994" s="13"/>
      <c r="ET994" s="13"/>
      <c r="EU994" s="13"/>
      <c r="EV994" s="13"/>
      <c r="EW994" s="13"/>
      <c r="EX994" s="13"/>
      <c r="EY994" s="13"/>
      <c r="EZ994" s="13"/>
      <c r="FA994" s="13"/>
      <c r="FB994" s="13"/>
      <c r="FC994" s="13"/>
      <c r="FD994" s="13"/>
      <c r="FE994" s="13"/>
      <c r="FF994" s="13"/>
      <c r="FG994" s="13"/>
      <c r="FH994" s="13"/>
      <c r="FI994" s="13"/>
      <c r="FJ994" s="13"/>
      <c r="FK994" s="13"/>
      <c r="FL994" s="13"/>
      <c r="FM994" s="13"/>
      <c r="FN994" s="13"/>
      <c r="FO994" s="13"/>
      <c r="FP994" s="13"/>
      <c r="FQ994" s="13"/>
      <c r="FR994" s="13"/>
      <c r="FS994" s="13"/>
      <c r="FT994" s="13"/>
      <c r="FU994" s="13"/>
      <c r="FV994" s="13"/>
      <c r="FW994" s="13"/>
      <c r="FX994" s="13"/>
      <c r="FY994" s="13"/>
      <c r="FZ994" s="13"/>
      <c r="GA994" s="13"/>
    </row>
    <row r="995" spans="1:183" s="43" customFormat="1" x14ac:dyDescent="0.25">
      <c r="A995" s="2"/>
      <c r="B995" s="2"/>
      <c r="C995" s="9">
        <v>8</v>
      </c>
      <c r="D995" s="9">
        <v>46</v>
      </c>
      <c r="E995" s="9">
        <v>58</v>
      </c>
      <c r="F995" s="9">
        <v>66</v>
      </c>
      <c r="G995" s="9">
        <v>71</v>
      </c>
      <c r="H995" s="9">
        <v>73</v>
      </c>
      <c r="J995" s="9">
        <v>73</v>
      </c>
      <c r="L995" s="39">
        <v>44387</v>
      </c>
      <c r="N995"/>
      <c r="O995"/>
      <c r="P995"/>
      <c r="Q995"/>
      <c r="R995"/>
      <c r="S995"/>
      <c r="T995"/>
      <c r="U995"/>
      <c r="V995"/>
      <c r="W995" s="52"/>
      <c r="Y995"/>
      <c r="Z995"/>
      <c r="AA995"/>
      <c r="AB995"/>
      <c r="AC995"/>
      <c r="AD995"/>
      <c r="AE995"/>
      <c r="AF995"/>
      <c r="AG995"/>
      <c r="AH995" s="52"/>
      <c r="AI995" s="148"/>
      <c r="AJ995" s="19"/>
      <c r="AK995" s="19"/>
      <c r="AL995" s="19"/>
      <c r="AM995" s="19"/>
      <c r="AN995" s="42"/>
      <c r="AO995" s="54"/>
      <c r="AP995" s="19"/>
      <c r="AQ995" s="1"/>
      <c r="AR995" s="74"/>
      <c r="AS995" s="42"/>
      <c r="AT995" s="54"/>
      <c r="AU995" s="54"/>
      <c r="AV995" s="19"/>
      <c r="AW995" s="54"/>
      <c r="AX995" s="57"/>
      <c r="AY995" s="54"/>
      <c r="AZ995" s="54"/>
      <c r="BA995" s="54"/>
      <c r="BB995" s="54"/>
      <c r="BC995" s="57"/>
      <c r="BD995" s="19"/>
      <c r="BE995" s="19"/>
      <c r="BF995" s="19"/>
      <c r="BG995" s="54"/>
      <c r="BI995" s="54"/>
      <c r="BJ995" s="55"/>
      <c r="BK995" s="55"/>
      <c r="BL995" s="54"/>
      <c r="BM995" s="56"/>
      <c r="BN995" s="56"/>
      <c r="BO995" s="52"/>
      <c r="BP995" s="52"/>
      <c r="BQ995" s="52"/>
      <c r="BR995" s="52"/>
      <c r="BS995" s="52"/>
      <c r="BT995" s="52"/>
      <c r="BU995" s="52"/>
      <c r="BV995" s="52"/>
      <c r="BW995" s="52"/>
      <c r="BX995" s="52"/>
      <c r="BY995" s="52"/>
      <c r="BZ995" s="52"/>
      <c r="CA995" s="52"/>
      <c r="CB995" s="52"/>
      <c r="CC995" s="52"/>
      <c r="CD995" s="52"/>
      <c r="CE995" s="52"/>
      <c r="CF995" s="52"/>
      <c r="CG995" s="52"/>
      <c r="CH995" s="52"/>
      <c r="CI995" s="52"/>
      <c r="CJ995" s="52"/>
      <c r="CK995" s="52"/>
      <c r="CL995" s="52"/>
      <c r="CM995" s="52"/>
      <c r="CN995" s="52"/>
      <c r="CO995" s="52"/>
      <c r="CP995" s="52"/>
      <c r="CQ995" s="52"/>
      <c r="CR995" s="52"/>
      <c r="CS995" s="52"/>
      <c r="CT995" s="52"/>
      <c r="CU995" s="52"/>
      <c r="CV995" s="52"/>
      <c r="CW995" s="52"/>
      <c r="CX995" s="52"/>
      <c r="CY995" s="52"/>
      <c r="CZ995" s="52"/>
      <c r="DA995" s="52"/>
      <c r="DB995" s="52"/>
      <c r="DC995" s="52"/>
      <c r="DD995" s="52"/>
      <c r="DE995" s="52"/>
      <c r="DF995" s="52"/>
      <c r="DG995" s="52"/>
      <c r="DH995" s="52"/>
      <c r="DI995" s="52"/>
      <c r="DJ995" s="52"/>
      <c r="DK995" s="52"/>
      <c r="DL995" s="52"/>
      <c r="DM995" s="52"/>
      <c r="DN995" s="52"/>
      <c r="DO995" s="52"/>
      <c r="DP995" s="52"/>
      <c r="DQ995" s="52"/>
      <c r="DR995" s="52"/>
      <c r="DS995" s="52"/>
      <c r="DT995" s="52"/>
      <c r="DU995" s="52"/>
      <c r="DV995" s="52"/>
      <c r="DW995" s="52"/>
      <c r="DX995" s="52"/>
      <c r="DZ995"/>
      <c r="EA995" s="19"/>
      <c r="EB995" s="19"/>
      <c r="EC995" s="9"/>
      <c r="ED995" s="9"/>
      <c r="EE995" s="9"/>
      <c r="EF995" s="9"/>
      <c r="EG995" s="9"/>
      <c r="EH995" s="13"/>
      <c r="EI995" s="13"/>
      <c r="EJ995" s="13"/>
      <c r="EK995" s="13"/>
      <c r="EL995" s="13"/>
      <c r="EM995" s="13"/>
      <c r="EN995" s="13"/>
      <c r="EO995" s="13"/>
      <c r="EP995" s="13"/>
      <c r="EQ995" s="13"/>
      <c r="ER995" s="13"/>
      <c r="ES995" s="13"/>
      <c r="ET995" s="13"/>
      <c r="EU995" s="13"/>
      <c r="EV995" s="13"/>
      <c r="EW995" s="13"/>
      <c r="EX995" s="13"/>
      <c r="EY995" s="13"/>
      <c r="EZ995" s="13"/>
      <c r="FA995" s="13"/>
      <c r="FB995" s="13"/>
      <c r="FC995" s="13"/>
      <c r="FD995" s="13"/>
      <c r="FE995" s="13"/>
      <c r="FF995" s="13"/>
      <c r="FG995" s="13"/>
      <c r="FH995" s="13"/>
      <c r="FI995" s="13"/>
      <c r="FJ995" s="13"/>
      <c r="FK995" s="13"/>
      <c r="FL995" s="13"/>
      <c r="FM995" s="13"/>
      <c r="FN995" s="13"/>
      <c r="FO995" s="13"/>
      <c r="FP995" s="13"/>
      <c r="FQ995" s="13"/>
      <c r="FR995" s="13"/>
      <c r="FS995" s="13"/>
      <c r="FT995" s="13"/>
      <c r="FU995" s="13"/>
      <c r="FV995" s="13"/>
      <c r="FW995" s="13"/>
      <c r="FX995" s="13"/>
      <c r="FY995" s="13"/>
      <c r="FZ995" s="13"/>
      <c r="GA995" s="13"/>
    </row>
    <row r="996" spans="1:183" s="43" customFormat="1" x14ac:dyDescent="0.25">
      <c r="A996" s="2"/>
      <c r="B996" s="2"/>
      <c r="C996" s="9">
        <v>11</v>
      </c>
      <c r="D996" s="9">
        <v>23</v>
      </c>
      <c r="E996" s="9">
        <v>42</v>
      </c>
      <c r="F996" s="9">
        <v>47</v>
      </c>
      <c r="G996" s="9">
        <v>48</v>
      </c>
      <c r="H996" s="9">
        <v>59</v>
      </c>
      <c r="J996" s="9">
        <v>59</v>
      </c>
      <c r="L996" s="39">
        <v>44384</v>
      </c>
      <c r="N996"/>
      <c r="O996"/>
      <c r="P996"/>
      <c r="Q996"/>
      <c r="R996"/>
      <c r="S996"/>
      <c r="T996"/>
      <c r="U996"/>
      <c r="V996"/>
      <c r="W996" s="52"/>
      <c r="Y996"/>
      <c r="Z996"/>
      <c r="AA996"/>
      <c r="AB996"/>
      <c r="AC996"/>
      <c r="AD996"/>
      <c r="AE996"/>
      <c r="AF996"/>
      <c r="AG996"/>
      <c r="AH996" s="52"/>
      <c r="AI996" s="148"/>
      <c r="AJ996" s="19"/>
      <c r="AK996" s="19"/>
      <c r="AL996" s="19"/>
      <c r="AM996" s="19"/>
      <c r="AN996" s="42"/>
      <c r="AO996" s="54"/>
      <c r="AP996" s="19"/>
      <c r="AQ996" s="1"/>
      <c r="AR996" s="74"/>
      <c r="AS996" s="42"/>
      <c r="AT996" s="54"/>
      <c r="AU996" s="54"/>
      <c r="AV996" s="19"/>
      <c r="AW996" s="54"/>
      <c r="AX996" s="57"/>
      <c r="AY996" s="54"/>
      <c r="AZ996" s="54"/>
      <c r="BA996" s="54"/>
      <c r="BB996" s="54"/>
      <c r="BC996" s="57"/>
      <c r="BD996" s="19"/>
      <c r="BE996" s="19"/>
      <c r="BF996" s="19"/>
      <c r="BG996" s="54"/>
      <c r="BI996" s="54"/>
      <c r="BJ996" s="55"/>
      <c r="BK996" s="55"/>
      <c r="BL996" s="54"/>
      <c r="BM996" s="56"/>
      <c r="BN996" s="56"/>
      <c r="BO996" s="52"/>
      <c r="BP996" s="52"/>
      <c r="BQ996" s="52"/>
      <c r="BR996" s="52"/>
      <c r="BS996" s="52"/>
      <c r="BT996" s="52"/>
      <c r="BU996" s="52"/>
      <c r="BV996" s="52"/>
      <c r="BW996" s="52"/>
      <c r="BX996" s="52"/>
      <c r="BY996" s="52"/>
      <c r="BZ996" s="52"/>
      <c r="CA996" s="52"/>
      <c r="CB996" s="52"/>
      <c r="CC996" s="52"/>
      <c r="CD996" s="52"/>
      <c r="CE996" s="52"/>
      <c r="CF996" s="52"/>
      <c r="CG996" s="52"/>
      <c r="CH996" s="52"/>
      <c r="CI996" s="52"/>
      <c r="CJ996" s="52"/>
      <c r="CK996" s="52"/>
      <c r="CL996" s="52"/>
      <c r="CM996" s="52"/>
      <c r="CN996" s="52"/>
      <c r="CO996" s="52"/>
      <c r="CP996" s="52"/>
      <c r="CQ996" s="52"/>
      <c r="CR996" s="52"/>
      <c r="CS996" s="52"/>
      <c r="CT996" s="52"/>
      <c r="CU996" s="52"/>
      <c r="CV996" s="52"/>
      <c r="CW996" s="52"/>
      <c r="CX996" s="52"/>
      <c r="CY996" s="52"/>
      <c r="CZ996" s="52"/>
      <c r="DA996" s="52"/>
      <c r="DB996" s="52"/>
      <c r="DC996" s="52"/>
      <c r="DD996" s="52"/>
      <c r="DE996" s="52"/>
      <c r="DF996" s="52"/>
      <c r="DG996" s="52"/>
      <c r="DH996" s="52"/>
      <c r="DI996" s="52"/>
      <c r="DJ996" s="52"/>
      <c r="DK996" s="52"/>
      <c r="DL996" s="52"/>
      <c r="DM996" s="52"/>
      <c r="DN996" s="52"/>
      <c r="DO996" s="52"/>
      <c r="DP996" s="52"/>
      <c r="DQ996" s="52"/>
      <c r="DR996" s="52"/>
      <c r="DS996" s="52"/>
      <c r="DT996" s="52"/>
      <c r="DU996" s="52"/>
      <c r="DV996" s="52"/>
      <c r="DW996" s="52"/>
      <c r="DX996" s="52"/>
      <c r="DZ996"/>
      <c r="EA996" s="19"/>
      <c r="EB996" s="19"/>
      <c r="EC996" s="9"/>
      <c r="ED996" s="9"/>
      <c r="EE996" s="9"/>
      <c r="EF996" s="9"/>
      <c r="EG996" s="9"/>
      <c r="EH996" s="13"/>
      <c r="EI996" s="13"/>
      <c r="EJ996" s="13"/>
      <c r="EK996" s="13"/>
      <c r="EL996" s="13"/>
      <c r="EM996" s="13"/>
      <c r="EN996" s="13"/>
      <c r="EO996" s="13"/>
      <c r="EP996" s="13"/>
      <c r="EQ996" s="13"/>
      <c r="ER996" s="13"/>
      <c r="ES996" s="13"/>
      <c r="ET996" s="13"/>
      <c r="EU996" s="13"/>
      <c r="EV996" s="13"/>
      <c r="EW996" s="13"/>
      <c r="EX996" s="13"/>
      <c r="EY996" s="13"/>
      <c r="EZ996" s="13"/>
      <c r="FA996" s="13"/>
      <c r="FB996" s="13"/>
      <c r="FC996" s="13"/>
      <c r="FD996" s="13"/>
      <c r="FE996" s="13"/>
      <c r="FF996" s="13"/>
      <c r="FG996" s="13"/>
      <c r="FH996" s="13"/>
      <c r="FI996" s="13"/>
      <c r="FJ996" s="13"/>
      <c r="FK996" s="13"/>
      <c r="FL996" s="13"/>
      <c r="FM996" s="13"/>
      <c r="FN996" s="13"/>
      <c r="FO996" s="13"/>
      <c r="FP996" s="13"/>
      <c r="FQ996" s="13"/>
      <c r="FR996" s="13"/>
      <c r="FS996" s="13"/>
      <c r="FT996" s="13"/>
      <c r="FU996" s="13"/>
      <c r="FV996" s="13"/>
      <c r="FW996" s="13"/>
      <c r="FX996" s="13"/>
      <c r="FY996" s="13"/>
      <c r="FZ996" s="13"/>
      <c r="GA996" s="13"/>
    </row>
    <row r="997" spans="1:183" s="43" customFormat="1" x14ac:dyDescent="0.25">
      <c r="A997" s="2"/>
      <c r="B997" s="2"/>
      <c r="C997" s="9">
        <v>29</v>
      </c>
      <c r="D997" s="9">
        <v>60</v>
      </c>
      <c r="E997" s="9">
        <v>62</v>
      </c>
      <c r="F997" s="9">
        <v>63</v>
      </c>
      <c r="G997" s="9">
        <v>76</v>
      </c>
      <c r="H997" s="9">
        <v>81</v>
      </c>
      <c r="J997" s="9">
        <v>81</v>
      </c>
      <c r="L997" s="39">
        <v>44382</v>
      </c>
      <c r="N997"/>
      <c r="O997"/>
      <c r="P997"/>
      <c r="Q997"/>
      <c r="R997"/>
      <c r="S997"/>
      <c r="T997"/>
      <c r="U997"/>
      <c r="V997"/>
      <c r="W997" s="52"/>
      <c r="Y997"/>
      <c r="Z997"/>
      <c r="AA997"/>
      <c r="AB997"/>
      <c r="AC997"/>
      <c r="AD997"/>
      <c r="AE997"/>
      <c r="AF997"/>
      <c r="AG997"/>
      <c r="AH997" s="52"/>
      <c r="AI997" s="148"/>
      <c r="AJ997" s="19"/>
      <c r="AK997" s="19"/>
      <c r="AL997" s="19"/>
      <c r="AM997" s="19"/>
      <c r="AN997" s="42"/>
      <c r="AO997" s="54"/>
      <c r="AP997" s="19"/>
      <c r="AQ997" s="1"/>
      <c r="AR997" s="74"/>
      <c r="AS997" s="42"/>
      <c r="AT997" s="54"/>
      <c r="AU997" s="54"/>
      <c r="AV997" s="19"/>
      <c r="AW997" s="54"/>
      <c r="AX997" s="57"/>
      <c r="AY997" s="54"/>
      <c r="AZ997" s="54"/>
      <c r="BA997" s="54"/>
      <c r="BB997" s="54"/>
      <c r="BC997" s="57"/>
      <c r="BD997" s="19"/>
      <c r="BE997" s="19"/>
      <c r="BF997" s="19"/>
      <c r="BG997" s="54"/>
      <c r="BI997" s="54"/>
      <c r="BJ997" s="55"/>
      <c r="BK997" s="55"/>
      <c r="BL997" s="54"/>
      <c r="BM997" s="56"/>
      <c r="BN997" s="56"/>
      <c r="BO997" s="52"/>
      <c r="BP997" s="52"/>
      <c r="BQ997" s="52"/>
      <c r="BR997" s="52"/>
      <c r="BS997" s="52"/>
      <c r="BT997" s="52"/>
      <c r="BU997" s="52"/>
      <c r="BV997" s="52"/>
      <c r="BW997" s="52"/>
      <c r="BX997" s="52"/>
      <c r="BY997" s="52"/>
      <c r="BZ997" s="52"/>
      <c r="CA997" s="52"/>
      <c r="CB997" s="52"/>
      <c r="CC997" s="52"/>
      <c r="CD997" s="52"/>
      <c r="CE997" s="52"/>
      <c r="CF997" s="52"/>
      <c r="CG997" s="52"/>
      <c r="CH997" s="52"/>
      <c r="CI997" s="52"/>
      <c r="CJ997" s="52"/>
      <c r="CK997" s="52"/>
      <c r="CL997" s="52"/>
      <c r="CM997" s="52"/>
      <c r="CN997" s="52"/>
      <c r="CO997" s="52"/>
      <c r="CP997" s="52"/>
      <c r="CQ997" s="52"/>
      <c r="CR997" s="52"/>
      <c r="CS997" s="52"/>
      <c r="CT997" s="52"/>
      <c r="CU997" s="52"/>
      <c r="CV997" s="52"/>
      <c r="CW997" s="52"/>
      <c r="CX997" s="52"/>
      <c r="CY997" s="52"/>
      <c r="CZ997" s="52"/>
      <c r="DA997" s="52"/>
      <c r="DB997" s="52"/>
      <c r="DC997" s="52"/>
      <c r="DD997" s="52"/>
      <c r="DE997" s="52"/>
      <c r="DF997" s="52"/>
      <c r="DG997" s="52"/>
      <c r="DH997" s="52"/>
      <c r="DI997" s="52"/>
      <c r="DJ997" s="52"/>
      <c r="DK997" s="52"/>
      <c r="DL997" s="52"/>
      <c r="DM997" s="52"/>
      <c r="DN997" s="52"/>
      <c r="DO997" s="52"/>
      <c r="DP997" s="52"/>
      <c r="DQ997" s="52"/>
      <c r="DR997" s="52"/>
      <c r="DS997" s="52"/>
      <c r="DT997" s="52"/>
      <c r="DU997" s="52"/>
      <c r="DV997" s="52"/>
      <c r="DW997" s="52"/>
      <c r="DX997" s="52"/>
      <c r="DZ997"/>
      <c r="EA997" s="19"/>
      <c r="EB997" s="19"/>
      <c r="EC997" s="9"/>
      <c r="ED997" s="9"/>
      <c r="EE997" s="9"/>
      <c r="EF997" s="9"/>
      <c r="EG997" s="9"/>
      <c r="EH997" s="13"/>
      <c r="EI997" s="13"/>
      <c r="EJ997" s="13"/>
      <c r="EK997" s="13"/>
      <c r="EL997" s="13"/>
      <c r="EM997" s="13"/>
      <c r="EN997" s="13"/>
      <c r="EO997" s="13"/>
      <c r="EP997" s="13"/>
      <c r="EQ997" s="13"/>
      <c r="ER997" s="13"/>
      <c r="ES997" s="13"/>
      <c r="ET997" s="13"/>
      <c r="EU997" s="13"/>
      <c r="EV997" s="13"/>
      <c r="EW997" s="13"/>
      <c r="EX997" s="13"/>
      <c r="EY997" s="13"/>
      <c r="EZ997" s="13"/>
      <c r="FA997" s="13"/>
      <c r="FB997" s="13"/>
      <c r="FC997" s="13"/>
      <c r="FD997" s="13"/>
      <c r="FE997" s="13"/>
      <c r="FF997" s="13"/>
      <c r="FG997" s="13"/>
      <c r="FH997" s="13"/>
      <c r="FI997" s="13"/>
      <c r="FJ997" s="13"/>
      <c r="FK997" s="13"/>
      <c r="FL997" s="13"/>
      <c r="FM997" s="13"/>
      <c r="FN997" s="13"/>
      <c r="FO997" s="13"/>
      <c r="FP997" s="13"/>
      <c r="FQ997" s="13"/>
      <c r="FR997" s="13"/>
      <c r="FS997" s="13"/>
      <c r="FT997" s="13"/>
      <c r="FU997" s="13"/>
      <c r="FV997" s="13"/>
      <c r="FW997" s="13"/>
      <c r="FX997" s="13"/>
      <c r="FY997" s="13"/>
      <c r="FZ997" s="13"/>
      <c r="GA997" s="13"/>
    </row>
    <row r="998" spans="1:183" s="43" customFormat="1" x14ac:dyDescent="0.25">
      <c r="A998" s="2"/>
      <c r="B998" s="2"/>
      <c r="C998" s="9">
        <v>14</v>
      </c>
      <c r="D998" s="9">
        <v>52</v>
      </c>
      <c r="E998" s="9">
        <v>56</v>
      </c>
      <c r="F998" s="9">
        <v>76</v>
      </c>
      <c r="G998" s="9">
        <v>84</v>
      </c>
      <c r="H998" s="9">
        <v>85</v>
      </c>
      <c r="J998" s="9">
        <v>85</v>
      </c>
      <c r="L998" s="39">
        <v>44380</v>
      </c>
      <c r="N998"/>
      <c r="O998"/>
      <c r="P998"/>
      <c r="Q998"/>
      <c r="R998"/>
      <c r="S998"/>
      <c r="T998"/>
      <c r="U998"/>
      <c r="V998"/>
      <c r="W998" s="52"/>
      <c r="Y998"/>
      <c r="Z998"/>
      <c r="AA998"/>
      <c r="AB998"/>
      <c r="AC998"/>
      <c r="AD998"/>
      <c r="AE998"/>
      <c r="AF998"/>
      <c r="AG998"/>
      <c r="AH998" s="52"/>
      <c r="AI998" s="148"/>
      <c r="AJ998" s="19"/>
      <c r="AK998" s="19"/>
      <c r="AL998" s="19"/>
      <c r="AM998" s="19"/>
      <c r="AN998" s="42"/>
      <c r="AO998" s="54"/>
      <c r="AP998" s="19"/>
      <c r="AQ998" s="1"/>
      <c r="AR998" s="74"/>
      <c r="AS998" s="42"/>
      <c r="AT998" s="54"/>
      <c r="AU998" s="54"/>
      <c r="AV998" s="19"/>
      <c r="AW998" s="54"/>
      <c r="AX998" s="57"/>
      <c r="AY998" s="54"/>
      <c r="AZ998" s="54"/>
      <c r="BA998" s="54"/>
      <c r="BB998" s="54"/>
      <c r="BC998" s="57"/>
      <c r="BD998" s="19"/>
      <c r="BE998" s="19"/>
      <c r="BF998" s="19"/>
      <c r="BG998" s="54"/>
      <c r="BI998" s="54"/>
      <c r="BJ998" s="55"/>
      <c r="BK998" s="55"/>
      <c r="BL998" s="54"/>
      <c r="BM998" s="56"/>
      <c r="BN998" s="56"/>
      <c r="BO998" s="52"/>
      <c r="BP998" s="52"/>
      <c r="BQ998" s="52"/>
      <c r="BR998" s="52"/>
      <c r="BS998" s="52"/>
      <c r="BT998" s="52"/>
      <c r="BU998" s="52"/>
      <c r="BV998" s="52"/>
      <c r="BW998" s="52"/>
      <c r="BX998" s="52"/>
      <c r="BY998" s="52"/>
      <c r="BZ998" s="52"/>
      <c r="CA998" s="52"/>
      <c r="CB998" s="52"/>
      <c r="CC998" s="52"/>
      <c r="CD998" s="52"/>
      <c r="CE998" s="52"/>
      <c r="CF998" s="52"/>
      <c r="CG998" s="52"/>
      <c r="CH998" s="52"/>
      <c r="CI998" s="52"/>
      <c r="CJ998" s="52"/>
      <c r="CK998" s="52"/>
      <c r="CL998" s="52"/>
      <c r="CM998" s="52"/>
      <c r="CN998" s="52"/>
      <c r="CO998" s="52"/>
      <c r="CP998" s="52"/>
      <c r="CQ998" s="52"/>
      <c r="CR998" s="52"/>
      <c r="CS998" s="52"/>
      <c r="CT998" s="52"/>
      <c r="CU998" s="52"/>
      <c r="CV998" s="52"/>
      <c r="CW998" s="52"/>
      <c r="CX998" s="52"/>
      <c r="CY998" s="52"/>
      <c r="CZ998" s="52"/>
      <c r="DA998" s="52"/>
      <c r="DB998" s="52"/>
      <c r="DC998" s="52"/>
      <c r="DD998" s="52"/>
      <c r="DE998" s="52"/>
      <c r="DF998" s="52"/>
      <c r="DG998" s="52"/>
      <c r="DH998" s="52"/>
      <c r="DI998" s="52"/>
      <c r="DJ998" s="52"/>
      <c r="DK998" s="52"/>
      <c r="DL998" s="52"/>
      <c r="DM998" s="52"/>
      <c r="DN998" s="52"/>
      <c r="DO998" s="52"/>
      <c r="DP998" s="52"/>
      <c r="DQ998" s="52"/>
      <c r="DR998" s="52"/>
      <c r="DS998" s="52"/>
      <c r="DT998" s="52"/>
      <c r="DU998" s="52"/>
      <c r="DV998" s="52"/>
      <c r="DW998" s="52"/>
      <c r="DX998" s="52"/>
      <c r="DZ998"/>
      <c r="EA998" s="19"/>
      <c r="EB998" s="19"/>
      <c r="EC998" s="9"/>
      <c r="ED998" s="9"/>
      <c r="EE998" s="9"/>
      <c r="EF998" s="9"/>
      <c r="EG998" s="9"/>
      <c r="EH998" s="13"/>
      <c r="EI998" s="13"/>
      <c r="EJ998" s="13"/>
      <c r="EK998" s="13"/>
      <c r="EL998" s="13"/>
      <c r="EM998" s="13"/>
      <c r="EN998" s="13"/>
      <c r="EO998" s="13"/>
      <c r="EP998" s="13"/>
      <c r="EQ998" s="13"/>
      <c r="ER998" s="13"/>
      <c r="ES998" s="13"/>
      <c r="ET998" s="13"/>
      <c r="EU998" s="13"/>
      <c r="EV998" s="13"/>
      <c r="EW998" s="13"/>
      <c r="EX998" s="13"/>
      <c r="EY998" s="13"/>
      <c r="EZ998" s="13"/>
      <c r="FA998" s="13"/>
      <c r="FB998" s="13"/>
      <c r="FC998" s="13"/>
      <c r="FD998" s="13"/>
      <c r="FE998" s="13"/>
      <c r="FF998" s="13"/>
      <c r="FG998" s="13"/>
      <c r="FH998" s="13"/>
      <c r="FI998" s="13"/>
      <c r="FJ998" s="13"/>
      <c r="FK998" s="13"/>
      <c r="FL998" s="13"/>
      <c r="FM998" s="13"/>
      <c r="FN998" s="13"/>
      <c r="FO998" s="13"/>
      <c r="FP998" s="13"/>
      <c r="FQ998" s="13"/>
      <c r="FR998" s="13"/>
      <c r="FS998" s="13"/>
      <c r="FT998" s="13"/>
      <c r="FU998" s="13"/>
      <c r="FV998" s="13"/>
      <c r="FW998" s="13"/>
      <c r="FX998" s="13"/>
      <c r="FY998" s="13"/>
      <c r="FZ998" s="13"/>
      <c r="GA998" s="13"/>
    </row>
    <row r="999" spans="1:183" s="43" customFormat="1" x14ac:dyDescent="0.25">
      <c r="A999" s="2"/>
      <c r="B999" s="2"/>
      <c r="C999" s="9">
        <v>40</v>
      </c>
      <c r="D999" s="9">
        <v>53</v>
      </c>
      <c r="E999" s="9">
        <v>55</v>
      </c>
      <c r="F999" s="9">
        <v>67</v>
      </c>
      <c r="G999" s="9">
        <v>78</v>
      </c>
      <c r="H999" s="9">
        <v>87</v>
      </c>
      <c r="J999" s="9">
        <v>87</v>
      </c>
      <c r="L999" s="39">
        <v>44377</v>
      </c>
      <c r="N999"/>
      <c r="O999"/>
      <c r="P999"/>
      <c r="Q999"/>
      <c r="R999"/>
      <c r="S999"/>
      <c r="T999"/>
      <c r="U999"/>
      <c r="V999"/>
      <c r="W999" s="52"/>
      <c r="Y999"/>
      <c r="Z999"/>
      <c r="AA999"/>
      <c r="AB999"/>
      <c r="AC999"/>
      <c r="AD999"/>
      <c r="AE999"/>
      <c r="AF999"/>
      <c r="AG999"/>
      <c r="AH999" s="52"/>
      <c r="AI999" s="148"/>
      <c r="AJ999" s="19"/>
      <c r="AK999" s="19"/>
      <c r="AL999" s="19"/>
      <c r="AM999" s="19"/>
      <c r="AN999" s="42"/>
      <c r="AO999" s="54"/>
      <c r="AP999" s="19"/>
      <c r="AQ999" s="1"/>
      <c r="AR999" s="74"/>
      <c r="AS999" s="42"/>
      <c r="AT999" s="54"/>
      <c r="AU999" s="54"/>
      <c r="AV999" s="19"/>
      <c r="AW999" s="54"/>
      <c r="AX999" s="57"/>
      <c r="AY999" s="54"/>
      <c r="AZ999" s="54"/>
      <c r="BA999" s="54"/>
      <c r="BB999" s="54"/>
      <c r="BC999" s="57"/>
      <c r="BD999" s="19"/>
      <c r="BE999" s="19"/>
      <c r="BF999" s="19"/>
      <c r="BG999" s="54"/>
      <c r="BI999" s="54"/>
      <c r="BJ999" s="55"/>
      <c r="BK999" s="55"/>
      <c r="BL999" s="54"/>
      <c r="BM999" s="56"/>
      <c r="BN999" s="56"/>
      <c r="BO999" s="52"/>
      <c r="BP999" s="52"/>
      <c r="BQ999" s="52"/>
      <c r="BR999" s="52"/>
      <c r="BS999" s="52"/>
      <c r="BT999" s="52"/>
      <c r="BU999" s="52"/>
      <c r="BV999" s="52"/>
      <c r="BW999" s="52"/>
      <c r="BX999" s="52"/>
      <c r="BY999" s="52"/>
      <c r="BZ999" s="52"/>
      <c r="CA999" s="52"/>
      <c r="CB999" s="52"/>
      <c r="CC999" s="52"/>
      <c r="CD999" s="52"/>
      <c r="CE999" s="52"/>
      <c r="CF999" s="52"/>
      <c r="CG999" s="52"/>
      <c r="CH999" s="52"/>
      <c r="CI999" s="52"/>
      <c r="CJ999" s="52"/>
      <c r="CK999" s="52"/>
      <c r="CL999" s="52"/>
      <c r="CM999" s="52"/>
      <c r="CN999" s="52"/>
      <c r="CO999" s="52"/>
      <c r="CP999" s="52"/>
      <c r="CQ999" s="52"/>
      <c r="CR999" s="52"/>
      <c r="CS999" s="52"/>
      <c r="CT999" s="52"/>
      <c r="CU999" s="52"/>
      <c r="CV999" s="52"/>
      <c r="CW999" s="52"/>
      <c r="CX999" s="52"/>
      <c r="CY999" s="52"/>
      <c r="CZ999" s="52"/>
      <c r="DA999" s="52"/>
      <c r="DB999" s="52"/>
      <c r="DC999" s="52"/>
      <c r="DD999" s="52"/>
      <c r="DE999" s="52"/>
      <c r="DF999" s="52"/>
      <c r="DG999" s="52"/>
      <c r="DH999" s="52"/>
      <c r="DI999" s="52"/>
      <c r="DJ999" s="52"/>
      <c r="DK999" s="52"/>
      <c r="DL999" s="52"/>
      <c r="DM999" s="52"/>
      <c r="DN999" s="52"/>
      <c r="DO999" s="52"/>
      <c r="DP999" s="52"/>
      <c r="DQ999" s="52"/>
      <c r="DR999" s="52"/>
      <c r="DS999" s="52"/>
      <c r="DT999" s="52"/>
      <c r="DU999" s="52"/>
      <c r="DV999" s="52"/>
      <c r="DW999" s="52"/>
      <c r="DX999" s="52"/>
      <c r="DZ999"/>
      <c r="EA999" s="19"/>
      <c r="EB999" s="19"/>
      <c r="EC999" s="9"/>
      <c r="ED999" s="9"/>
      <c r="EE999" s="9"/>
      <c r="EF999" s="9"/>
      <c r="EG999" s="9"/>
      <c r="EH999" s="13"/>
      <c r="EI999" s="13"/>
      <c r="EJ999" s="13"/>
      <c r="EK999" s="13"/>
      <c r="EL999" s="13"/>
      <c r="EM999" s="13"/>
      <c r="EN999" s="13"/>
      <c r="EO999" s="13"/>
      <c r="EP999" s="13"/>
      <c r="EQ999" s="13"/>
      <c r="ER999" s="13"/>
      <c r="ES999" s="13"/>
      <c r="ET999" s="13"/>
      <c r="EU999" s="13"/>
      <c r="EV999" s="13"/>
      <c r="EW999" s="13"/>
      <c r="EX999" s="13"/>
      <c r="EY999" s="13"/>
      <c r="EZ999" s="13"/>
      <c r="FA999" s="13"/>
      <c r="FB999" s="13"/>
      <c r="FC999" s="13"/>
      <c r="FD999" s="13"/>
      <c r="FE999" s="13"/>
      <c r="FF999" s="13"/>
      <c r="FG999" s="13"/>
      <c r="FH999" s="13"/>
      <c r="FI999" s="13"/>
      <c r="FJ999" s="13"/>
      <c r="FK999" s="13"/>
      <c r="FL999" s="13"/>
      <c r="FM999" s="13"/>
      <c r="FN999" s="13"/>
      <c r="FO999" s="13"/>
      <c r="FP999" s="13"/>
      <c r="FQ999" s="13"/>
      <c r="FR999" s="13"/>
      <c r="FS999" s="13"/>
      <c r="FT999" s="13"/>
      <c r="FU999" s="13"/>
      <c r="FV999" s="13"/>
      <c r="FW999" s="13"/>
      <c r="FX999" s="13"/>
      <c r="FY999" s="13"/>
      <c r="FZ999" s="13"/>
      <c r="GA999" s="13"/>
    </row>
    <row r="1000" spans="1:183" s="43" customFormat="1" x14ac:dyDescent="0.25">
      <c r="A1000" s="2"/>
      <c r="B1000" s="2"/>
      <c r="C1000" s="9">
        <v>7</v>
      </c>
      <c r="D1000" s="9">
        <v>44</v>
      </c>
      <c r="E1000" s="9">
        <v>45</v>
      </c>
      <c r="F1000" s="9">
        <v>57</v>
      </c>
      <c r="G1000" s="9">
        <v>62</v>
      </c>
      <c r="H1000" s="9">
        <v>66</v>
      </c>
      <c r="J1000" s="9">
        <v>66</v>
      </c>
      <c r="L1000" s="39">
        <v>44375</v>
      </c>
      <c r="N1000"/>
      <c r="O1000"/>
      <c r="P1000"/>
      <c r="Q1000"/>
      <c r="R1000"/>
      <c r="S1000"/>
      <c r="T1000"/>
      <c r="U1000"/>
      <c r="V1000"/>
      <c r="W1000" s="52"/>
      <c r="Y1000"/>
      <c r="Z1000"/>
      <c r="AA1000"/>
      <c r="AB1000"/>
      <c r="AC1000"/>
      <c r="AD1000"/>
      <c r="AE1000"/>
      <c r="AF1000"/>
      <c r="AG1000"/>
      <c r="AH1000" s="52"/>
      <c r="AI1000" s="148"/>
      <c r="AJ1000" s="19"/>
      <c r="AK1000" s="19"/>
      <c r="AL1000" s="19"/>
      <c r="AM1000" s="19"/>
      <c r="AN1000" s="42"/>
      <c r="AO1000" s="54"/>
      <c r="AP1000" s="19"/>
      <c r="AQ1000" s="1"/>
      <c r="AR1000" s="74"/>
      <c r="AS1000" s="42"/>
      <c r="AT1000" s="54"/>
      <c r="AU1000" s="54"/>
      <c r="AV1000" s="19"/>
      <c r="AW1000" s="54"/>
      <c r="AX1000" s="57"/>
      <c r="AY1000" s="54"/>
      <c r="AZ1000" s="54"/>
      <c r="BA1000" s="54"/>
      <c r="BB1000" s="54"/>
      <c r="BC1000" s="57"/>
      <c r="BD1000" s="19"/>
      <c r="BE1000" s="19"/>
      <c r="BF1000" s="19"/>
      <c r="BG1000" s="54"/>
      <c r="BI1000" s="54"/>
      <c r="BJ1000" s="55"/>
      <c r="BK1000" s="55"/>
      <c r="BL1000" s="54"/>
      <c r="BM1000" s="56"/>
      <c r="BN1000" s="56"/>
      <c r="BO1000" s="52"/>
      <c r="BP1000" s="52"/>
      <c r="BQ1000" s="52"/>
      <c r="BR1000" s="52"/>
      <c r="BS1000" s="52"/>
      <c r="BT1000" s="52"/>
      <c r="BU1000" s="52"/>
      <c r="BV1000" s="52"/>
      <c r="BW1000" s="52"/>
      <c r="BX1000" s="52"/>
      <c r="BY1000" s="52"/>
      <c r="BZ1000" s="52"/>
      <c r="CA1000" s="52"/>
      <c r="CB1000" s="52"/>
      <c r="CC1000" s="52"/>
      <c r="CD1000" s="52"/>
      <c r="CE1000" s="52"/>
      <c r="CF1000" s="52"/>
      <c r="CG1000" s="52"/>
      <c r="CH1000" s="52"/>
      <c r="CI1000" s="52"/>
      <c r="CJ1000" s="52"/>
      <c r="CK1000" s="52"/>
      <c r="CL1000" s="52"/>
      <c r="CM1000" s="52"/>
      <c r="CN1000" s="52"/>
      <c r="CO1000" s="52"/>
      <c r="CP1000" s="52"/>
      <c r="CQ1000" s="52"/>
      <c r="CR1000" s="52"/>
      <c r="CS1000" s="52"/>
      <c r="CT1000" s="52"/>
      <c r="CU1000" s="52"/>
      <c r="CV1000" s="52"/>
      <c r="CW1000" s="52"/>
      <c r="CX1000" s="52"/>
      <c r="CY1000" s="52"/>
      <c r="CZ1000" s="52"/>
      <c r="DA1000" s="52"/>
      <c r="DB1000" s="52"/>
      <c r="DC1000" s="52"/>
      <c r="DD1000" s="52"/>
      <c r="DE1000" s="52"/>
      <c r="DF1000" s="52"/>
      <c r="DG1000" s="52"/>
      <c r="DH1000" s="52"/>
      <c r="DI1000" s="52"/>
      <c r="DJ1000" s="52"/>
      <c r="DK1000" s="52"/>
      <c r="DL1000" s="52"/>
      <c r="DM1000" s="52"/>
      <c r="DN1000" s="52"/>
      <c r="DO1000" s="52"/>
      <c r="DP1000" s="52"/>
      <c r="DQ1000" s="52"/>
      <c r="DR1000" s="52"/>
      <c r="DS1000" s="52"/>
      <c r="DT1000" s="52"/>
      <c r="DU1000" s="52"/>
      <c r="DV1000" s="52"/>
      <c r="DW1000" s="52"/>
      <c r="DX1000" s="52"/>
      <c r="DZ1000"/>
      <c r="EA1000" s="19"/>
      <c r="EB1000" s="19"/>
      <c r="EC1000" s="9"/>
      <c r="ED1000" s="9"/>
      <c r="EE1000" s="9"/>
      <c r="EF1000" s="9"/>
      <c r="EG1000" s="9"/>
      <c r="EH1000" s="13"/>
      <c r="EI1000" s="13"/>
      <c r="EJ1000" s="13"/>
      <c r="EK1000" s="13"/>
      <c r="EL1000" s="13"/>
      <c r="EM1000" s="13"/>
      <c r="EN1000" s="13"/>
      <c r="EO1000" s="13"/>
      <c r="EP1000" s="13"/>
      <c r="EQ1000" s="13"/>
      <c r="ER1000" s="13"/>
      <c r="ES1000" s="13"/>
      <c r="ET1000" s="13"/>
      <c r="EU1000" s="13"/>
      <c r="EV1000" s="13"/>
      <c r="EW1000" s="13"/>
      <c r="EX1000" s="13"/>
      <c r="EY1000" s="13"/>
      <c r="EZ1000" s="13"/>
      <c r="FA1000" s="13"/>
      <c r="FB1000" s="13"/>
      <c r="FC1000" s="13"/>
      <c r="FD1000" s="13"/>
      <c r="FE1000" s="13"/>
      <c r="FF1000" s="13"/>
      <c r="FG1000" s="13"/>
      <c r="FH1000" s="13"/>
      <c r="FI1000" s="13"/>
      <c r="FJ1000" s="13"/>
      <c r="FK1000" s="13"/>
      <c r="FL1000" s="13"/>
      <c r="FM1000" s="13"/>
      <c r="FN1000" s="13"/>
      <c r="FO1000" s="13"/>
      <c r="FP1000" s="13"/>
      <c r="FQ1000" s="13"/>
      <c r="FR1000" s="13"/>
      <c r="FS1000" s="13"/>
      <c r="FT1000" s="13"/>
      <c r="FU1000" s="13"/>
      <c r="FV1000" s="13"/>
      <c r="FW1000" s="13"/>
      <c r="FX1000" s="13"/>
      <c r="FY1000" s="13"/>
      <c r="FZ1000" s="13"/>
      <c r="GA1000" s="13"/>
    </row>
    <row r="1001" spans="1:183" s="43" customFormat="1" x14ac:dyDescent="0.25">
      <c r="A1001" s="2"/>
      <c r="B1001" s="2"/>
      <c r="C1001" s="9">
        <v>7</v>
      </c>
      <c r="D1001" s="9">
        <v>22</v>
      </c>
      <c r="E1001" s="9">
        <v>26</v>
      </c>
      <c r="F1001" s="9">
        <v>31</v>
      </c>
      <c r="G1001" s="9">
        <v>82</v>
      </c>
      <c r="H1001" s="9">
        <v>84</v>
      </c>
      <c r="J1001" s="9">
        <v>84</v>
      </c>
      <c r="L1001" s="39">
        <v>44373</v>
      </c>
      <c r="N1001"/>
      <c r="O1001"/>
      <c r="P1001"/>
      <c r="Q1001"/>
      <c r="R1001"/>
      <c r="S1001"/>
      <c r="T1001"/>
      <c r="U1001"/>
      <c r="V1001"/>
      <c r="W1001" s="52"/>
      <c r="Y1001"/>
      <c r="Z1001"/>
      <c r="AA1001"/>
      <c r="AB1001"/>
      <c r="AC1001"/>
      <c r="AD1001"/>
      <c r="AE1001"/>
      <c r="AF1001"/>
      <c r="AG1001"/>
      <c r="AH1001" s="52"/>
      <c r="AI1001" s="148"/>
      <c r="AJ1001" s="19"/>
      <c r="AK1001" s="19"/>
      <c r="AL1001" s="19"/>
      <c r="AM1001" s="19"/>
      <c r="AN1001" s="42"/>
      <c r="AO1001" s="54"/>
      <c r="AP1001" s="19"/>
      <c r="AQ1001" s="1"/>
      <c r="AR1001" s="74"/>
      <c r="AS1001" s="42"/>
      <c r="AT1001" s="54"/>
      <c r="AU1001" s="54"/>
      <c r="AV1001" s="19"/>
      <c r="AW1001" s="54"/>
      <c r="AX1001" s="57"/>
      <c r="AY1001" s="54"/>
      <c r="AZ1001" s="54"/>
      <c r="BA1001" s="54"/>
      <c r="BB1001" s="54"/>
      <c r="BC1001" s="57"/>
      <c r="BD1001" s="19"/>
      <c r="BE1001" s="19"/>
      <c r="BF1001" s="19"/>
      <c r="BG1001" s="54"/>
      <c r="BI1001" s="54"/>
      <c r="BJ1001" s="55"/>
      <c r="BK1001" s="55"/>
      <c r="BL1001" s="54"/>
      <c r="BM1001" s="56"/>
      <c r="BN1001" s="56"/>
      <c r="BO1001" s="52"/>
      <c r="BP1001" s="52"/>
      <c r="BQ1001" s="52"/>
      <c r="BR1001" s="52"/>
      <c r="BS1001" s="52"/>
      <c r="BT1001" s="52"/>
      <c r="BU1001" s="52"/>
      <c r="BV1001" s="52"/>
      <c r="BW1001" s="52"/>
      <c r="BX1001" s="52"/>
      <c r="BY1001" s="52"/>
      <c r="BZ1001" s="52"/>
      <c r="CA1001" s="52"/>
      <c r="CB1001" s="52"/>
      <c r="CC1001" s="52"/>
      <c r="CD1001" s="52"/>
      <c r="CE1001" s="52"/>
      <c r="CF1001" s="52"/>
      <c r="CG1001" s="52"/>
      <c r="CH1001" s="52"/>
      <c r="CI1001" s="52"/>
      <c r="CJ1001" s="52"/>
      <c r="CK1001" s="52"/>
      <c r="CL1001" s="52"/>
      <c r="CM1001" s="52"/>
      <c r="CN1001" s="52"/>
      <c r="CO1001" s="52"/>
      <c r="CP1001" s="52"/>
      <c r="CQ1001" s="52"/>
      <c r="CR1001" s="52"/>
      <c r="CS1001" s="52"/>
      <c r="CT1001" s="52"/>
      <c r="CU1001" s="52"/>
      <c r="CV1001" s="52"/>
      <c r="CW1001" s="52"/>
      <c r="CX1001" s="52"/>
      <c r="CY1001" s="52"/>
      <c r="CZ1001" s="52"/>
      <c r="DA1001" s="52"/>
      <c r="DB1001" s="52"/>
      <c r="DC1001" s="52"/>
      <c r="DD1001" s="52"/>
      <c r="DE1001" s="52"/>
      <c r="DF1001" s="52"/>
      <c r="DG1001" s="52"/>
      <c r="DH1001" s="52"/>
      <c r="DI1001" s="52"/>
      <c r="DJ1001" s="52"/>
      <c r="DK1001" s="52"/>
      <c r="DL1001" s="52"/>
      <c r="DM1001" s="52"/>
      <c r="DN1001" s="52"/>
      <c r="DO1001" s="52"/>
      <c r="DP1001" s="52"/>
      <c r="DQ1001" s="52"/>
      <c r="DR1001" s="52"/>
      <c r="DS1001" s="52"/>
      <c r="DT1001" s="52"/>
      <c r="DU1001" s="52"/>
      <c r="DV1001" s="52"/>
      <c r="DW1001" s="52"/>
      <c r="DX1001" s="52"/>
      <c r="DZ1001"/>
      <c r="EA1001" s="19"/>
      <c r="EB1001" s="19"/>
      <c r="EC1001" s="9"/>
      <c r="ED1001" s="9"/>
      <c r="EE1001" s="9"/>
      <c r="EF1001" s="9"/>
      <c r="EG1001" s="9"/>
      <c r="EH1001" s="13"/>
      <c r="EI1001" s="13"/>
      <c r="EJ1001" s="13"/>
      <c r="EK1001" s="13"/>
      <c r="EL1001" s="13"/>
      <c r="EM1001" s="13"/>
      <c r="EN1001" s="13"/>
      <c r="EO1001" s="13"/>
      <c r="EP1001" s="13"/>
      <c r="EQ1001" s="13"/>
      <c r="ER1001" s="13"/>
      <c r="ES1001" s="13"/>
      <c r="ET1001" s="13"/>
      <c r="EU1001" s="13"/>
      <c r="EV1001" s="13"/>
      <c r="EW1001" s="13"/>
      <c r="EX1001" s="13"/>
      <c r="EY1001" s="13"/>
      <c r="EZ1001" s="13"/>
      <c r="FA1001" s="13"/>
      <c r="FB1001" s="13"/>
      <c r="FC1001" s="13"/>
      <c r="FD1001" s="13"/>
      <c r="FE1001" s="13"/>
      <c r="FF1001" s="13"/>
      <c r="FG1001" s="13"/>
      <c r="FH1001" s="13"/>
      <c r="FI1001" s="13"/>
      <c r="FJ1001" s="13"/>
      <c r="FK1001" s="13"/>
      <c r="FL1001" s="13"/>
      <c r="FM1001" s="13"/>
      <c r="FN1001" s="13"/>
      <c r="FO1001" s="13"/>
      <c r="FP1001" s="13"/>
      <c r="FQ1001" s="13"/>
      <c r="FR1001" s="13"/>
      <c r="FS1001" s="13"/>
      <c r="FT1001" s="13"/>
      <c r="FU1001" s="13"/>
      <c r="FV1001" s="13"/>
      <c r="FW1001" s="13"/>
      <c r="FX1001" s="13"/>
      <c r="FY1001" s="13"/>
      <c r="FZ1001" s="13"/>
      <c r="GA1001" s="13"/>
    </row>
    <row r="1002" spans="1:183" s="43" customFormat="1" x14ac:dyDescent="0.25">
      <c r="A1002" s="2"/>
      <c r="B1002" s="2"/>
      <c r="C1002" s="9">
        <v>28</v>
      </c>
      <c r="D1002" s="9">
        <v>48</v>
      </c>
      <c r="E1002" s="9">
        <v>59</v>
      </c>
      <c r="F1002" s="9">
        <v>61</v>
      </c>
      <c r="G1002" s="9">
        <v>65</v>
      </c>
      <c r="H1002" s="9">
        <v>67</v>
      </c>
      <c r="J1002" s="9">
        <v>67</v>
      </c>
      <c r="L1002" s="39">
        <v>44370</v>
      </c>
      <c r="N1002"/>
      <c r="O1002"/>
      <c r="P1002"/>
      <c r="Q1002"/>
      <c r="R1002"/>
      <c r="S1002"/>
      <c r="T1002"/>
      <c r="U1002"/>
      <c r="V1002"/>
      <c r="W1002" s="52"/>
      <c r="Y1002"/>
      <c r="Z1002"/>
      <c r="AA1002"/>
      <c r="AB1002"/>
      <c r="AC1002"/>
      <c r="AD1002"/>
      <c r="AE1002"/>
      <c r="AF1002"/>
      <c r="AG1002"/>
      <c r="AH1002" s="52"/>
      <c r="AI1002" s="148"/>
      <c r="AJ1002" s="19"/>
      <c r="AK1002" s="19"/>
      <c r="AL1002" s="19"/>
      <c r="AM1002" s="19"/>
      <c r="AN1002" s="42"/>
      <c r="AO1002" s="54"/>
      <c r="AP1002" s="19"/>
      <c r="AQ1002" s="1"/>
      <c r="AR1002" s="74"/>
      <c r="AS1002" s="42"/>
      <c r="AT1002" s="54"/>
      <c r="AU1002" s="54"/>
      <c r="AV1002" s="19"/>
      <c r="AW1002" s="54"/>
      <c r="AX1002" s="57"/>
      <c r="AY1002" s="54"/>
      <c r="AZ1002" s="54"/>
      <c r="BA1002" s="54"/>
      <c r="BB1002" s="54"/>
      <c r="BC1002" s="57"/>
      <c r="BD1002" s="19"/>
      <c r="BE1002" s="19"/>
      <c r="BF1002" s="19"/>
      <c r="BG1002" s="54"/>
      <c r="BI1002" s="54"/>
      <c r="BJ1002" s="55"/>
      <c r="BK1002" s="55"/>
      <c r="BL1002" s="54"/>
      <c r="BM1002" s="56"/>
      <c r="BN1002" s="56"/>
      <c r="BO1002" s="52"/>
      <c r="BP1002" s="52"/>
      <c r="BQ1002" s="52"/>
      <c r="BR1002" s="52"/>
      <c r="BS1002" s="52"/>
      <c r="BT1002" s="52"/>
      <c r="BU1002" s="52"/>
      <c r="BV1002" s="52"/>
      <c r="BW1002" s="52"/>
      <c r="BX1002" s="52"/>
      <c r="BY1002" s="52"/>
      <c r="BZ1002" s="52"/>
      <c r="CA1002" s="52"/>
      <c r="CB1002" s="52"/>
      <c r="CC1002" s="52"/>
      <c r="CD1002" s="52"/>
      <c r="CE1002" s="52"/>
      <c r="CF1002" s="52"/>
      <c r="CG1002" s="52"/>
      <c r="CH1002" s="52"/>
      <c r="CI1002" s="52"/>
      <c r="CJ1002" s="52"/>
      <c r="CK1002" s="52"/>
      <c r="CL1002" s="52"/>
      <c r="CM1002" s="52"/>
      <c r="CN1002" s="52"/>
      <c r="CO1002" s="52"/>
      <c r="CP1002" s="52"/>
      <c r="CQ1002" s="52"/>
      <c r="CR1002" s="52"/>
      <c r="CS1002" s="52"/>
      <c r="CT1002" s="52"/>
      <c r="CU1002" s="52"/>
      <c r="CV1002" s="52"/>
      <c r="CW1002" s="52"/>
      <c r="CX1002" s="52"/>
      <c r="CY1002" s="52"/>
      <c r="CZ1002" s="52"/>
      <c r="DA1002" s="52"/>
      <c r="DB1002" s="52"/>
      <c r="DC1002" s="52"/>
      <c r="DD1002" s="52"/>
      <c r="DE1002" s="52"/>
      <c r="DF1002" s="52"/>
      <c r="DG1002" s="52"/>
      <c r="DH1002" s="52"/>
      <c r="DI1002" s="52"/>
      <c r="DJ1002" s="52"/>
      <c r="DK1002" s="52"/>
      <c r="DL1002" s="52"/>
      <c r="DM1002" s="52"/>
      <c r="DN1002" s="52"/>
      <c r="DO1002" s="52"/>
      <c r="DP1002" s="52"/>
      <c r="DQ1002" s="52"/>
      <c r="DR1002" s="52"/>
      <c r="DS1002" s="52"/>
      <c r="DT1002" s="52"/>
      <c r="DU1002" s="52"/>
      <c r="DV1002" s="52"/>
      <c r="DW1002" s="52"/>
      <c r="DX1002" s="52"/>
      <c r="DZ1002"/>
      <c r="EA1002" s="19"/>
      <c r="EB1002" s="19"/>
      <c r="EC1002" s="9"/>
      <c r="ED1002" s="9"/>
      <c r="EE1002" s="9"/>
      <c r="EF1002" s="9"/>
      <c r="EG1002" s="9"/>
      <c r="EH1002" s="13"/>
      <c r="EI1002" s="13"/>
      <c r="EJ1002" s="13"/>
      <c r="EK1002" s="13"/>
      <c r="EL1002" s="13"/>
      <c r="EM1002" s="13"/>
      <c r="EN1002" s="13"/>
      <c r="EO1002" s="13"/>
      <c r="EP1002" s="13"/>
      <c r="EQ1002" s="13"/>
      <c r="ER1002" s="13"/>
      <c r="ES1002" s="13"/>
      <c r="ET1002" s="13"/>
      <c r="EU1002" s="13"/>
      <c r="EV1002" s="13"/>
      <c r="EW1002" s="13"/>
      <c r="EX1002" s="13"/>
      <c r="EY1002" s="13"/>
      <c r="EZ1002" s="13"/>
      <c r="FA1002" s="13"/>
      <c r="FB1002" s="13"/>
      <c r="FC1002" s="13"/>
      <c r="FD1002" s="13"/>
      <c r="FE1002" s="13"/>
      <c r="FF1002" s="13"/>
      <c r="FG1002" s="13"/>
      <c r="FH1002" s="13"/>
      <c r="FI1002" s="13"/>
      <c r="FJ1002" s="13"/>
      <c r="FK1002" s="13"/>
      <c r="FL1002" s="13"/>
      <c r="FM1002" s="13"/>
      <c r="FN1002" s="13"/>
      <c r="FO1002" s="13"/>
      <c r="FP1002" s="13"/>
      <c r="FQ1002" s="13"/>
      <c r="FR1002" s="13"/>
      <c r="FS1002" s="13"/>
      <c r="FT1002" s="13"/>
      <c r="FU1002" s="13"/>
      <c r="FV1002" s="13"/>
      <c r="FW1002" s="13"/>
      <c r="FX1002" s="13"/>
      <c r="FY1002" s="13"/>
      <c r="FZ1002" s="13"/>
      <c r="GA1002" s="13"/>
    </row>
    <row r="1003" spans="1:183" s="43" customFormat="1" x14ac:dyDescent="0.25">
      <c r="A1003" s="2"/>
      <c r="B1003" s="2"/>
      <c r="C1003" s="9">
        <v>8</v>
      </c>
      <c r="D1003" s="9">
        <v>25</v>
      </c>
      <c r="E1003" s="9">
        <v>46</v>
      </c>
      <c r="F1003" s="9">
        <v>52</v>
      </c>
      <c r="G1003" s="9">
        <v>77</v>
      </c>
      <c r="H1003" s="9">
        <v>79</v>
      </c>
      <c r="J1003" s="9">
        <v>79</v>
      </c>
      <c r="L1003" s="39">
        <v>44368</v>
      </c>
      <c r="N1003"/>
      <c r="O1003"/>
      <c r="P1003"/>
      <c r="Q1003"/>
      <c r="R1003"/>
      <c r="S1003"/>
      <c r="T1003"/>
      <c r="U1003"/>
      <c r="V1003"/>
      <c r="W1003" s="52"/>
      <c r="Y1003"/>
      <c r="Z1003"/>
      <c r="AA1003"/>
      <c r="AB1003"/>
      <c r="AC1003"/>
      <c r="AD1003"/>
      <c r="AE1003"/>
      <c r="AF1003"/>
      <c r="AG1003"/>
      <c r="AH1003" s="52"/>
      <c r="AI1003" s="148"/>
      <c r="AJ1003" s="19"/>
      <c r="AK1003" s="19"/>
      <c r="AL1003" s="19"/>
      <c r="AM1003" s="19"/>
      <c r="AN1003" s="42"/>
      <c r="AO1003" s="54"/>
      <c r="AP1003" s="19"/>
      <c r="AQ1003" s="1"/>
      <c r="AR1003" s="74"/>
      <c r="AS1003" s="42"/>
      <c r="AT1003" s="54"/>
      <c r="AU1003" s="54"/>
      <c r="AV1003" s="19"/>
      <c r="AW1003" s="54"/>
      <c r="AX1003" s="57"/>
      <c r="AY1003" s="54"/>
      <c r="AZ1003" s="54"/>
      <c r="BA1003" s="54"/>
      <c r="BB1003" s="54"/>
      <c r="BC1003" s="57"/>
      <c r="BD1003" s="19"/>
      <c r="BE1003" s="19"/>
      <c r="BF1003" s="19"/>
      <c r="BG1003" s="54"/>
      <c r="BI1003" s="54"/>
      <c r="BJ1003" s="55"/>
      <c r="BK1003" s="55"/>
      <c r="BL1003" s="54"/>
      <c r="BM1003" s="56"/>
      <c r="BN1003" s="56"/>
      <c r="BO1003" s="52"/>
      <c r="BP1003" s="52"/>
      <c r="BQ1003" s="52"/>
      <c r="BR1003" s="52"/>
      <c r="BS1003" s="52"/>
      <c r="BT1003" s="52"/>
      <c r="BU1003" s="52"/>
      <c r="BV1003" s="52"/>
      <c r="BW1003" s="52"/>
      <c r="BX1003" s="52"/>
      <c r="BY1003" s="52"/>
      <c r="BZ1003" s="52"/>
      <c r="CA1003" s="52"/>
      <c r="CB1003" s="52"/>
      <c r="CC1003" s="52"/>
      <c r="CD1003" s="52"/>
      <c r="CE1003" s="52"/>
      <c r="CF1003" s="52"/>
      <c r="CG1003" s="52"/>
      <c r="CH1003" s="52"/>
      <c r="CI1003" s="52"/>
      <c r="CJ1003" s="52"/>
      <c r="CK1003" s="52"/>
      <c r="CL1003" s="52"/>
      <c r="CM1003" s="52"/>
      <c r="CN1003" s="52"/>
      <c r="CO1003" s="52"/>
      <c r="CP1003" s="52"/>
      <c r="CQ1003" s="52"/>
      <c r="CR1003" s="52"/>
      <c r="CS1003" s="52"/>
      <c r="CT1003" s="52"/>
      <c r="CU1003" s="52"/>
      <c r="CV1003" s="52"/>
      <c r="CW1003" s="52"/>
      <c r="CX1003" s="52"/>
      <c r="CY1003" s="52"/>
      <c r="CZ1003" s="52"/>
      <c r="DA1003" s="52"/>
      <c r="DB1003" s="52"/>
      <c r="DC1003" s="52"/>
      <c r="DD1003" s="52"/>
      <c r="DE1003" s="52"/>
      <c r="DF1003" s="52"/>
      <c r="DG1003" s="52"/>
      <c r="DH1003" s="52"/>
      <c r="DI1003" s="52"/>
      <c r="DJ1003" s="52"/>
      <c r="DK1003" s="52"/>
      <c r="DL1003" s="52"/>
      <c r="DM1003" s="52"/>
      <c r="DN1003" s="52"/>
      <c r="DO1003" s="52"/>
      <c r="DP1003" s="52"/>
      <c r="DQ1003" s="52"/>
      <c r="DR1003" s="52"/>
      <c r="DS1003" s="52"/>
      <c r="DT1003" s="52"/>
      <c r="DU1003" s="52"/>
      <c r="DV1003" s="52"/>
      <c r="DW1003" s="52"/>
      <c r="DX1003" s="52"/>
      <c r="DZ1003"/>
      <c r="EA1003" s="19"/>
      <c r="EB1003" s="19"/>
      <c r="EC1003" s="9"/>
      <c r="ED1003" s="9"/>
      <c r="EE1003" s="9"/>
      <c r="EF1003" s="9"/>
      <c r="EG1003" s="9"/>
      <c r="EH1003" s="13"/>
      <c r="EI1003" s="13"/>
      <c r="EJ1003" s="13"/>
      <c r="EK1003" s="13"/>
      <c r="EL1003" s="13"/>
      <c r="EM1003" s="13"/>
      <c r="EN1003" s="13"/>
      <c r="EO1003" s="13"/>
      <c r="EP1003" s="13"/>
      <c r="EQ1003" s="13"/>
      <c r="ER1003" s="13"/>
      <c r="ES1003" s="13"/>
      <c r="ET1003" s="13"/>
      <c r="EU1003" s="13"/>
      <c r="EV1003" s="13"/>
      <c r="EW1003" s="13"/>
      <c r="EX1003" s="13"/>
      <c r="EY1003" s="13"/>
      <c r="EZ1003" s="13"/>
      <c r="FA1003" s="13"/>
      <c r="FB1003" s="13"/>
      <c r="FC1003" s="13"/>
      <c r="FD1003" s="13"/>
      <c r="FE1003" s="13"/>
      <c r="FF1003" s="13"/>
      <c r="FG1003" s="13"/>
      <c r="FH1003" s="13"/>
      <c r="FI1003" s="13"/>
      <c r="FJ1003" s="13"/>
      <c r="FK1003" s="13"/>
      <c r="FL1003" s="13"/>
      <c r="FM1003" s="13"/>
      <c r="FN1003" s="13"/>
      <c r="FO1003" s="13"/>
      <c r="FP1003" s="13"/>
      <c r="FQ1003" s="13"/>
      <c r="FR1003" s="13"/>
      <c r="FS1003" s="13"/>
      <c r="FT1003" s="13"/>
      <c r="FU1003" s="13"/>
      <c r="FV1003" s="13"/>
      <c r="FW1003" s="13"/>
      <c r="FX1003" s="13"/>
      <c r="FY1003" s="13"/>
      <c r="FZ1003" s="13"/>
      <c r="GA1003" s="13"/>
    </row>
    <row r="1004" spans="1:183" s="43" customFormat="1" x14ac:dyDescent="0.25">
      <c r="A1004" s="2"/>
      <c r="B1004" s="2"/>
      <c r="C1004" s="9">
        <v>21</v>
      </c>
      <c r="D1004" s="9">
        <v>24</v>
      </c>
      <c r="E1004" s="9">
        <v>25</v>
      </c>
      <c r="F1004" s="9">
        <v>48</v>
      </c>
      <c r="G1004" s="9">
        <v>72</v>
      </c>
      <c r="H1004" s="9">
        <v>76</v>
      </c>
      <c r="J1004" s="9">
        <v>76</v>
      </c>
      <c r="L1004" s="39">
        <v>44366</v>
      </c>
      <c r="N1004"/>
      <c r="O1004"/>
      <c r="P1004"/>
      <c r="Q1004"/>
      <c r="R1004"/>
      <c r="S1004"/>
      <c r="T1004"/>
      <c r="U1004"/>
      <c r="V1004"/>
      <c r="W1004" s="52"/>
      <c r="Y1004"/>
      <c r="Z1004"/>
      <c r="AA1004"/>
      <c r="AB1004"/>
      <c r="AC1004"/>
      <c r="AD1004"/>
      <c r="AE1004"/>
      <c r="AF1004"/>
      <c r="AG1004"/>
      <c r="AH1004" s="52"/>
      <c r="AI1004" s="148"/>
      <c r="AJ1004" s="19"/>
      <c r="AK1004" s="19"/>
      <c r="AL1004" s="19"/>
      <c r="AM1004" s="19"/>
      <c r="AN1004" s="42"/>
      <c r="AO1004" s="54"/>
      <c r="AP1004" s="19"/>
      <c r="AQ1004" s="1"/>
      <c r="AR1004" s="74"/>
      <c r="AS1004" s="42"/>
      <c r="AT1004" s="54"/>
      <c r="AU1004" s="54"/>
      <c r="AV1004" s="19"/>
      <c r="AW1004" s="54"/>
      <c r="AX1004" s="57"/>
      <c r="AY1004" s="54"/>
      <c r="AZ1004" s="54"/>
      <c r="BA1004" s="54"/>
      <c r="BB1004" s="54"/>
      <c r="BC1004" s="57"/>
      <c r="BD1004" s="19"/>
      <c r="BE1004" s="19"/>
      <c r="BF1004" s="19"/>
      <c r="BG1004" s="54"/>
      <c r="BI1004" s="54"/>
      <c r="BJ1004" s="55"/>
      <c r="BK1004" s="55"/>
      <c r="BL1004" s="54"/>
      <c r="BM1004" s="56"/>
      <c r="BN1004" s="56"/>
      <c r="BO1004" s="52"/>
      <c r="BP1004" s="52"/>
      <c r="BQ1004" s="52"/>
      <c r="BR1004" s="52"/>
      <c r="BS1004" s="52"/>
      <c r="BT1004" s="52"/>
      <c r="BU1004" s="52"/>
      <c r="BV1004" s="52"/>
      <c r="BW1004" s="52"/>
      <c r="BX1004" s="52"/>
      <c r="BY1004" s="52"/>
      <c r="BZ1004" s="52"/>
      <c r="CA1004" s="52"/>
      <c r="CB1004" s="52"/>
      <c r="CC1004" s="52"/>
      <c r="CD1004" s="52"/>
      <c r="CE1004" s="52"/>
      <c r="CF1004" s="52"/>
      <c r="CG1004" s="52"/>
      <c r="CH1004" s="52"/>
      <c r="CI1004" s="52"/>
      <c r="CJ1004" s="52"/>
      <c r="CK1004" s="52"/>
      <c r="CL1004" s="52"/>
      <c r="CM1004" s="52"/>
      <c r="CN1004" s="52"/>
      <c r="CO1004" s="52"/>
      <c r="CP1004" s="52"/>
      <c r="CQ1004" s="52"/>
      <c r="CR1004" s="52"/>
      <c r="CS1004" s="52"/>
      <c r="CT1004" s="52"/>
      <c r="CU1004" s="52"/>
      <c r="CV1004" s="52"/>
      <c r="CW1004" s="52"/>
      <c r="CX1004" s="52"/>
      <c r="CY1004" s="52"/>
      <c r="CZ1004" s="52"/>
      <c r="DA1004" s="52"/>
      <c r="DB1004" s="52"/>
      <c r="DC1004" s="52"/>
      <c r="DD1004" s="52"/>
      <c r="DE1004" s="52"/>
      <c r="DF1004" s="52"/>
      <c r="DG1004" s="52"/>
      <c r="DH1004" s="52"/>
      <c r="DI1004" s="52"/>
      <c r="DJ1004" s="52"/>
      <c r="DK1004" s="52"/>
      <c r="DL1004" s="52"/>
      <c r="DM1004" s="52"/>
      <c r="DN1004" s="52"/>
      <c r="DO1004" s="52"/>
      <c r="DP1004" s="52"/>
      <c r="DQ1004" s="52"/>
      <c r="DR1004" s="52"/>
      <c r="DS1004" s="52"/>
      <c r="DT1004" s="52"/>
      <c r="DU1004" s="52"/>
      <c r="DV1004" s="52"/>
      <c r="DW1004" s="52"/>
      <c r="DX1004" s="52"/>
      <c r="DZ1004"/>
      <c r="EA1004" s="19"/>
      <c r="EB1004" s="19"/>
      <c r="EC1004" s="9"/>
      <c r="ED1004" s="9"/>
      <c r="EE1004" s="9"/>
      <c r="EF1004" s="9"/>
      <c r="EG1004" s="9"/>
      <c r="EH1004" s="13"/>
      <c r="EI1004" s="13"/>
      <c r="EJ1004" s="13"/>
      <c r="EK1004" s="13"/>
      <c r="EL1004" s="13"/>
      <c r="EM1004" s="13"/>
      <c r="EN1004" s="13"/>
      <c r="EO1004" s="13"/>
      <c r="EP1004" s="13"/>
      <c r="EQ1004" s="13"/>
      <c r="ER1004" s="13"/>
      <c r="ES1004" s="13"/>
      <c r="ET1004" s="13"/>
      <c r="EU1004" s="13"/>
      <c r="EV1004" s="13"/>
      <c r="EW1004" s="13"/>
      <c r="EX1004" s="13"/>
      <c r="EY1004" s="13"/>
      <c r="EZ1004" s="13"/>
      <c r="FA1004" s="13"/>
      <c r="FB1004" s="13"/>
      <c r="FC1004" s="13"/>
      <c r="FD1004" s="13"/>
      <c r="FE1004" s="13"/>
      <c r="FF1004" s="13"/>
      <c r="FG1004" s="13"/>
      <c r="FH1004" s="13"/>
      <c r="FI1004" s="13"/>
      <c r="FJ1004" s="13"/>
      <c r="FK1004" s="13"/>
      <c r="FL1004" s="13"/>
      <c r="FM1004" s="13"/>
      <c r="FN1004" s="13"/>
      <c r="FO1004" s="13"/>
      <c r="FP1004" s="13"/>
      <c r="FQ1004" s="13"/>
      <c r="FR1004" s="13"/>
      <c r="FS1004" s="13"/>
      <c r="FT1004" s="13"/>
      <c r="FU1004" s="13"/>
      <c r="FV1004" s="13"/>
      <c r="FW1004" s="13"/>
      <c r="FX1004" s="13"/>
      <c r="FY1004" s="13"/>
      <c r="FZ1004" s="13"/>
      <c r="GA1004" s="13"/>
    </row>
    <row r="1005" spans="1:183" s="43" customFormat="1" x14ac:dyDescent="0.25">
      <c r="A1005" s="2"/>
      <c r="B1005" s="2"/>
      <c r="C1005" s="9">
        <v>10</v>
      </c>
      <c r="D1005" s="9">
        <v>12</v>
      </c>
      <c r="E1005" s="9">
        <v>17</v>
      </c>
      <c r="F1005" s="9">
        <v>40</v>
      </c>
      <c r="G1005" s="9">
        <v>52</v>
      </c>
      <c r="H1005" s="9">
        <v>83</v>
      </c>
      <c r="J1005" s="9">
        <v>83</v>
      </c>
      <c r="L1005" s="39">
        <v>44363</v>
      </c>
      <c r="N1005"/>
      <c r="O1005"/>
      <c r="P1005"/>
      <c r="Q1005"/>
      <c r="R1005"/>
      <c r="S1005"/>
      <c r="T1005"/>
      <c r="U1005"/>
      <c r="V1005"/>
      <c r="W1005" s="52"/>
      <c r="Y1005"/>
      <c r="Z1005"/>
      <c r="AA1005"/>
      <c r="AB1005"/>
      <c r="AC1005"/>
      <c r="AD1005"/>
      <c r="AE1005"/>
      <c r="AF1005"/>
      <c r="AG1005"/>
      <c r="AH1005" s="52"/>
      <c r="AI1005" s="148"/>
      <c r="AJ1005" s="19"/>
      <c r="AK1005" s="19"/>
      <c r="AL1005" s="19"/>
      <c r="AM1005" s="19"/>
      <c r="AN1005" s="42"/>
      <c r="AO1005" s="54"/>
      <c r="AP1005" s="19"/>
      <c r="AQ1005" s="1"/>
      <c r="AR1005" s="74"/>
      <c r="AS1005" s="42"/>
      <c r="AT1005" s="54"/>
      <c r="AU1005" s="54"/>
      <c r="AV1005" s="19"/>
      <c r="AW1005" s="54"/>
      <c r="AX1005" s="57"/>
      <c r="AY1005" s="54"/>
      <c r="AZ1005" s="54"/>
      <c r="BA1005" s="54"/>
      <c r="BB1005" s="54"/>
      <c r="BC1005" s="57"/>
      <c r="BD1005" s="19"/>
      <c r="BE1005" s="19"/>
      <c r="BF1005" s="19"/>
      <c r="BG1005" s="54"/>
      <c r="BI1005" s="54"/>
      <c r="BJ1005" s="55"/>
      <c r="BK1005" s="55"/>
      <c r="BL1005" s="54"/>
      <c r="BM1005" s="56"/>
      <c r="BN1005" s="56"/>
      <c r="BO1005" s="52"/>
      <c r="BP1005" s="52"/>
      <c r="BQ1005" s="52"/>
      <c r="BR1005" s="52"/>
      <c r="BS1005" s="52"/>
      <c r="BT1005" s="52"/>
      <c r="BU1005" s="52"/>
      <c r="BV1005" s="52"/>
      <c r="BW1005" s="52"/>
      <c r="BX1005" s="52"/>
      <c r="BY1005" s="52"/>
      <c r="BZ1005" s="52"/>
      <c r="CA1005" s="52"/>
      <c r="CB1005" s="52"/>
      <c r="CC1005" s="52"/>
      <c r="CD1005" s="52"/>
      <c r="CE1005" s="52"/>
      <c r="CF1005" s="52"/>
      <c r="CG1005" s="52"/>
      <c r="CH1005" s="52"/>
      <c r="CI1005" s="52"/>
      <c r="CJ1005" s="52"/>
      <c r="CK1005" s="52"/>
      <c r="CL1005" s="52"/>
      <c r="CM1005" s="52"/>
      <c r="CN1005" s="52"/>
      <c r="CO1005" s="52"/>
      <c r="CP1005" s="52"/>
      <c r="CQ1005" s="52"/>
      <c r="CR1005" s="52"/>
      <c r="CS1005" s="52"/>
      <c r="CT1005" s="52"/>
      <c r="CU1005" s="52"/>
      <c r="CV1005" s="52"/>
      <c r="CW1005" s="52"/>
      <c r="CX1005" s="52"/>
      <c r="CY1005" s="52"/>
      <c r="CZ1005" s="52"/>
      <c r="DA1005" s="52"/>
      <c r="DB1005" s="52"/>
      <c r="DC1005" s="52"/>
      <c r="DD1005" s="52"/>
      <c r="DE1005" s="52"/>
      <c r="DF1005" s="52"/>
      <c r="DG1005" s="52"/>
      <c r="DH1005" s="52"/>
      <c r="DI1005" s="52"/>
      <c r="DJ1005" s="52"/>
      <c r="DK1005" s="52"/>
      <c r="DL1005" s="52"/>
      <c r="DM1005" s="52"/>
      <c r="DN1005" s="52"/>
      <c r="DO1005" s="52"/>
      <c r="DP1005" s="52"/>
      <c r="DQ1005" s="52"/>
      <c r="DR1005" s="52"/>
      <c r="DS1005" s="52"/>
      <c r="DT1005" s="52"/>
      <c r="DU1005" s="52"/>
      <c r="DV1005" s="52"/>
      <c r="DW1005" s="52"/>
      <c r="DX1005" s="52"/>
      <c r="DZ1005"/>
      <c r="EA1005" s="19"/>
      <c r="EB1005" s="19"/>
      <c r="EC1005" s="9"/>
      <c r="ED1005" s="9"/>
      <c r="EE1005" s="9"/>
      <c r="EF1005" s="9"/>
      <c r="EG1005" s="9"/>
      <c r="EH1005" s="13"/>
      <c r="EI1005" s="13"/>
      <c r="EJ1005" s="13"/>
      <c r="EK1005" s="13"/>
      <c r="EL1005" s="13"/>
      <c r="EM1005" s="13"/>
      <c r="EN1005" s="13"/>
      <c r="EO1005" s="13"/>
      <c r="EP1005" s="13"/>
      <c r="EQ1005" s="13"/>
      <c r="ER1005" s="13"/>
      <c r="ES1005" s="13"/>
      <c r="ET1005" s="13"/>
      <c r="EU1005" s="13"/>
      <c r="EV1005" s="13"/>
      <c r="EW1005" s="13"/>
      <c r="EX1005" s="13"/>
      <c r="EY1005" s="13"/>
      <c r="EZ1005" s="13"/>
      <c r="FA1005" s="13"/>
      <c r="FB1005" s="13"/>
      <c r="FC1005" s="13"/>
      <c r="FD1005" s="13"/>
      <c r="FE1005" s="13"/>
      <c r="FF1005" s="13"/>
      <c r="FG1005" s="13"/>
      <c r="FH1005" s="13"/>
      <c r="FI1005" s="13"/>
      <c r="FJ1005" s="13"/>
      <c r="FK1005" s="13"/>
      <c r="FL1005" s="13"/>
      <c r="FM1005" s="13"/>
      <c r="FN1005" s="13"/>
      <c r="FO1005" s="13"/>
      <c r="FP1005" s="13"/>
      <c r="FQ1005" s="13"/>
      <c r="FR1005" s="13"/>
      <c r="FS1005" s="13"/>
      <c r="FT1005" s="13"/>
      <c r="FU1005" s="13"/>
      <c r="FV1005" s="13"/>
      <c r="FW1005" s="13"/>
      <c r="FX1005" s="13"/>
      <c r="FY1005" s="13"/>
      <c r="FZ1005" s="13"/>
      <c r="GA1005" s="13"/>
    </row>
    <row r="1006" spans="1:183" s="43" customFormat="1" x14ac:dyDescent="0.25">
      <c r="A1006" s="2"/>
      <c r="B1006" s="2"/>
      <c r="C1006" s="9">
        <v>13</v>
      </c>
      <c r="D1006" s="9">
        <v>23</v>
      </c>
      <c r="E1006" s="9">
        <v>40</v>
      </c>
      <c r="F1006" s="9">
        <v>41</v>
      </c>
      <c r="G1006" s="9">
        <v>62</v>
      </c>
      <c r="H1006" s="9">
        <v>77</v>
      </c>
      <c r="J1006" s="9">
        <v>77</v>
      </c>
      <c r="L1006" s="39">
        <v>44361</v>
      </c>
      <c r="N1006"/>
      <c r="O1006"/>
      <c r="P1006"/>
      <c r="Q1006"/>
      <c r="R1006"/>
      <c r="S1006"/>
      <c r="T1006"/>
      <c r="U1006"/>
      <c r="V1006"/>
      <c r="W1006" s="52"/>
      <c r="Y1006"/>
      <c r="Z1006"/>
      <c r="AA1006"/>
      <c r="AB1006"/>
      <c r="AC1006"/>
      <c r="AD1006"/>
      <c r="AE1006"/>
      <c r="AF1006"/>
      <c r="AG1006"/>
      <c r="AH1006" s="52"/>
      <c r="AI1006" s="148"/>
      <c r="AJ1006" s="19"/>
      <c r="AK1006" s="19"/>
      <c r="AL1006" s="19"/>
      <c r="AM1006" s="19"/>
      <c r="AN1006" s="42"/>
      <c r="AO1006" s="54"/>
      <c r="AP1006" s="19"/>
      <c r="AQ1006" s="1"/>
      <c r="AR1006" s="74"/>
      <c r="AS1006" s="42"/>
      <c r="AT1006" s="54"/>
      <c r="AU1006" s="54"/>
      <c r="AV1006" s="19"/>
      <c r="AW1006" s="54"/>
      <c r="AX1006" s="57"/>
      <c r="AY1006" s="54"/>
      <c r="AZ1006" s="54"/>
      <c r="BA1006" s="54"/>
      <c r="BB1006" s="54"/>
      <c r="BC1006" s="57"/>
      <c r="BD1006" s="19"/>
      <c r="BE1006" s="19"/>
      <c r="BF1006" s="19"/>
      <c r="BG1006" s="54"/>
      <c r="BI1006" s="54"/>
      <c r="BJ1006" s="55"/>
      <c r="BK1006" s="55"/>
      <c r="BL1006" s="54"/>
      <c r="BM1006" s="56"/>
      <c r="BN1006" s="56"/>
      <c r="BO1006" s="52"/>
      <c r="BP1006" s="52"/>
      <c r="BQ1006" s="52"/>
      <c r="BR1006" s="52"/>
      <c r="BS1006" s="52"/>
      <c r="BT1006" s="52"/>
      <c r="BU1006" s="52"/>
      <c r="BV1006" s="52"/>
      <c r="BW1006" s="52"/>
      <c r="BX1006" s="52"/>
      <c r="BY1006" s="52"/>
      <c r="BZ1006" s="52"/>
      <c r="CA1006" s="52"/>
      <c r="CB1006" s="52"/>
      <c r="CC1006" s="52"/>
      <c r="CD1006" s="52"/>
      <c r="CE1006" s="52"/>
      <c r="CF1006" s="52"/>
      <c r="CG1006" s="52"/>
      <c r="CH1006" s="52"/>
      <c r="CI1006" s="52"/>
      <c r="CJ1006" s="52"/>
      <c r="CK1006" s="52"/>
      <c r="CL1006" s="52"/>
      <c r="CM1006" s="52"/>
      <c r="CN1006" s="52"/>
      <c r="CO1006" s="52"/>
      <c r="CP1006" s="52"/>
      <c r="CQ1006" s="52"/>
      <c r="CR1006" s="52"/>
      <c r="CS1006" s="52"/>
      <c r="CT1006" s="52"/>
      <c r="CU1006" s="52"/>
      <c r="CV1006" s="52"/>
      <c r="CW1006" s="52"/>
      <c r="CX1006" s="52"/>
      <c r="CY1006" s="52"/>
      <c r="CZ1006" s="52"/>
      <c r="DA1006" s="52"/>
      <c r="DB1006" s="52"/>
      <c r="DC1006" s="52"/>
      <c r="DD1006" s="52"/>
      <c r="DE1006" s="52"/>
      <c r="DF1006" s="52"/>
      <c r="DG1006" s="52"/>
      <c r="DH1006" s="52"/>
      <c r="DI1006" s="52"/>
      <c r="DJ1006" s="52"/>
      <c r="DK1006" s="52"/>
      <c r="DL1006" s="52"/>
      <c r="DM1006" s="52"/>
      <c r="DN1006" s="52"/>
      <c r="DO1006" s="52"/>
      <c r="DP1006" s="52"/>
      <c r="DQ1006" s="52"/>
      <c r="DR1006" s="52"/>
      <c r="DS1006" s="52"/>
      <c r="DT1006" s="52"/>
      <c r="DU1006" s="52"/>
      <c r="DV1006" s="52"/>
      <c r="DW1006" s="52"/>
      <c r="DX1006" s="52"/>
      <c r="DZ1006"/>
      <c r="EA1006" s="19"/>
      <c r="EB1006" s="19"/>
      <c r="EC1006" s="9"/>
      <c r="ED1006" s="9"/>
      <c r="EE1006" s="9"/>
      <c r="EF1006" s="9"/>
      <c r="EG1006" s="9"/>
      <c r="EH1006" s="13"/>
      <c r="EI1006" s="13"/>
      <c r="EJ1006" s="13"/>
      <c r="EK1006" s="13"/>
      <c r="EL1006" s="13"/>
      <c r="EM1006" s="13"/>
      <c r="EN1006" s="13"/>
      <c r="EO1006" s="13"/>
      <c r="EP1006" s="13"/>
      <c r="EQ1006" s="13"/>
      <c r="ER1006" s="13"/>
      <c r="ES1006" s="13"/>
      <c r="ET1006" s="13"/>
      <c r="EU1006" s="13"/>
      <c r="EV1006" s="13"/>
      <c r="EW1006" s="13"/>
      <c r="EX1006" s="13"/>
      <c r="EY1006" s="13"/>
      <c r="EZ1006" s="13"/>
      <c r="FA1006" s="13"/>
      <c r="FB1006" s="13"/>
      <c r="FC1006" s="13"/>
      <c r="FD1006" s="13"/>
      <c r="FE1006" s="13"/>
      <c r="FF1006" s="13"/>
      <c r="FG1006" s="13"/>
      <c r="FH1006" s="13"/>
      <c r="FI1006" s="13"/>
      <c r="FJ1006" s="13"/>
      <c r="FK1006" s="13"/>
      <c r="FL1006" s="13"/>
      <c r="FM1006" s="13"/>
      <c r="FN1006" s="13"/>
      <c r="FO1006" s="13"/>
      <c r="FP1006" s="13"/>
      <c r="FQ1006" s="13"/>
      <c r="FR1006" s="13"/>
      <c r="FS1006" s="13"/>
      <c r="FT1006" s="13"/>
      <c r="FU1006" s="13"/>
      <c r="FV1006" s="13"/>
      <c r="FW1006" s="13"/>
      <c r="FX1006" s="13"/>
      <c r="FY1006" s="13"/>
      <c r="FZ1006" s="13"/>
      <c r="GA1006" s="13"/>
    </row>
    <row r="1007" spans="1:183" s="43" customFormat="1" x14ac:dyDescent="0.25">
      <c r="A1007" s="2"/>
      <c r="B1007" s="2"/>
      <c r="C1007" s="9">
        <v>5</v>
      </c>
      <c r="D1007" s="9">
        <v>13</v>
      </c>
      <c r="E1007" s="9">
        <v>15</v>
      </c>
      <c r="F1007" s="9">
        <v>37</v>
      </c>
      <c r="G1007" s="9">
        <v>52</v>
      </c>
      <c r="H1007" s="9">
        <v>78</v>
      </c>
      <c r="J1007" s="9">
        <v>78</v>
      </c>
      <c r="L1007" s="39">
        <v>44359</v>
      </c>
      <c r="N1007"/>
      <c r="O1007"/>
      <c r="P1007"/>
      <c r="Q1007"/>
      <c r="R1007"/>
      <c r="S1007"/>
      <c r="T1007"/>
      <c r="U1007"/>
      <c r="V1007"/>
      <c r="W1007" s="52"/>
      <c r="Y1007"/>
      <c r="Z1007"/>
      <c r="AA1007"/>
      <c r="AB1007"/>
      <c r="AC1007"/>
      <c r="AD1007"/>
      <c r="AE1007"/>
      <c r="AF1007"/>
      <c r="AG1007"/>
      <c r="AH1007" s="52"/>
      <c r="AI1007" s="148"/>
      <c r="AJ1007" s="19"/>
      <c r="AK1007" s="19"/>
      <c r="AL1007" s="19"/>
      <c r="AM1007" s="19"/>
      <c r="AN1007" s="42"/>
      <c r="AO1007" s="54"/>
      <c r="AP1007" s="19"/>
      <c r="AQ1007" s="1"/>
      <c r="AR1007" s="74"/>
      <c r="AS1007" s="42"/>
      <c r="AT1007" s="54"/>
      <c r="AU1007" s="54"/>
      <c r="AV1007" s="19"/>
      <c r="AW1007" s="54"/>
      <c r="AX1007" s="57"/>
      <c r="AY1007" s="54"/>
      <c r="AZ1007" s="54"/>
      <c r="BA1007" s="54"/>
      <c r="BB1007" s="54"/>
      <c r="BC1007" s="57"/>
      <c r="BD1007" s="19"/>
      <c r="BE1007" s="19"/>
      <c r="BF1007" s="19"/>
      <c r="BG1007" s="54"/>
      <c r="BI1007" s="54"/>
      <c r="BJ1007" s="55"/>
      <c r="BK1007" s="55"/>
      <c r="BL1007" s="54"/>
      <c r="BM1007" s="56"/>
      <c r="BN1007" s="56"/>
      <c r="BO1007" s="52"/>
      <c r="BP1007" s="52"/>
      <c r="BQ1007" s="52"/>
      <c r="BR1007" s="52"/>
      <c r="BS1007" s="52"/>
      <c r="BT1007" s="52"/>
      <c r="BU1007" s="52"/>
      <c r="BV1007" s="52"/>
      <c r="BW1007" s="52"/>
      <c r="BX1007" s="52"/>
      <c r="BY1007" s="52"/>
      <c r="BZ1007" s="52"/>
      <c r="CA1007" s="52"/>
      <c r="CB1007" s="52"/>
      <c r="CC1007" s="52"/>
      <c r="CD1007" s="52"/>
      <c r="CE1007" s="52"/>
      <c r="CF1007" s="52"/>
      <c r="CG1007" s="52"/>
      <c r="CH1007" s="52"/>
      <c r="CI1007" s="52"/>
      <c r="CJ1007" s="52"/>
      <c r="CK1007" s="52"/>
      <c r="CL1007" s="52"/>
      <c r="CM1007" s="52"/>
      <c r="CN1007" s="52"/>
      <c r="CO1007" s="52"/>
      <c r="CP1007" s="52"/>
      <c r="CQ1007" s="52"/>
      <c r="CR1007" s="52"/>
      <c r="CS1007" s="52"/>
      <c r="CT1007" s="52"/>
      <c r="CU1007" s="52"/>
      <c r="CV1007" s="52"/>
      <c r="CW1007" s="52"/>
      <c r="CX1007" s="52"/>
      <c r="CY1007" s="52"/>
      <c r="CZ1007" s="52"/>
      <c r="DA1007" s="52"/>
      <c r="DB1007" s="52"/>
      <c r="DC1007" s="52"/>
      <c r="DD1007" s="52"/>
      <c r="DE1007" s="52"/>
      <c r="DF1007" s="52"/>
      <c r="DG1007" s="52"/>
      <c r="DH1007" s="52"/>
      <c r="DI1007" s="52"/>
      <c r="DJ1007" s="52"/>
      <c r="DK1007" s="52"/>
      <c r="DL1007" s="52"/>
      <c r="DM1007" s="52"/>
      <c r="DN1007" s="52"/>
      <c r="DO1007" s="52"/>
      <c r="DP1007" s="52"/>
      <c r="DQ1007" s="52"/>
      <c r="DR1007" s="52"/>
      <c r="DS1007" s="52"/>
      <c r="DT1007" s="52"/>
      <c r="DU1007" s="52"/>
      <c r="DV1007" s="52"/>
      <c r="DW1007" s="52"/>
      <c r="DX1007" s="52"/>
      <c r="DZ1007"/>
      <c r="EA1007" s="19"/>
      <c r="EB1007" s="19"/>
      <c r="EC1007" s="9"/>
      <c r="ED1007" s="9"/>
      <c r="EE1007" s="9"/>
      <c r="EF1007" s="9"/>
      <c r="EG1007" s="9"/>
      <c r="EH1007" s="13"/>
      <c r="EI1007" s="13"/>
      <c r="EJ1007" s="13"/>
      <c r="EK1007" s="13"/>
      <c r="EL1007" s="13"/>
      <c r="EM1007" s="13"/>
      <c r="EN1007" s="13"/>
      <c r="EO1007" s="13"/>
      <c r="EP1007" s="13"/>
      <c r="EQ1007" s="13"/>
      <c r="ER1007" s="13"/>
      <c r="ES1007" s="13"/>
      <c r="ET1007" s="13"/>
      <c r="EU1007" s="13"/>
      <c r="EV1007" s="13"/>
      <c r="EW1007" s="13"/>
      <c r="EX1007" s="13"/>
      <c r="EY1007" s="13"/>
      <c r="EZ1007" s="13"/>
      <c r="FA1007" s="13"/>
      <c r="FB1007" s="13"/>
      <c r="FC1007" s="13"/>
      <c r="FD1007" s="13"/>
      <c r="FE1007" s="13"/>
      <c r="FF1007" s="13"/>
      <c r="FG1007" s="13"/>
      <c r="FH1007" s="13"/>
      <c r="FI1007" s="13"/>
      <c r="FJ1007" s="13"/>
      <c r="FK1007" s="13"/>
      <c r="FL1007" s="13"/>
      <c r="FM1007" s="13"/>
      <c r="FN1007" s="13"/>
      <c r="FO1007" s="13"/>
      <c r="FP1007" s="13"/>
      <c r="FQ1007" s="13"/>
      <c r="FR1007" s="13"/>
      <c r="FS1007" s="13"/>
      <c r="FT1007" s="13"/>
      <c r="FU1007" s="13"/>
      <c r="FV1007" s="13"/>
      <c r="FW1007" s="13"/>
      <c r="FX1007" s="13"/>
      <c r="FY1007" s="13"/>
      <c r="FZ1007" s="13"/>
      <c r="GA1007" s="13"/>
    </row>
    <row r="1008" spans="1:183" s="43" customFormat="1" x14ac:dyDescent="0.25">
      <c r="A1008" s="2"/>
      <c r="B1008" s="2"/>
      <c r="C1008" s="9">
        <v>15</v>
      </c>
      <c r="D1008" s="9">
        <v>26</v>
      </c>
      <c r="E1008" s="9">
        <v>61</v>
      </c>
      <c r="F1008" s="9">
        <v>66</v>
      </c>
      <c r="G1008" s="9">
        <v>79</v>
      </c>
      <c r="H1008" s="9">
        <v>82</v>
      </c>
      <c r="J1008" s="9">
        <v>82</v>
      </c>
      <c r="L1008" s="39">
        <v>44356</v>
      </c>
      <c r="N1008"/>
      <c r="O1008"/>
      <c r="P1008"/>
      <c r="Q1008"/>
      <c r="R1008"/>
      <c r="S1008"/>
      <c r="T1008"/>
      <c r="U1008"/>
      <c r="V1008"/>
      <c r="W1008" s="52"/>
      <c r="Y1008"/>
      <c r="Z1008"/>
      <c r="AA1008"/>
      <c r="AB1008"/>
      <c r="AC1008"/>
      <c r="AD1008"/>
      <c r="AE1008"/>
      <c r="AF1008"/>
      <c r="AG1008"/>
      <c r="AH1008" s="52"/>
      <c r="AI1008" s="148"/>
      <c r="AJ1008" s="19"/>
      <c r="AK1008" s="19"/>
      <c r="AL1008" s="19"/>
      <c r="AM1008" s="19"/>
      <c r="AN1008" s="42"/>
      <c r="AO1008" s="54"/>
      <c r="AP1008" s="19"/>
      <c r="AQ1008" s="1"/>
      <c r="AR1008" s="74"/>
      <c r="AS1008" s="42"/>
      <c r="AT1008" s="54"/>
      <c r="AU1008" s="54"/>
      <c r="AV1008" s="19"/>
      <c r="AW1008" s="54"/>
      <c r="AX1008" s="57"/>
      <c r="AY1008" s="54"/>
      <c r="AZ1008" s="54"/>
      <c r="BA1008" s="54"/>
      <c r="BB1008" s="54"/>
      <c r="BC1008" s="57"/>
      <c r="BD1008" s="19"/>
      <c r="BE1008" s="19"/>
      <c r="BF1008" s="19"/>
      <c r="BG1008" s="54"/>
      <c r="BI1008" s="54"/>
      <c r="BJ1008" s="55"/>
      <c r="BK1008" s="55"/>
      <c r="BL1008" s="54"/>
      <c r="BM1008" s="56"/>
      <c r="BN1008" s="56"/>
      <c r="BO1008" s="52"/>
      <c r="BP1008" s="52"/>
      <c r="BQ1008" s="52"/>
      <c r="BR1008" s="52"/>
      <c r="BS1008" s="52"/>
      <c r="BT1008" s="52"/>
      <c r="BU1008" s="52"/>
      <c r="BV1008" s="52"/>
      <c r="BW1008" s="52"/>
      <c r="BX1008" s="52"/>
      <c r="BY1008" s="52"/>
      <c r="BZ1008" s="52"/>
      <c r="CA1008" s="52"/>
      <c r="CB1008" s="52"/>
      <c r="CC1008" s="52"/>
      <c r="CD1008" s="52"/>
      <c r="CE1008" s="52"/>
      <c r="CF1008" s="52"/>
      <c r="CG1008" s="52"/>
      <c r="CH1008" s="52"/>
      <c r="CI1008" s="52"/>
      <c r="CJ1008" s="52"/>
      <c r="CK1008" s="52"/>
      <c r="CL1008" s="52"/>
      <c r="CM1008" s="52"/>
      <c r="CN1008" s="52"/>
      <c r="CO1008" s="52"/>
      <c r="CP1008" s="52"/>
      <c r="CQ1008" s="52"/>
      <c r="CR1008" s="52"/>
      <c r="CS1008" s="52"/>
      <c r="CT1008" s="52"/>
      <c r="CU1008" s="52"/>
      <c r="CV1008" s="52"/>
      <c r="CW1008" s="52"/>
      <c r="CX1008" s="52"/>
      <c r="CY1008" s="52"/>
      <c r="CZ1008" s="52"/>
      <c r="DA1008" s="52"/>
      <c r="DB1008" s="52"/>
      <c r="DC1008" s="52"/>
      <c r="DD1008" s="52"/>
      <c r="DE1008" s="52"/>
      <c r="DF1008" s="52"/>
      <c r="DG1008" s="52"/>
      <c r="DH1008" s="52"/>
      <c r="DI1008" s="52"/>
      <c r="DJ1008" s="52"/>
      <c r="DK1008" s="52"/>
      <c r="DL1008" s="52"/>
      <c r="DM1008" s="52"/>
      <c r="DN1008" s="52"/>
      <c r="DO1008" s="52"/>
      <c r="DP1008" s="52"/>
      <c r="DQ1008" s="52"/>
      <c r="DR1008" s="52"/>
      <c r="DS1008" s="52"/>
      <c r="DT1008" s="52"/>
      <c r="DU1008" s="52"/>
      <c r="DV1008" s="52"/>
      <c r="DW1008" s="52"/>
      <c r="DX1008" s="52"/>
      <c r="DZ1008"/>
      <c r="EA1008" s="19"/>
      <c r="EB1008" s="19"/>
      <c r="EC1008" s="9"/>
      <c r="ED1008" s="9"/>
      <c r="EE1008" s="9"/>
      <c r="EF1008" s="9"/>
      <c r="EG1008" s="9"/>
      <c r="EH1008" s="13"/>
      <c r="EI1008" s="13"/>
      <c r="EJ1008" s="13"/>
      <c r="EK1008" s="13"/>
      <c r="EL1008" s="13"/>
      <c r="EM1008" s="13"/>
      <c r="EN1008" s="13"/>
      <c r="EO1008" s="13"/>
      <c r="EP1008" s="13"/>
      <c r="EQ1008" s="13"/>
      <c r="ER1008" s="13"/>
      <c r="ES1008" s="13"/>
      <c r="ET1008" s="13"/>
      <c r="EU1008" s="13"/>
      <c r="EV1008" s="13"/>
      <c r="EW1008" s="13"/>
      <c r="EX1008" s="13"/>
      <c r="EY1008" s="13"/>
      <c r="EZ1008" s="13"/>
      <c r="FA1008" s="13"/>
      <c r="FB1008" s="13"/>
      <c r="FC1008" s="13"/>
      <c r="FD1008" s="13"/>
      <c r="FE1008" s="13"/>
      <c r="FF1008" s="13"/>
      <c r="FG1008" s="13"/>
      <c r="FH1008" s="13"/>
      <c r="FI1008" s="13"/>
      <c r="FJ1008" s="13"/>
      <c r="FK1008" s="13"/>
      <c r="FL1008" s="13"/>
      <c r="FM1008" s="13"/>
      <c r="FN1008" s="13"/>
      <c r="FO1008" s="13"/>
      <c r="FP1008" s="13"/>
      <c r="FQ1008" s="13"/>
      <c r="FR1008" s="13"/>
      <c r="FS1008" s="13"/>
      <c r="FT1008" s="13"/>
      <c r="FU1008" s="13"/>
      <c r="FV1008" s="13"/>
      <c r="FW1008" s="13"/>
      <c r="FX1008" s="13"/>
      <c r="FY1008" s="13"/>
      <c r="FZ1008" s="13"/>
      <c r="GA1008" s="13"/>
    </row>
    <row r="1009" spans="1:183" s="43" customFormat="1" x14ac:dyDescent="0.25">
      <c r="A1009" s="2"/>
      <c r="B1009" s="2"/>
      <c r="C1009" s="9">
        <v>24</v>
      </c>
      <c r="D1009" s="9">
        <v>52</v>
      </c>
      <c r="E1009" s="9">
        <v>60</v>
      </c>
      <c r="F1009" s="9">
        <v>62</v>
      </c>
      <c r="G1009" s="9">
        <v>87</v>
      </c>
      <c r="H1009" s="9">
        <v>89</v>
      </c>
      <c r="J1009" s="9">
        <v>89</v>
      </c>
      <c r="L1009" s="39">
        <v>44354</v>
      </c>
      <c r="N1009"/>
      <c r="O1009"/>
      <c r="P1009"/>
      <c r="Q1009"/>
      <c r="R1009"/>
      <c r="S1009"/>
      <c r="T1009"/>
      <c r="U1009"/>
      <c r="V1009"/>
      <c r="W1009" s="52"/>
      <c r="Y1009"/>
      <c r="Z1009"/>
      <c r="AA1009"/>
      <c r="AB1009"/>
      <c r="AC1009"/>
      <c r="AD1009"/>
      <c r="AE1009"/>
      <c r="AF1009"/>
      <c r="AG1009"/>
      <c r="AH1009" s="52"/>
      <c r="AI1009" s="148"/>
      <c r="AJ1009" s="19"/>
      <c r="AK1009" s="19"/>
      <c r="AL1009" s="19"/>
      <c r="AM1009" s="19"/>
      <c r="AN1009" s="42"/>
      <c r="AO1009" s="54"/>
      <c r="AP1009" s="19"/>
      <c r="AQ1009" s="1"/>
      <c r="AR1009" s="74"/>
      <c r="AS1009" s="42"/>
      <c r="AT1009" s="54"/>
      <c r="AU1009" s="54"/>
      <c r="AV1009" s="19"/>
      <c r="AW1009" s="54"/>
      <c r="AX1009" s="57"/>
      <c r="AY1009" s="54"/>
      <c r="AZ1009" s="54"/>
      <c r="BA1009" s="54"/>
      <c r="BB1009" s="54"/>
      <c r="BC1009" s="57"/>
      <c r="BD1009" s="19"/>
      <c r="BE1009" s="19"/>
      <c r="BF1009" s="19"/>
      <c r="BG1009" s="54"/>
      <c r="BI1009" s="54"/>
      <c r="BJ1009" s="55"/>
      <c r="BK1009" s="55"/>
      <c r="BL1009" s="54"/>
      <c r="BM1009" s="56"/>
      <c r="BN1009" s="56"/>
      <c r="BO1009" s="52"/>
      <c r="BP1009" s="52"/>
      <c r="BQ1009" s="52"/>
      <c r="BR1009" s="52"/>
      <c r="BS1009" s="52"/>
      <c r="BT1009" s="52"/>
      <c r="BU1009" s="52"/>
      <c r="BV1009" s="52"/>
      <c r="BW1009" s="52"/>
      <c r="BX1009" s="52"/>
      <c r="BY1009" s="52"/>
      <c r="BZ1009" s="52"/>
      <c r="CA1009" s="52"/>
      <c r="CB1009" s="52"/>
      <c r="CC1009" s="52"/>
      <c r="CD1009" s="52"/>
      <c r="CE1009" s="52"/>
      <c r="CF1009" s="52"/>
      <c r="CG1009" s="52"/>
      <c r="CH1009" s="52"/>
      <c r="CI1009" s="52"/>
      <c r="CJ1009" s="52"/>
      <c r="CK1009" s="52"/>
      <c r="CL1009" s="52"/>
      <c r="CM1009" s="52"/>
      <c r="CN1009" s="52"/>
      <c r="CO1009" s="52"/>
      <c r="CP1009" s="52"/>
      <c r="CQ1009" s="52"/>
      <c r="CR1009" s="52"/>
      <c r="CS1009" s="52"/>
      <c r="CT1009" s="52"/>
      <c r="CU1009" s="52"/>
      <c r="CV1009" s="52"/>
      <c r="CW1009" s="52"/>
      <c r="CX1009" s="52"/>
      <c r="CY1009" s="52"/>
      <c r="CZ1009" s="52"/>
      <c r="DA1009" s="52"/>
      <c r="DB1009" s="52"/>
      <c r="DC1009" s="52"/>
      <c r="DD1009" s="52"/>
      <c r="DE1009" s="52"/>
      <c r="DF1009" s="52"/>
      <c r="DG1009" s="52"/>
      <c r="DH1009" s="52"/>
      <c r="DI1009" s="52"/>
      <c r="DJ1009" s="52"/>
      <c r="DK1009" s="52"/>
      <c r="DL1009" s="52"/>
      <c r="DM1009" s="52"/>
      <c r="DN1009" s="52"/>
      <c r="DO1009" s="52"/>
      <c r="DP1009" s="52"/>
      <c r="DQ1009" s="52"/>
      <c r="DR1009" s="52"/>
      <c r="DS1009" s="52"/>
      <c r="DT1009" s="52"/>
      <c r="DU1009" s="52"/>
      <c r="DV1009" s="52"/>
      <c r="DW1009" s="52"/>
      <c r="DX1009" s="52"/>
      <c r="DZ1009"/>
      <c r="EA1009" s="19"/>
      <c r="EB1009" s="19"/>
      <c r="EC1009" s="9"/>
      <c r="ED1009" s="9"/>
      <c r="EE1009" s="9"/>
      <c r="EF1009" s="9"/>
      <c r="EG1009" s="9"/>
      <c r="EH1009" s="13"/>
      <c r="EI1009" s="13"/>
      <c r="EJ1009" s="13"/>
      <c r="EK1009" s="13"/>
      <c r="EL1009" s="13"/>
      <c r="EM1009" s="13"/>
      <c r="EN1009" s="13"/>
      <c r="EO1009" s="13"/>
      <c r="EP1009" s="13"/>
      <c r="EQ1009" s="13"/>
      <c r="ER1009" s="13"/>
      <c r="ES1009" s="13"/>
      <c r="ET1009" s="13"/>
      <c r="EU1009" s="13"/>
      <c r="EV1009" s="13"/>
      <c r="EW1009" s="13"/>
      <c r="EX1009" s="13"/>
      <c r="EY1009" s="13"/>
      <c r="EZ1009" s="13"/>
      <c r="FA1009" s="13"/>
      <c r="FB1009" s="13"/>
      <c r="FC1009" s="13"/>
      <c r="FD1009" s="13"/>
      <c r="FE1009" s="13"/>
      <c r="FF1009" s="13"/>
      <c r="FG1009" s="13"/>
      <c r="FH1009" s="13"/>
      <c r="FI1009" s="13"/>
      <c r="FJ1009" s="13"/>
      <c r="FK1009" s="13"/>
      <c r="FL1009" s="13"/>
      <c r="FM1009" s="13"/>
      <c r="FN1009" s="13"/>
      <c r="FO1009" s="13"/>
      <c r="FP1009" s="13"/>
      <c r="FQ1009" s="13"/>
      <c r="FR1009" s="13"/>
      <c r="FS1009" s="13"/>
      <c r="FT1009" s="13"/>
      <c r="FU1009" s="13"/>
      <c r="FV1009" s="13"/>
      <c r="FW1009" s="13"/>
      <c r="FX1009" s="13"/>
      <c r="FY1009" s="13"/>
      <c r="FZ1009" s="13"/>
      <c r="GA1009" s="13"/>
    </row>
    <row r="1010" spans="1:183" s="43" customFormat="1" x14ac:dyDescent="0.25">
      <c r="A1010" s="2"/>
      <c r="B1010" s="2"/>
      <c r="C1010" s="9">
        <v>2</v>
      </c>
      <c r="D1010" s="9">
        <v>7</v>
      </c>
      <c r="E1010" s="9">
        <v>30</v>
      </c>
      <c r="F1010" s="9">
        <v>32</v>
      </c>
      <c r="G1010" s="9">
        <v>67</v>
      </c>
      <c r="H1010" s="9">
        <v>73</v>
      </c>
      <c r="J1010" s="9">
        <v>73</v>
      </c>
      <c r="L1010" s="39">
        <v>44352</v>
      </c>
      <c r="N1010"/>
      <c r="O1010"/>
      <c r="P1010"/>
      <c r="Q1010"/>
      <c r="R1010"/>
      <c r="S1010"/>
      <c r="T1010"/>
      <c r="U1010"/>
      <c r="V1010"/>
      <c r="W1010" s="52"/>
      <c r="Y1010"/>
      <c r="Z1010"/>
      <c r="AA1010"/>
      <c r="AB1010"/>
      <c r="AC1010"/>
      <c r="AD1010"/>
      <c r="AE1010"/>
      <c r="AF1010"/>
      <c r="AG1010"/>
      <c r="AH1010" s="52"/>
      <c r="AI1010" s="148"/>
      <c r="AJ1010" s="19"/>
      <c r="AK1010" s="19"/>
      <c r="AL1010" s="19"/>
      <c r="AM1010" s="19"/>
      <c r="AN1010" s="42"/>
      <c r="AO1010" s="54"/>
      <c r="AP1010" s="19"/>
      <c r="AQ1010" s="1"/>
      <c r="AR1010" s="74"/>
      <c r="AS1010" s="42"/>
      <c r="AT1010" s="54"/>
      <c r="AU1010" s="54"/>
      <c r="AV1010" s="19"/>
      <c r="AW1010" s="54"/>
      <c r="AX1010" s="57"/>
      <c r="AY1010" s="54"/>
      <c r="AZ1010" s="54"/>
      <c r="BA1010" s="54"/>
      <c r="BB1010" s="54"/>
      <c r="BC1010" s="57"/>
      <c r="BD1010" s="19"/>
      <c r="BE1010" s="19"/>
      <c r="BF1010" s="19"/>
      <c r="BG1010" s="54"/>
      <c r="BI1010" s="54"/>
      <c r="BJ1010" s="55"/>
      <c r="BK1010" s="55"/>
      <c r="BL1010" s="54"/>
      <c r="BM1010" s="56"/>
      <c r="BN1010" s="56"/>
      <c r="BO1010" s="52"/>
      <c r="BP1010" s="52"/>
      <c r="BQ1010" s="52"/>
      <c r="BR1010" s="52"/>
      <c r="BS1010" s="52"/>
      <c r="BT1010" s="52"/>
      <c r="BU1010" s="52"/>
      <c r="BV1010" s="52"/>
      <c r="BW1010" s="52"/>
      <c r="BX1010" s="52"/>
      <c r="BY1010" s="52"/>
      <c r="BZ1010" s="52"/>
      <c r="CA1010" s="52"/>
      <c r="CB1010" s="52"/>
      <c r="CC1010" s="52"/>
      <c r="CD1010" s="52"/>
      <c r="CE1010" s="52"/>
      <c r="CF1010" s="52"/>
      <c r="CG1010" s="52"/>
      <c r="CH1010" s="52"/>
      <c r="CI1010" s="52"/>
      <c r="CJ1010" s="52"/>
      <c r="CK1010" s="52"/>
      <c r="CL1010" s="52"/>
      <c r="CM1010" s="52"/>
      <c r="CN1010" s="52"/>
      <c r="CO1010" s="52"/>
      <c r="CP1010" s="52"/>
      <c r="CQ1010" s="52"/>
      <c r="CR1010" s="52"/>
      <c r="CS1010" s="52"/>
      <c r="CT1010" s="52"/>
      <c r="CU1010" s="52"/>
      <c r="CV1010" s="52"/>
      <c r="CW1010" s="52"/>
      <c r="CX1010" s="52"/>
      <c r="CY1010" s="52"/>
      <c r="CZ1010" s="52"/>
      <c r="DA1010" s="52"/>
      <c r="DB1010" s="52"/>
      <c r="DC1010" s="52"/>
      <c r="DD1010" s="52"/>
      <c r="DE1010" s="52"/>
      <c r="DF1010" s="52"/>
      <c r="DG1010" s="52"/>
      <c r="DH1010" s="52"/>
      <c r="DI1010" s="52"/>
      <c r="DJ1010" s="52"/>
      <c r="DK1010" s="52"/>
      <c r="DL1010" s="52"/>
      <c r="DM1010" s="52"/>
      <c r="DN1010" s="52"/>
      <c r="DO1010" s="52"/>
      <c r="DP1010" s="52"/>
      <c r="DQ1010" s="52"/>
      <c r="DR1010" s="52"/>
      <c r="DS1010" s="52"/>
      <c r="DT1010" s="52"/>
      <c r="DU1010" s="52"/>
      <c r="DV1010" s="52"/>
      <c r="DW1010" s="52"/>
      <c r="DX1010" s="52"/>
      <c r="DZ1010"/>
      <c r="EA1010" s="19"/>
      <c r="EB1010" s="19"/>
      <c r="EC1010" s="9"/>
      <c r="ED1010" s="9"/>
      <c r="EE1010" s="9"/>
      <c r="EF1010" s="9"/>
      <c r="EG1010" s="9"/>
      <c r="EH1010" s="13"/>
      <c r="EI1010" s="13"/>
      <c r="EJ1010" s="13"/>
      <c r="EK1010" s="13"/>
      <c r="EL1010" s="13"/>
      <c r="EM1010" s="13"/>
      <c r="EN1010" s="13"/>
      <c r="EO1010" s="13"/>
      <c r="EP1010" s="13"/>
      <c r="EQ1010" s="13"/>
      <c r="ER1010" s="13"/>
      <c r="ES1010" s="13"/>
      <c r="ET1010" s="13"/>
      <c r="EU1010" s="13"/>
      <c r="EV1010" s="13"/>
      <c r="EW1010" s="13"/>
      <c r="EX1010" s="13"/>
      <c r="EY1010" s="13"/>
      <c r="EZ1010" s="13"/>
      <c r="FA1010" s="13"/>
      <c r="FB1010" s="13"/>
      <c r="FC1010" s="13"/>
      <c r="FD1010" s="13"/>
      <c r="FE1010" s="13"/>
      <c r="FF1010" s="13"/>
      <c r="FG1010" s="13"/>
      <c r="FH1010" s="13"/>
      <c r="FI1010" s="13"/>
      <c r="FJ1010" s="13"/>
      <c r="FK1010" s="13"/>
      <c r="FL1010" s="13"/>
      <c r="FM1010" s="13"/>
      <c r="FN1010" s="13"/>
      <c r="FO1010" s="13"/>
      <c r="FP1010" s="13"/>
      <c r="FQ1010" s="13"/>
      <c r="FR1010" s="13"/>
      <c r="FS1010" s="13"/>
      <c r="FT1010" s="13"/>
      <c r="FU1010" s="13"/>
      <c r="FV1010" s="13"/>
      <c r="FW1010" s="13"/>
      <c r="FX1010" s="13"/>
      <c r="FY1010" s="13"/>
      <c r="FZ1010" s="13"/>
      <c r="GA1010" s="13"/>
    </row>
    <row r="1011" spans="1:183" s="43" customFormat="1" x14ac:dyDescent="0.25">
      <c r="A1011" s="2"/>
      <c r="B1011" s="2"/>
      <c r="C1011" s="9">
        <v>16</v>
      </c>
      <c r="D1011" s="9">
        <v>43</v>
      </c>
      <c r="E1011" s="9">
        <v>46</v>
      </c>
      <c r="F1011" s="9">
        <v>48</v>
      </c>
      <c r="G1011" s="9">
        <v>60</v>
      </c>
      <c r="H1011" s="9">
        <v>72</v>
      </c>
      <c r="J1011" s="9">
        <v>72</v>
      </c>
      <c r="L1011" s="39">
        <v>44349</v>
      </c>
      <c r="N1011"/>
      <c r="O1011"/>
      <c r="P1011"/>
      <c r="Q1011"/>
      <c r="R1011"/>
      <c r="S1011"/>
      <c r="T1011"/>
      <c r="U1011"/>
      <c r="V1011"/>
      <c r="W1011" s="52"/>
      <c r="Y1011"/>
      <c r="Z1011"/>
      <c r="AA1011"/>
      <c r="AB1011"/>
      <c r="AC1011"/>
      <c r="AD1011"/>
      <c r="AE1011"/>
      <c r="AF1011"/>
      <c r="AG1011"/>
      <c r="AH1011" s="52"/>
      <c r="AI1011" s="148"/>
      <c r="AJ1011" s="19"/>
      <c r="AK1011" s="19"/>
      <c r="AL1011" s="19"/>
      <c r="AM1011" s="19"/>
      <c r="AN1011" s="42"/>
      <c r="AO1011" s="54"/>
      <c r="AP1011" s="19"/>
      <c r="AQ1011" s="1"/>
      <c r="AR1011" s="74"/>
      <c r="AS1011" s="42"/>
      <c r="AT1011" s="54"/>
      <c r="AU1011" s="54"/>
      <c r="AV1011" s="19"/>
      <c r="AW1011" s="54"/>
      <c r="AX1011" s="57"/>
      <c r="AY1011" s="54"/>
      <c r="AZ1011" s="54"/>
      <c r="BA1011" s="54"/>
      <c r="BB1011" s="54"/>
      <c r="BC1011" s="57"/>
      <c r="BD1011" s="19"/>
      <c r="BE1011" s="19"/>
      <c r="BF1011" s="19"/>
      <c r="BG1011" s="54"/>
      <c r="BI1011" s="54"/>
      <c r="BJ1011" s="55"/>
      <c r="BK1011" s="55"/>
      <c r="BL1011" s="54"/>
      <c r="BM1011" s="56"/>
      <c r="BN1011" s="56"/>
      <c r="BO1011" s="52"/>
      <c r="BP1011" s="52"/>
      <c r="BQ1011" s="52"/>
      <c r="BR1011" s="52"/>
      <c r="BS1011" s="52"/>
      <c r="BT1011" s="52"/>
      <c r="BU1011" s="52"/>
      <c r="BV1011" s="52"/>
      <c r="BW1011" s="52"/>
      <c r="BX1011" s="52"/>
      <c r="BY1011" s="52"/>
      <c r="BZ1011" s="52"/>
      <c r="CA1011" s="52"/>
      <c r="CB1011" s="52"/>
      <c r="CC1011" s="52"/>
      <c r="CD1011" s="52"/>
      <c r="CE1011" s="52"/>
      <c r="CF1011" s="52"/>
      <c r="CG1011" s="52"/>
      <c r="CH1011" s="52"/>
      <c r="CI1011" s="52"/>
      <c r="CJ1011" s="52"/>
      <c r="CK1011" s="52"/>
      <c r="CL1011" s="52"/>
      <c r="CM1011" s="52"/>
      <c r="CN1011" s="52"/>
      <c r="CO1011" s="52"/>
      <c r="CP1011" s="52"/>
      <c r="CQ1011" s="52"/>
      <c r="CR1011" s="52"/>
      <c r="CS1011" s="52"/>
      <c r="CT1011" s="52"/>
      <c r="CU1011" s="52"/>
      <c r="CV1011" s="52"/>
      <c r="CW1011" s="52"/>
      <c r="CX1011" s="52"/>
      <c r="CY1011" s="52"/>
      <c r="CZ1011" s="52"/>
      <c r="DA1011" s="52"/>
      <c r="DB1011" s="52"/>
      <c r="DC1011" s="52"/>
      <c r="DD1011" s="52"/>
      <c r="DE1011" s="52"/>
      <c r="DF1011" s="52"/>
      <c r="DG1011" s="52"/>
      <c r="DH1011" s="52"/>
      <c r="DI1011" s="52"/>
      <c r="DJ1011" s="52"/>
      <c r="DK1011" s="52"/>
      <c r="DL1011" s="52"/>
      <c r="DM1011" s="52"/>
      <c r="DN1011" s="52"/>
      <c r="DO1011" s="52"/>
      <c r="DP1011" s="52"/>
      <c r="DQ1011" s="52"/>
      <c r="DR1011" s="52"/>
      <c r="DS1011" s="52"/>
      <c r="DT1011" s="52"/>
      <c r="DU1011" s="52"/>
      <c r="DV1011" s="52"/>
      <c r="DW1011" s="52"/>
      <c r="DX1011" s="52"/>
      <c r="DZ1011"/>
      <c r="EA1011" s="19"/>
      <c r="EB1011" s="19"/>
      <c r="EC1011" s="9"/>
      <c r="ED1011" s="9"/>
      <c r="EE1011" s="9"/>
      <c r="EF1011" s="9"/>
      <c r="EG1011" s="9"/>
      <c r="EH1011" s="13"/>
      <c r="EI1011" s="13"/>
      <c r="EJ1011" s="13"/>
      <c r="EK1011" s="13"/>
      <c r="EL1011" s="13"/>
      <c r="EM1011" s="13"/>
      <c r="EN1011" s="13"/>
      <c r="EO1011" s="13"/>
      <c r="EP1011" s="13"/>
      <c r="EQ1011" s="13"/>
      <c r="ER1011" s="13"/>
      <c r="ES1011" s="13"/>
      <c r="ET1011" s="13"/>
      <c r="EU1011" s="13"/>
      <c r="EV1011" s="13"/>
      <c r="EW1011" s="13"/>
      <c r="EX1011" s="13"/>
      <c r="EY1011" s="13"/>
      <c r="EZ1011" s="13"/>
      <c r="FA1011" s="13"/>
      <c r="FB1011" s="13"/>
      <c r="FC1011" s="13"/>
      <c r="FD1011" s="13"/>
      <c r="FE1011" s="13"/>
      <c r="FF1011" s="13"/>
      <c r="FG1011" s="13"/>
      <c r="FH1011" s="13"/>
      <c r="FI1011" s="13"/>
      <c r="FJ1011" s="13"/>
      <c r="FK1011" s="13"/>
      <c r="FL1011" s="13"/>
      <c r="FM1011" s="13"/>
      <c r="FN1011" s="13"/>
      <c r="FO1011" s="13"/>
      <c r="FP1011" s="13"/>
      <c r="FQ1011" s="13"/>
      <c r="FR1011" s="13"/>
      <c r="FS1011" s="13"/>
      <c r="FT1011" s="13"/>
      <c r="FU1011" s="13"/>
      <c r="FV1011" s="13"/>
      <c r="FW1011" s="13"/>
      <c r="FX1011" s="13"/>
      <c r="FY1011" s="13"/>
      <c r="FZ1011" s="13"/>
      <c r="GA1011" s="13"/>
    </row>
    <row r="1012" spans="1:183" s="43" customFormat="1" x14ac:dyDescent="0.25">
      <c r="A1012" s="2"/>
      <c r="B1012" s="2"/>
      <c r="C1012" s="9">
        <v>6</v>
      </c>
      <c r="D1012" s="9">
        <v>21</v>
      </c>
      <c r="E1012" s="9">
        <v>32</v>
      </c>
      <c r="F1012" s="9">
        <v>58</v>
      </c>
      <c r="G1012" s="9">
        <v>88</v>
      </c>
      <c r="H1012" s="9">
        <v>90</v>
      </c>
      <c r="J1012" s="9">
        <v>90</v>
      </c>
      <c r="L1012" s="39">
        <v>44347</v>
      </c>
      <c r="N1012"/>
      <c r="O1012"/>
      <c r="P1012"/>
      <c r="Q1012"/>
      <c r="R1012"/>
      <c r="S1012"/>
      <c r="T1012"/>
      <c r="U1012"/>
      <c r="V1012"/>
      <c r="W1012" s="52"/>
      <c r="Y1012"/>
      <c r="Z1012"/>
      <c r="AA1012"/>
      <c r="AB1012"/>
      <c r="AC1012"/>
      <c r="AD1012"/>
      <c r="AE1012"/>
      <c r="AF1012"/>
      <c r="AG1012"/>
      <c r="AH1012" s="52"/>
      <c r="AI1012" s="148"/>
      <c r="AJ1012" s="19"/>
      <c r="AK1012" s="19"/>
      <c r="AL1012" s="19"/>
      <c r="AM1012" s="19"/>
      <c r="AN1012" s="42"/>
      <c r="AO1012" s="54"/>
      <c r="AP1012" s="19"/>
      <c r="AQ1012" s="1"/>
      <c r="AR1012" s="74"/>
      <c r="AS1012" s="42"/>
      <c r="AT1012" s="54"/>
      <c r="AU1012" s="54"/>
      <c r="AV1012" s="19"/>
      <c r="AW1012" s="54"/>
      <c r="AX1012" s="57"/>
      <c r="AY1012" s="54"/>
      <c r="AZ1012" s="54"/>
      <c r="BA1012" s="54"/>
      <c r="BB1012" s="54"/>
      <c r="BC1012" s="57"/>
      <c r="BD1012" s="19"/>
      <c r="BE1012" s="19"/>
      <c r="BF1012" s="19"/>
      <c r="BG1012" s="54"/>
      <c r="BI1012" s="54"/>
      <c r="BJ1012" s="55"/>
      <c r="BK1012" s="55"/>
      <c r="BL1012" s="54"/>
      <c r="BM1012" s="56"/>
      <c r="BN1012" s="56"/>
      <c r="BO1012" s="52"/>
      <c r="BP1012" s="52"/>
      <c r="BQ1012" s="52"/>
      <c r="BR1012" s="52"/>
      <c r="BS1012" s="52"/>
      <c r="BT1012" s="52"/>
      <c r="BU1012" s="52"/>
      <c r="BV1012" s="52"/>
      <c r="BW1012" s="52"/>
      <c r="BX1012" s="52"/>
      <c r="BY1012" s="52"/>
      <c r="BZ1012" s="52"/>
      <c r="CA1012" s="52"/>
      <c r="CB1012" s="52"/>
      <c r="CC1012" s="52"/>
      <c r="CD1012" s="52"/>
      <c r="CE1012" s="52"/>
      <c r="CF1012" s="52"/>
      <c r="CG1012" s="52"/>
      <c r="CH1012" s="52"/>
      <c r="CI1012" s="52"/>
      <c r="CJ1012" s="52"/>
      <c r="CK1012" s="52"/>
      <c r="CL1012" s="52"/>
      <c r="CM1012" s="52"/>
      <c r="CN1012" s="52"/>
      <c r="CO1012" s="52"/>
      <c r="CP1012" s="52"/>
      <c r="CQ1012" s="52"/>
      <c r="CR1012" s="52"/>
      <c r="CS1012" s="52"/>
      <c r="CT1012" s="52"/>
      <c r="CU1012" s="52"/>
      <c r="CV1012" s="52"/>
      <c r="CW1012" s="52"/>
      <c r="CX1012" s="52"/>
      <c r="CY1012" s="52"/>
      <c r="CZ1012" s="52"/>
      <c r="DA1012" s="52"/>
      <c r="DB1012" s="52"/>
      <c r="DC1012" s="52"/>
      <c r="DD1012" s="52"/>
      <c r="DE1012" s="52"/>
      <c r="DF1012" s="52"/>
      <c r="DG1012" s="52"/>
      <c r="DH1012" s="52"/>
      <c r="DI1012" s="52"/>
      <c r="DJ1012" s="52"/>
      <c r="DK1012" s="52"/>
      <c r="DL1012" s="52"/>
      <c r="DM1012" s="52"/>
      <c r="DN1012" s="52"/>
      <c r="DO1012" s="52"/>
      <c r="DP1012" s="52"/>
      <c r="DQ1012" s="52"/>
      <c r="DR1012" s="52"/>
      <c r="DS1012" s="52"/>
      <c r="DT1012" s="52"/>
      <c r="DU1012" s="52"/>
      <c r="DV1012" s="52"/>
      <c r="DW1012" s="52"/>
      <c r="DX1012" s="52"/>
      <c r="DZ1012"/>
      <c r="EA1012" s="19"/>
      <c r="EB1012" s="19"/>
      <c r="EC1012" s="9"/>
      <c r="ED1012" s="9"/>
      <c r="EE1012" s="9"/>
      <c r="EF1012" s="9"/>
      <c r="EG1012" s="9"/>
      <c r="EH1012" s="13"/>
      <c r="EI1012" s="13"/>
      <c r="EJ1012" s="13"/>
      <c r="EK1012" s="13"/>
      <c r="EL1012" s="13"/>
      <c r="EM1012" s="13"/>
      <c r="EN1012" s="13"/>
      <c r="EO1012" s="13"/>
      <c r="EP1012" s="13"/>
      <c r="EQ1012" s="13"/>
      <c r="ER1012" s="13"/>
      <c r="ES1012" s="13"/>
      <c r="ET1012" s="13"/>
      <c r="EU1012" s="13"/>
      <c r="EV1012" s="13"/>
      <c r="EW1012" s="13"/>
      <c r="EX1012" s="13"/>
      <c r="EY1012" s="13"/>
      <c r="EZ1012" s="13"/>
      <c r="FA1012" s="13"/>
      <c r="FB1012" s="13"/>
      <c r="FC1012" s="13"/>
      <c r="FD1012" s="13"/>
      <c r="FE1012" s="13"/>
      <c r="FF1012" s="13"/>
      <c r="FG1012" s="13"/>
      <c r="FH1012" s="13"/>
      <c r="FI1012" s="13"/>
      <c r="FJ1012" s="13"/>
      <c r="FK1012" s="13"/>
      <c r="FL1012" s="13"/>
      <c r="FM1012" s="13"/>
      <c r="FN1012" s="13"/>
      <c r="FO1012" s="13"/>
      <c r="FP1012" s="13"/>
      <c r="FQ1012" s="13"/>
      <c r="FR1012" s="13"/>
      <c r="FS1012" s="13"/>
      <c r="FT1012" s="13"/>
      <c r="FU1012" s="13"/>
      <c r="FV1012" s="13"/>
      <c r="FW1012" s="13"/>
      <c r="FX1012" s="13"/>
      <c r="FY1012" s="13"/>
      <c r="FZ1012" s="13"/>
      <c r="GA1012" s="13"/>
    </row>
    <row r="1013" spans="1:183" s="43" customFormat="1" x14ac:dyDescent="0.25">
      <c r="A1013" s="2"/>
      <c r="B1013" s="2"/>
      <c r="C1013" s="9">
        <v>7</v>
      </c>
      <c r="D1013" s="9">
        <v>17</v>
      </c>
      <c r="E1013" s="9">
        <v>39</v>
      </c>
      <c r="F1013" s="9">
        <v>44</v>
      </c>
      <c r="G1013" s="9">
        <v>55</v>
      </c>
      <c r="H1013" s="9">
        <v>67</v>
      </c>
      <c r="J1013" s="9">
        <v>67</v>
      </c>
      <c r="L1013" s="39">
        <v>44345</v>
      </c>
      <c r="N1013"/>
      <c r="O1013"/>
      <c r="P1013"/>
      <c r="Q1013"/>
      <c r="R1013"/>
      <c r="S1013"/>
      <c r="T1013"/>
      <c r="U1013"/>
      <c r="V1013"/>
      <c r="W1013" s="52"/>
      <c r="Y1013"/>
      <c r="Z1013"/>
      <c r="AA1013"/>
      <c r="AB1013"/>
      <c r="AC1013"/>
      <c r="AD1013"/>
      <c r="AE1013"/>
      <c r="AF1013"/>
      <c r="AG1013"/>
      <c r="AH1013" s="52"/>
      <c r="AI1013" s="148"/>
      <c r="AJ1013" s="19"/>
      <c r="AK1013" s="19"/>
      <c r="AL1013" s="19"/>
      <c r="AM1013" s="19"/>
      <c r="AN1013" s="42"/>
      <c r="AO1013" s="54"/>
      <c r="AP1013" s="19"/>
      <c r="AQ1013" s="1"/>
      <c r="AR1013" s="74"/>
      <c r="AS1013" s="42"/>
      <c r="AT1013" s="54"/>
      <c r="AU1013" s="54"/>
      <c r="AV1013" s="19"/>
      <c r="AW1013" s="54"/>
      <c r="AX1013" s="57"/>
      <c r="AY1013" s="54"/>
      <c r="AZ1013" s="54"/>
      <c r="BA1013" s="54"/>
      <c r="BB1013" s="54"/>
      <c r="BC1013" s="57"/>
      <c r="BD1013" s="19"/>
      <c r="BE1013" s="19"/>
      <c r="BF1013" s="19"/>
      <c r="BG1013" s="54"/>
      <c r="BI1013" s="54"/>
      <c r="BJ1013" s="55"/>
      <c r="BK1013" s="55"/>
      <c r="BL1013" s="54"/>
      <c r="BM1013" s="56"/>
      <c r="BN1013" s="56"/>
      <c r="BO1013" s="52"/>
      <c r="BP1013" s="52"/>
      <c r="BQ1013" s="52"/>
      <c r="BR1013" s="52"/>
      <c r="BS1013" s="52"/>
      <c r="BT1013" s="52"/>
      <c r="BU1013" s="52"/>
      <c r="BV1013" s="52"/>
      <c r="BW1013" s="52"/>
      <c r="BX1013" s="52"/>
      <c r="BY1013" s="52"/>
      <c r="BZ1013" s="52"/>
      <c r="CA1013" s="52"/>
      <c r="CB1013" s="52"/>
      <c r="CC1013" s="52"/>
      <c r="CD1013" s="52"/>
      <c r="CE1013" s="52"/>
      <c r="CF1013" s="52"/>
      <c r="CG1013" s="52"/>
      <c r="CH1013" s="52"/>
      <c r="CI1013" s="52"/>
      <c r="CJ1013" s="52"/>
      <c r="CK1013" s="52"/>
      <c r="CL1013" s="52"/>
      <c r="CM1013" s="52"/>
      <c r="CN1013" s="52"/>
      <c r="CO1013" s="52"/>
      <c r="CP1013" s="52"/>
      <c r="CQ1013" s="52"/>
      <c r="CR1013" s="52"/>
      <c r="CS1013" s="52"/>
      <c r="CT1013" s="52"/>
      <c r="CU1013" s="52"/>
      <c r="CV1013" s="52"/>
      <c r="CW1013" s="52"/>
      <c r="CX1013" s="52"/>
      <c r="CY1013" s="52"/>
      <c r="CZ1013" s="52"/>
      <c r="DA1013" s="52"/>
      <c r="DB1013" s="52"/>
      <c r="DC1013" s="52"/>
      <c r="DD1013" s="52"/>
      <c r="DE1013" s="52"/>
      <c r="DF1013" s="52"/>
      <c r="DG1013" s="52"/>
      <c r="DH1013" s="52"/>
      <c r="DI1013" s="52"/>
      <c r="DJ1013" s="52"/>
      <c r="DK1013" s="52"/>
      <c r="DL1013" s="52"/>
      <c r="DM1013" s="52"/>
      <c r="DN1013" s="52"/>
      <c r="DO1013" s="52"/>
      <c r="DP1013" s="52"/>
      <c r="DQ1013" s="52"/>
      <c r="DR1013" s="52"/>
      <c r="DS1013" s="52"/>
      <c r="DT1013" s="52"/>
      <c r="DU1013" s="52"/>
      <c r="DV1013" s="52"/>
      <c r="DW1013" s="52"/>
      <c r="DX1013" s="52"/>
      <c r="DZ1013"/>
      <c r="EA1013" s="19"/>
      <c r="EB1013" s="19"/>
      <c r="EC1013" s="9"/>
      <c r="ED1013" s="9"/>
      <c r="EE1013" s="9"/>
      <c r="EF1013" s="9"/>
      <c r="EG1013" s="9"/>
      <c r="EH1013" s="13"/>
      <c r="EI1013" s="13"/>
      <c r="EJ1013" s="13"/>
      <c r="EK1013" s="13"/>
      <c r="EL1013" s="13"/>
      <c r="EM1013" s="13"/>
      <c r="EN1013" s="13"/>
      <c r="EO1013" s="13"/>
      <c r="EP1013" s="13"/>
      <c r="EQ1013" s="13"/>
      <c r="ER1013" s="13"/>
      <c r="ES1013" s="13"/>
      <c r="ET1013" s="13"/>
      <c r="EU1013" s="13"/>
      <c r="EV1013" s="13"/>
      <c r="EW1013" s="13"/>
      <c r="EX1013" s="13"/>
      <c r="EY1013" s="13"/>
      <c r="EZ1013" s="13"/>
      <c r="FA1013" s="13"/>
      <c r="FB1013" s="13"/>
      <c r="FC1013" s="13"/>
      <c r="FD1013" s="13"/>
      <c r="FE1013" s="13"/>
      <c r="FF1013" s="13"/>
      <c r="FG1013" s="13"/>
      <c r="FH1013" s="13"/>
      <c r="FI1013" s="13"/>
      <c r="FJ1013" s="13"/>
      <c r="FK1013" s="13"/>
      <c r="FL1013" s="13"/>
      <c r="FM1013" s="13"/>
      <c r="FN1013" s="13"/>
      <c r="FO1013" s="13"/>
      <c r="FP1013" s="13"/>
      <c r="FQ1013" s="13"/>
      <c r="FR1013" s="13"/>
      <c r="FS1013" s="13"/>
      <c r="FT1013" s="13"/>
      <c r="FU1013" s="13"/>
      <c r="FV1013" s="13"/>
      <c r="FW1013" s="13"/>
      <c r="FX1013" s="13"/>
      <c r="FY1013" s="13"/>
      <c r="FZ1013" s="13"/>
      <c r="GA1013" s="13"/>
    </row>
    <row r="1014" spans="1:183" s="43" customFormat="1" x14ac:dyDescent="0.25">
      <c r="A1014" s="2"/>
      <c r="B1014" s="2"/>
      <c r="C1014" s="9">
        <v>47</v>
      </c>
      <c r="D1014" s="9">
        <v>48</v>
      </c>
      <c r="E1014" s="9">
        <v>49</v>
      </c>
      <c r="F1014" s="9">
        <v>52</v>
      </c>
      <c r="G1014" s="9">
        <v>58</v>
      </c>
      <c r="H1014" s="9">
        <v>85</v>
      </c>
      <c r="J1014" s="9">
        <v>85</v>
      </c>
      <c r="L1014" s="39">
        <v>44342</v>
      </c>
      <c r="N1014"/>
      <c r="O1014"/>
      <c r="P1014"/>
      <c r="Q1014"/>
      <c r="R1014"/>
      <c r="S1014"/>
      <c r="T1014"/>
      <c r="U1014"/>
      <c r="V1014"/>
      <c r="W1014" s="52"/>
      <c r="Y1014"/>
      <c r="Z1014"/>
      <c r="AA1014"/>
      <c r="AB1014"/>
      <c r="AC1014"/>
      <c r="AD1014"/>
      <c r="AE1014"/>
      <c r="AF1014"/>
      <c r="AG1014"/>
      <c r="AH1014" s="52"/>
      <c r="AI1014" s="148"/>
      <c r="AJ1014" s="19"/>
      <c r="AK1014" s="19"/>
      <c r="AL1014" s="19"/>
      <c r="AM1014" s="19"/>
      <c r="AN1014" s="42"/>
      <c r="AO1014" s="54"/>
      <c r="AP1014" s="19"/>
      <c r="AQ1014" s="1"/>
      <c r="AR1014" s="74"/>
      <c r="AS1014" s="42"/>
      <c r="AT1014" s="54"/>
      <c r="AU1014" s="54"/>
      <c r="AV1014" s="19"/>
      <c r="AW1014" s="54"/>
      <c r="AX1014" s="57"/>
      <c r="AY1014" s="54"/>
      <c r="AZ1014" s="54"/>
      <c r="BA1014" s="54"/>
      <c r="BB1014" s="54"/>
      <c r="BC1014" s="57"/>
      <c r="BD1014" s="19"/>
      <c r="BE1014" s="19"/>
      <c r="BF1014" s="19"/>
      <c r="BG1014" s="54"/>
      <c r="BI1014" s="54"/>
      <c r="BJ1014" s="55"/>
      <c r="BK1014" s="55"/>
      <c r="BL1014" s="54"/>
      <c r="BM1014" s="56"/>
      <c r="BN1014" s="56"/>
      <c r="BO1014" s="52"/>
      <c r="BP1014" s="52"/>
      <c r="BQ1014" s="52"/>
      <c r="BR1014" s="52"/>
      <c r="BS1014" s="52"/>
      <c r="BT1014" s="52"/>
      <c r="BU1014" s="52"/>
      <c r="BV1014" s="52"/>
      <c r="BW1014" s="52"/>
      <c r="BX1014" s="52"/>
      <c r="BY1014" s="52"/>
      <c r="BZ1014" s="52"/>
      <c r="CA1014" s="52"/>
      <c r="CB1014" s="52"/>
      <c r="CC1014" s="52"/>
      <c r="CD1014" s="52"/>
      <c r="CE1014" s="52"/>
      <c r="CF1014" s="52"/>
      <c r="CG1014" s="52"/>
      <c r="CH1014" s="52"/>
      <c r="CI1014" s="52"/>
      <c r="CJ1014" s="52"/>
      <c r="CK1014" s="52"/>
      <c r="CL1014" s="52"/>
      <c r="CM1014" s="52"/>
      <c r="CN1014" s="52"/>
      <c r="CO1014" s="52"/>
      <c r="CP1014" s="52"/>
      <c r="CQ1014" s="52"/>
      <c r="CR1014" s="52"/>
      <c r="CS1014" s="52"/>
      <c r="CT1014" s="52"/>
      <c r="CU1014" s="52"/>
      <c r="CV1014" s="52"/>
      <c r="CW1014" s="52"/>
      <c r="CX1014" s="52"/>
      <c r="CY1014" s="52"/>
      <c r="CZ1014" s="52"/>
      <c r="DA1014" s="52"/>
      <c r="DB1014" s="52"/>
      <c r="DC1014" s="52"/>
      <c r="DD1014" s="52"/>
      <c r="DE1014" s="52"/>
      <c r="DF1014" s="52"/>
      <c r="DG1014" s="52"/>
      <c r="DH1014" s="52"/>
      <c r="DI1014" s="52"/>
      <c r="DJ1014" s="52"/>
      <c r="DK1014" s="52"/>
      <c r="DL1014" s="52"/>
      <c r="DM1014" s="52"/>
      <c r="DN1014" s="52"/>
      <c r="DO1014" s="52"/>
      <c r="DP1014" s="52"/>
      <c r="DQ1014" s="52"/>
      <c r="DR1014" s="52"/>
      <c r="DS1014" s="52"/>
      <c r="DT1014" s="52"/>
      <c r="DU1014" s="52"/>
      <c r="DV1014" s="52"/>
      <c r="DW1014" s="52"/>
      <c r="DX1014" s="52"/>
      <c r="DZ1014"/>
      <c r="EA1014" s="19"/>
      <c r="EB1014" s="19"/>
      <c r="EC1014" s="9"/>
      <c r="ED1014" s="9"/>
      <c r="EE1014" s="9"/>
      <c r="EF1014" s="9"/>
      <c r="EG1014" s="9"/>
      <c r="EH1014" s="13"/>
      <c r="EI1014" s="13"/>
      <c r="EJ1014" s="13"/>
      <c r="EK1014" s="13"/>
      <c r="EL1014" s="13"/>
      <c r="EM1014" s="13"/>
      <c r="EN1014" s="13"/>
      <c r="EO1014" s="13"/>
      <c r="EP1014" s="13"/>
      <c r="EQ1014" s="13"/>
      <c r="ER1014" s="13"/>
      <c r="ES1014" s="13"/>
      <c r="ET1014" s="13"/>
      <c r="EU1014" s="13"/>
      <c r="EV1014" s="13"/>
      <c r="EW1014" s="13"/>
      <c r="EX1014" s="13"/>
      <c r="EY1014" s="13"/>
      <c r="EZ1014" s="13"/>
      <c r="FA1014" s="13"/>
      <c r="FB1014" s="13"/>
      <c r="FC1014" s="13"/>
      <c r="FD1014" s="13"/>
      <c r="FE1014" s="13"/>
      <c r="FF1014" s="13"/>
      <c r="FG1014" s="13"/>
      <c r="FH1014" s="13"/>
      <c r="FI1014" s="13"/>
      <c r="FJ1014" s="13"/>
      <c r="FK1014" s="13"/>
      <c r="FL1014" s="13"/>
      <c r="FM1014" s="13"/>
      <c r="FN1014" s="13"/>
      <c r="FO1014" s="13"/>
      <c r="FP1014" s="13"/>
      <c r="FQ1014" s="13"/>
      <c r="FR1014" s="13"/>
      <c r="FS1014" s="13"/>
      <c r="FT1014" s="13"/>
      <c r="FU1014" s="13"/>
      <c r="FV1014" s="13"/>
      <c r="FW1014" s="13"/>
      <c r="FX1014" s="13"/>
      <c r="FY1014" s="13"/>
      <c r="FZ1014" s="13"/>
      <c r="GA1014" s="13"/>
    </row>
    <row r="1015" spans="1:183" s="43" customFormat="1" x14ac:dyDescent="0.25">
      <c r="A1015" s="2"/>
      <c r="B1015" s="2"/>
      <c r="C1015" s="9">
        <v>7</v>
      </c>
      <c r="D1015" s="9">
        <v>16</v>
      </c>
      <c r="E1015" s="9">
        <v>59</v>
      </c>
      <c r="F1015" s="9">
        <v>69</v>
      </c>
      <c r="G1015" s="9">
        <v>78</v>
      </c>
      <c r="H1015" s="9">
        <v>89</v>
      </c>
      <c r="J1015" s="9">
        <v>89</v>
      </c>
      <c r="L1015" s="39">
        <v>44340</v>
      </c>
      <c r="N1015"/>
      <c r="O1015"/>
      <c r="P1015"/>
      <c r="Q1015"/>
      <c r="R1015"/>
      <c r="S1015"/>
      <c r="T1015"/>
      <c r="U1015"/>
      <c r="V1015"/>
      <c r="W1015" s="52"/>
      <c r="Y1015"/>
      <c r="Z1015"/>
      <c r="AA1015"/>
      <c r="AB1015"/>
      <c r="AC1015"/>
      <c r="AD1015"/>
      <c r="AE1015"/>
      <c r="AF1015"/>
      <c r="AG1015"/>
      <c r="AH1015" s="52"/>
      <c r="AI1015" s="148"/>
      <c r="AJ1015" s="19"/>
      <c r="AK1015" s="19"/>
      <c r="AL1015" s="19"/>
      <c r="AM1015" s="19"/>
      <c r="AN1015" s="42"/>
      <c r="AO1015" s="54"/>
      <c r="AP1015" s="19"/>
      <c r="AQ1015" s="1"/>
      <c r="AR1015" s="74"/>
      <c r="AS1015" s="42"/>
      <c r="AT1015" s="54"/>
      <c r="AU1015" s="54"/>
      <c r="AV1015" s="19"/>
      <c r="AW1015" s="54"/>
      <c r="AX1015" s="57"/>
      <c r="AY1015" s="54"/>
      <c r="AZ1015" s="54"/>
      <c r="BA1015" s="54"/>
      <c r="BB1015" s="54"/>
      <c r="BC1015" s="57"/>
      <c r="BD1015" s="19"/>
      <c r="BE1015" s="19"/>
      <c r="BF1015" s="19"/>
      <c r="BG1015" s="54"/>
      <c r="BI1015" s="54"/>
      <c r="BJ1015" s="55"/>
      <c r="BK1015" s="55"/>
      <c r="BL1015" s="54"/>
      <c r="BM1015" s="56"/>
      <c r="BN1015" s="56"/>
      <c r="BO1015" s="52"/>
      <c r="BP1015" s="52"/>
      <c r="BQ1015" s="52"/>
      <c r="BR1015" s="52"/>
      <c r="BS1015" s="52"/>
      <c r="BT1015" s="52"/>
      <c r="BU1015" s="52"/>
      <c r="BV1015" s="52"/>
      <c r="BW1015" s="52"/>
      <c r="BX1015" s="52"/>
      <c r="BY1015" s="52"/>
      <c r="BZ1015" s="52"/>
      <c r="CA1015" s="52"/>
      <c r="CB1015" s="52"/>
      <c r="CC1015" s="52"/>
      <c r="CD1015" s="52"/>
      <c r="CE1015" s="52"/>
      <c r="CF1015" s="52"/>
      <c r="CG1015" s="52"/>
      <c r="CH1015" s="52"/>
      <c r="CI1015" s="52"/>
      <c r="CJ1015" s="52"/>
      <c r="CK1015" s="52"/>
      <c r="CL1015" s="52"/>
      <c r="CM1015" s="52"/>
      <c r="CN1015" s="52"/>
      <c r="CO1015" s="52"/>
      <c r="CP1015" s="52"/>
      <c r="CQ1015" s="52"/>
      <c r="CR1015" s="52"/>
      <c r="CS1015" s="52"/>
      <c r="CT1015" s="52"/>
      <c r="CU1015" s="52"/>
      <c r="CV1015" s="52"/>
      <c r="CW1015" s="52"/>
      <c r="CX1015" s="52"/>
      <c r="CY1015" s="52"/>
      <c r="CZ1015" s="52"/>
      <c r="DA1015" s="52"/>
      <c r="DB1015" s="52"/>
      <c r="DC1015" s="52"/>
      <c r="DD1015" s="52"/>
      <c r="DE1015" s="52"/>
      <c r="DF1015" s="52"/>
      <c r="DG1015" s="52"/>
      <c r="DH1015" s="52"/>
      <c r="DI1015" s="52"/>
      <c r="DJ1015" s="52"/>
      <c r="DK1015" s="52"/>
      <c r="DL1015" s="52"/>
      <c r="DM1015" s="52"/>
      <c r="DN1015" s="52"/>
      <c r="DO1015" s="52"/>
      <c r="DP1015" s="52"/>
      <c r="DQ1015" s="52"/>
      <c r="DR1015" s="52"/>
      <c r="DS1015" s="52"/>
      <c r="DT1015" s="52"/>
      <c r="DU1015" s="52"/>
      <c r="DV1015" s="52"/>
      <c r="DW1015" s="52"/>
      <c r="DX1015" s="52"/>
      <c r="DZ1015"/>
      <c r="EA1015" s="19"/>
      <c r="EB1015" s="19"/>
      <c r="EC1015" s="9"/>
      <c r="ED1015" s="9"/>
      <c r="EE1015" s="9"/>
      <c r="EF1015" s="9"/>
      <c r="EG1015" s="9"/>
      <c r="EH1015" s="13"/>
      <c r="EI1015" s="13"/>
      <c r="EJ1015" s="13"/>
      <c r="EK1015" s="13"/>
      <c r="EL1015" s="13"/>
      <c r="EM1015" s="13"/>
      <c r="EN1015" s="13"/>
      <c r="EO1015" s="13"/>
      <c r="EP1015" s="13"/>
      <c r="EQ1015" s="13"/>
      <c r="ER1015" s="13"/>
      <c r="ES1015" s="13"/>
      <c r="ET1015" s="13"/>
      <c r="EU1015" s="13"/>
      <c r="EV1015" s="13"/>
      <c r="EW1015" s="13"/>
      <c r="EX1015" s="13"/>
      <c r="EY1015" s="13"/>
      <c r="EZ1015" s="13"/>
      <c r="FA1015" s="13"/>
      <c r="FB1015" s="13"/>
      <c r="FC1015" s="13"/>
      <c r="FD1015" s="13"/>
      <c r="FE1015" s="13"/>
      <c r="FF1015" s="13"/>
      <c r="FG1015" s="13"/>
      <c r="FH1015" s="13"/>
      <c r="FI1015" s="13"/>
      <c r="FJ1015" s="13"/>
      <c r="FK1015" s="13"/>
      <c r="FL1015" s="13"/>
      <c r="FM1015" s="13"/>
      <c r="FN1015" s="13"/>
      <c r="FO1015" s="13"/>
      <c r="FP1015" s="13"/>
      <c r="FQ1015" s="13"/>
      <c r="FR1015" s="13"/>
      <c r="FS1015" s="13"/>
      <c r="FT1015" s="13"/>
      <c r="FU1015" s="13"/>
      <c r="FV1015" s="13"/>
      <c r="FW1015" s="13"/>
      <c r="FX1015" s="13"/>
      <c r="FY1015" s="13"/>
      <c r="FZ1015" s="13"/>
      <c r="GA1015" s="13"/>
    </row>
    <row r="1016" spans="1:183" s="43" customFormat="1" x14ac:dyDescent="0.25">
      <c r="A1016" s="2"/>
      <c r="B1016" s="2"/>
      <c r="C1016" s="9">
        <v>1</v>
      </c>
      <c r="D1016" s="9">
        <v>11</v>
      </c>
      <c r="E1016" s="9">
        <v>56</v>
      </c>
      <c r="F1016" s="9">
        <v>59</v>
      </c>
      <c r="G1016" s="9">
        <v>80</v>
      </c>
      <c r="H1016" s="9">
        <v>81</v>
      </c>
      <c r="J1016" s="9">
        <v>81</v>
      </c>
      <c r="L1016" s="39">
        <v>44338</v>
      </c>
      <c r="N1016"/>
      <c r="O1016"/>
      <c r="P1016"/>
      <c r="Q1016"/>
      <c r="R1016"/>
      <c r="S1016"/>
      <c r="T1016"/>
      <c r="U1016"/>
      <c r="V1016"/>
      <c r="W1016" s="52"/>
      <c r="Y1016"/>
      <c r="Z1016"/>
      <c r="AA1016"/>
      <c r="AB1016"/>
      <c r="AC1016"/>
      <c r="AD1016"/>
      <c r="AE1016"/>
      <c r="AF1016"/>
      <c r="AG1016"/>
      <c r="AH1016" s="52"/>
      <c r="AI1016" s="148"/>
      <c r="AJ1016" s="19"/>
      <c r="AK1016" s="19"/>
      <c r="AL1016" s="19"/>
      <c r="AM1016" s="19"/>
      <c r="AN1016" s="42"/>
      <c r="AO1016" s="54"/>
      <c r="AP1016" s="19"/>
      <c r="AQ1016" s="1"/>
      <c r="AR1016" s="74"/>
      <c r="AS1016" s="42"/>
      <c r="AT1016" s="54"/>
      <c r="AU1016" s="54"/>
      <c r="AV1016" s="19"/>
      <c r="AW1016" s="54"/>
      <c r="AX1016" s="57"/>
      <c r="AY1016" s="54"/>
      <c r="AZ1016" s="54"/>
      <c r="BA1016" s="54"/>
      <c r="BB1016" s="54"/>
      <c r="BC1016" s="57"/>
      <c r="BD1016" s="19"/>
      <c r="BE1016" s="19"/>
      <c r="BF1016" s="19"/>
      <c r="BG1016" s="54"/>
      <c r="BI1016" s="54"/>
      <c r="BJ1016" s="55"/>
      <c r="BK1016" s="55"/>
      <c r="BL1016" s="54"/>
      <c r="BM1016" s="56"/>
      <c r="BN1016" s="56"/>
      <c r="BO1016" s="52"/>
      <c r="BP1016" s="52"/>
      <c r="BQ1016" s="52"/>
      <c r="BR1016" s="52"/>
      <c r="BS1016" s="52"/>
      <c r="BT1016" s="52"/>
      <c r="BU1016" s="52"/>
      <c r="BV1016" s="52"/>
      <c r="BW1016" s="52"/>
      <c r="BX1016" s="52"/>
      <c r="BY1016" s="52"/>
      <c r="BZ1016" s="52"/>
      <c r="CA1016" s="52"/>
      <c r="CB1016" s="52"/>
      <c r="CC1016" s="52"/>
      <c r="CD1016" s="52"/>
      <c r="CE1016" s="52"/>
      <c r="CF1016" s="52"/>
      <c r="CG1016" s="52"/>
      <c r="CH1016" s="52"/>
      <c r="CI1016" s="52"/>
      <c r="CJ1016" s="52"/>
      <c r="CK1016" s="52"/>
      <c r="CL1016" s="52"/>
      <c r="CM1016" s="52"/>
      <c r="CN1016" s="52"/>
      <c r="CO1016" s="52"/>
      <c r="CP1016" s="52"/>
      <c r="CQ1016" s="52"/>
      <c r="CR1016" s="52"/>
      <c r="CS1016" s="52"/>
      <c r="CT1016" s="52"/>
      <c r="CU1016" s="52"/>
      <c r="CV1016" s="52"/>
      <c r="CW1016" s="52"/>
      <c r="CX1016" s="52"/>
      <c r="CY1016" s="52"/>
      <c r="CZ1016" s="52"/>
      <c r="DA1016" s="52"/>
      <c r="DB1016" s="52"/>
      <c r="DC1016" s="52"/>
      <c r="DD1016" s="52"/>
      <c r="DE1016" s="52"/>
      <c r="DF1016" s="52"/>
      <c r="DG1016" s="52"/>
      <c r="DH1016" s="52"/>
      <c r="DI1016" s="52"/>
      <c r="DJ1016" s="52"/>
      <c r="DK1016" s="52"/>
      <c r="DL1016" s="52"/>
      <c r="DM1016" s="52"/>
      <c r="DN1016" s="52"/>
      <c r="DO1016" s="52"/>
      <c r="DP1016" s="52"/>
      <c r="DQ1016" s="52"/>
      <c r="DR1016" s="52"/>
      <c r="DS1016" s="52"/>
      <c r="DT1016" s="52"/>
      <c r="DU1016" s="52"/>
      <c r="DV1016" s="52"/>
      <c r="DW1016" s="52"/>
      <c r="DX1016" s="52"/>
      <c r="DZ1016"/>
      <c r="EA1016" s="19"/>
      <c r="EB1016" s="19"/>
      <c r="EC1016" s="9"/>
      <c r="ED1016" s="9"/>
      <c r="EE1016" s="9"/>
      <c r="EF1016" s="9"/>
      <c r="EG1016" s="9"/>
      <c r="EH1016" s="13"/>
      <c r="EI1016" s="13"/>
      <c r="EJ1016" s="13"/>
      <c r="EK1016" s="13"/>
      <c r="EL1016" s="13"/>
      <c r="EM1016" s="13"/>
      <c r="EN1016" s="13"/>
      <c r="EO1016" s="13"/>
      <c r="EP1016" s="13"/>
      <c r="EQ1016" s="13"/>
      <c r="ER1016" s="13"/>
      <c r="ES1016" s="13"/>
      <c r="ET1016" s="13"/>
      <c r="EU1016" s="13"/>
      <c r="EV1016" s="13"/>
      <c r="EW1016" s="13"/>
      <c r="EX1016" s="13"/>
      <c r="EY1016" s="13"/>
      <c r="EZ1016" s="13"/>
      <c r="FA1016" s="13"/>
      <c r="FB1016" s="13"/>
      <c r="FC1016" s="13"/>
      <c r="FD1016" s="13"/>
      <c r="FE1016" s="13"/>
      <c r="FF1016" s="13"/>
      <c r="FG1016" s="13"/>
      <c r="FH1016" s="13"/>
      <c r="FI1016" s="13"/>
      <c r="FJ1016" s="13"/>
      <c r="FK1016" s="13"/>
      <c r="FL1016" s="13"/>
      <c r="FM1016" s="13"/>
      <c r="FN1016" s="13"/>
      <c r="FO1016" s="13"/>
      <c r="FP1016" s="13"/>
      <c r="FQ1016" s="13"/>
      <c r="FR1016" s="13"/>
      <c r="FS1016" s="13"/>
      <c r="FT1016" s="13"/>
      <c r="FU1016" s="13"/>
      <c r="FV1016" s="13"/>
      <c r="FW1016" s="13"/>
      <c r="FX1016" s="13"/>
      <c r="FY1016" s="13"/>
      <c r="FZ1016" s="13"/>
      <c r="GA1016" s="13"/>
    </row>
    <row r="1017" spans="1:183" s="43" customFormat="1" x14ac:dyDescent="0.25">
      <c r="A1017" s="2"/>
      <c r="B1017" s="2"/>
      <c r="C1017" s="9">
        <v>10</v>
      </c>
      <c r="D1017" s="9">
        <v>11</v>
      </c>
      <c r="E1017" s="9">
        <v>24</v>
      </c>
      <c r="F1017" s="9">
        <v>53</v>
      </c>
      <c r="G1017" s="9">
        <v>71</v>
      </c>
      <c r="H1017" s="9">
        <v>90</v>
      </c>
      <c r="J1017" s="9">
        <v>90</v>
      </c>
      <c r="L1017" s="39">
        <v>44335</v>
      </c>
      <c r="N1017"/>
      <c r="O1017"/>
      <c r="P1017"/>
      <c r="Q1017"/>
      <c r="R1017"/>
      <c r="S1017"/>
      <c r="T1017"/>
      <c r="U1017"/>
      <c r="V1017"/>
      <c r="W1017" s="52"/>
      <c r="Y1017"/>
      <c r="Z1017"/>
      <c r="AA1017"/>
      <c r="AB1017"/>
      <c r="AC1017"/>
      <c r="AD1017"/>
      <c r="AE1017"/>
      <c r="AF1017"/>
      <c r="AG1017"/>
      <c r="AH1017" s="52"/>
      <c r="AI1017" s="148"/>
      <c r="AJ1017" s="19"/>
      <c r="AK1017" s="19"/>
      <c r="AL1017" s="19"/>
      <c r="AM1017" s="19"/>
      <c r="AN1017" s="42"/>
      <c r="AO1017" s="54"/>
      <c r="AP1017" s="19"/>
      <c r="AQ1017" s="1"/>
      <c r="AR1017" s="74"/>
      <c r="AS1017" s="42"/>
      <c r="AT1017" s="54"/>
      <c r="AU1017" s="54"/>
      <c r="AV1017" s="19"/>
      <c r="AW1017" s="54"/>
      <c r="AX1017" s="57"/>
      <c r="AY1017" s="54"/>
      <c r="AZ1017" s="54"/>
      <c r="BA1017" s="54"/>
      <c r="BB1017" s="54"/>
      <c r="BC1017" s="57"/>
      <c r="BD1017" s="19"/>
      <c r="BE1017" s="19"/>
      <c r="BF1017" s="19"/>
      <c r="BG1017" s="54"/>
      <c r="BI1017" s="54"/>
      <c r="BJ1017" s="55"/>
      <c r="BK1017" s="55"/>
      <c r="BL1017" s="54"/>
      <c r="BM1017" s="56"/>
      <c r="BN1017" s="56"/>
      <c r="BO1017" s="52"/>
      <c r="BP1017" s="52"/>
      <c r="BQ1017" s="52"/>
      <c r="BR1017" s="52"/>
      <c r="BS1017" s="52"/>
      <c r="BT1017" s="52"/>
      <c r="BU1017" s="52"/>
      <c r="BV1017" s="52"/>
      <c r="BW1017" s="52"/>
      <c r="BX1017" s="52"/>
      <c r="BY1017" s="52"/>
      <c r="BZ1017" s="52"/>
      <c r="CA1017" s="52"/>
      <c r="CB1017" s="52"/>
      <c r="CC1017" s="52"/>
      <c r="CD1017" s="52"/>
      <c r="CE1017" s="52"/>
      <c r="CF1017" s="52"/>
      <c r="CG1017" s="52"/>
      <c r="CH1017" s="52"/>
      <c r="CI1017" s="52"/>
      <c r="CJ1017" s="52"/>
      <c r="CK1017" s="52"/>
      <c r="CL1017" s="52"/>
      <c r="CM1017" s="52"/>
      <c r="CN1017" s="52"/>
      <c r="CO1017" s="52"/>
      <c r="CP1017" s="52"/>
      <c r="CQ1017" s="52"/>
      <c r="CR1017" s="52"/>
      <c r="CS1017" s="52"/>
      <c r="CT1017" s="52"/>
      <c r="CU1017" s="52"/>
      <c r="CV1017" s="52"/>
      <c r="CW1017" s="52"/>
      <c r="CX1017" s="52"/>
      <c r="CY1017" s="52"/>
      <c r="CZ1017" s="52"/>
      <c r="DA1017" s="52"/>
      <c r="DB1017" s="52"/>
      <c r="DC1017" s="52"/>
      <c r="DD1017" s="52"/>
      <c r="DE1017" s="52"/>
      <c r="DF1017" s="52"/>
      <c r="DG1017" s="52"/>
      <c r="DH1017" s="52"/>
      <c r="DI1017" s="52"/>
      <c r="DJ1017" s="52"/>
      <c r="DK1017" s="52"/>
      <c r="DL1017" s="52"/>
      <c r="DM1017" s="52"/>
      <c r="DN1017" s="52"/>
      <c r="DO1017" s="52"/>
      <c r="DP1017" s="52"/>
      <c r="DQ1017" s="52"/>
      <c r="DR1017" s="52"/>
      <c r="DS1017" s="52"/>
      <c r="DT1017" s="52"/>
      <c r="DU1017" s="52"/>
      <c r="DV1017" s="52"/>
      <c r="DW1017" s="52"/>
      <c r="DX1017" s="52"/>
      <c r="DZ1017"/>
      <c r="EA1017" s="19"/>
      <c r="EB1017" s="19"/>
      <c r="EC1017" s="9"/>
      <c r="ED1017" s="9"/>
      <c r="EE1017" s="9"/>
      <c r="EF1017" s="9"/>
      <c r="EG1017" s="9"/>
      <c r="EH1017" s="13"/>
      <c r="EI1017" s="13"/>
      <c r="EJ1017" s="13"/>
      <c r="EK1017" s="13"/>
      <c r="EL1017" s="13"/>
      <c r="EM1017" s="13"/>
      <c r="EN1017" s="13"/>
      <c r="EO1017" s="13"/>
      <c r="EP1017" s="13"/>
      <c r="EQ1017" s="13"/>
      <c r="ER1017" s="13"/>
      <c r="ES1017" s="13"/>
      <c r="ET1017" s="13"/>
      <c r="EU1017" s="13"/>
      <c r="EV1017" s="13"/>
      <c r="EW1017" s="13"/>
      <c r="EX1017" s="13"/>
      <c r="EY1017" s="13"/>
      <c r="EZ1017" s="13"/>
      <c r="FA1017" s="13"/>
      <c r="FB1017" s="13"/>
      <c r="FC1017" s="13"/>
      <c r="FD1017" s="13"/>
      <c r="FE1017" s="13"/>
      <c r="FF1017" s="13"/>
      <c r="FG1017" s="13"/>
      <c r="FH1017" s="13"/>
      <c r="FI1017" s="13"/>
      <c r="FJ1017" s="13"/>
      <c r="FK1017" s="13"/>
      <c r="FL1017" s="13"/>
      <c r="FM1017" s="13"/>
      <c r="FN1017" s="13"/>
      <c r="FO1017" s="13"/>
      <c r="FP1017" s="13"/>
      <c r="FQ1017" s="13"/>
      <c r="FR1017" s="13"/>
      <c r="FS1017" s="13"/>
      <c r="FT1017" s="13"/>
      <c r="FU1017" s="13"/>
      <c r="FV1017" s="13"/>
      <c r="FW1017" s="13"/>
      <c r="FX1017" s="13"/>
      <c r="FY1017" s="13"/>
      <c r="FZ1017" s="13"/>
      <c r="GA1017" s="13"/>
    </row>
    <row r="1018" spans="1:183" s="43" customFormat="1" x14ac:dyDescent="0.25">
      <c r="A1018" s="2"/>
      <c r="B1018" s="2"/>
      <c r="C1018" s="9">
        <v>21</v>
      </c>
      <c r="D1018" s="9">
        <v>46</v>
      </c>
      <c r="E1018" s="9">
        <v>48</v>
      </c>
      <c r="F1018" s="9">
        <v>62</v>
      </c>
      <c r="G1018" s="9">
        <v>89</v>
      </c>
      <c r="H1018" s="9">
        <v>90</v>
      </c>
      <c r="J1018" s="9">
        <v>90</v>
      </c>
      <c r="L1018" s="39">
        <v>44333</v>
      </c>
      <c r="N1018"/>
      <c r="O1018"/>
      <c r="P1018"/>
      <c r="Q1018"/>
      <c r="R1018"/>
      <c r="S1018"/>
      <c r="T1018"/>
      <c r="U1018"/>
      <c r="V1018"/>
      <c r="W1018" s="52"/>
      <c r="Y1018"/>
      <c r="Z1018"/>
      <c r="AA1018"/>
      <c r="AB1018"/>
      <c r="AC1018"/>
      <c r="AD1018"/>
      <c r="AE1018"/>
      <c r="AF1018"/>
      <c r="AG1018"/>
      <c r="AH1018" s="52"/>
      <c r="AI1018" s="148"/>
      <c r="AJ1018" s="19"/>
      <c r="AK1018" s="19"/>
      <c r="AL1018" s="19"/>
      <c r="AM1018" s="19"/>
      <c r="AN1018" s="42"/>
      <c r="AO1018" s="54"/>
      <c r="AP1018" s="19"/>
      <c r="AQ1018" s="1"/>
      <c r="AR1018" s="74"/>
      <c r="AS1018" s="42"/>
      <c r="AT1018" s="54"/>
      <c r="AU1018" s="54"/>
      <c r="AV1018" s="19"/>
      <c r="AW1018" s="54"/>
      <c r="AX1018" s="57"/>
      <c r="AY1018" s="54"/>
      <c r="AZ1018" s="54"/>
      <c r="BA1018" s="54"/>
      <c r="BB1018" s="54"/>
      <c r="BC1018" s="57"/>
      <c r="BD1018" s="19"/>
      <c r="BE1018" s="19"/>
      <c r="BF1018" s="19"/>
      <c r="BG1018" s="54"/>
      <c r="BI1018" s="54"/>
      <c r="BJ1018" s="55"/>
      <c r="BK1018" s="55"/>
      <c r="BL1018" s="54"/>
      <c r="BM1018" s="56"/>
      <c r="BN1018" s="56"/>
      <c r="BO1018" s="52"/>
      <c r="BP1018" s="52"/>
      <c r="BQ1018" s="52"/>
      <c r="BR1018" s="52"/>
      <c r="BS1018" s="52"/>
      <c r="BT1018" s="52"/>
      <c r="BU1018" s="52"/>
      <c r="BV1018" s="52"/>
      <c r="BW1018" s="52"/>
      <c r="BX1018" s="52"/>
      <c r="BY1018" s="52"/>
      <c r="BZ1018" s="52"/>
      <c r="CA1018" s="52"/>
      <c r="CB1018" s="52"/>
      <c r="CC1018" s="52"/>
      <c r="CD1018" s="52"/>
      <c r="CE1018" s="52"/>
      <c r="CF1018" s="52"/>
      <c r="CG1018" s="52"/>
      <c r="CH1018" s="52"/>
      <c r="CI1018" s="52"/>
      <c r="CJ1018" s="52"/>
      <c r="CK1018" s="52"/>
      <c r="CL1018" s="52"/>
      <c r="CM1018" s="52"/>
      <c r="CN1018" s="52"/>
      <c r="CO1018" s="52"/>
      <c r="CP1018" s="52"/>
      <c r="CQ1018" s="52"/>
      <c r="CR1018" s="52"/>
      <c r="CS1018" s="52"/>
      <c r="CT1018" s="52"/>
      <c r="CU1018" s="52"/>
      <c r="CV1018" s="52"/>
      <c r="CW1018" s="52"/>
      <c r="CX1018" s="52"/>
      <c r="CY1018" s="52"/>
      <c r="CZ1018" s="52"/>
      <c r="DA1018" s="52"/>
      <c r="DB1018" s="52"/>
      <c r="DC1018" s="52"/>
      <c r="DD1018" s="52"/>
      <c r="DE1018" s="52"/>
      <c r="DF1018" s="52"/>
      <c r="DG1018" s="52"/>
      <c r="DH1018" s="52"/>
      <c r="DI1018" s="52"/>
      <c r="DJ1018" s="52"/>
      <c r="DK1018" s="52"/>
      <c r="DL1018" s="52"/>
      <c r="DM1018" s="52"/>
      <c r="DN1018" s="52"/>
      <c r="DO1018" s="52"/>
      <c r="DP1018" s="52"/>
      <c r="DQ1018" s="52"/>
      <c r="DR1018" s="52"/>
      <c r="DS1018" s="52"/>
      <c r="DT1018" s="52"/>
      <c r="DU1018" s="52"/>
      <c r="DV1018" s="52"/>
      <c r="DW1018" s="52"/>
      <c r="DX1018" s="52"/>
      <c r="DZ1018"/>
      <c r="EA1018" s="19"/>
      <c r="EB1018" s="19"/>
      <c r="EC1018" s="9"/>
      <c r="ED1018" s="9"/>
      <c r="EE1018" s="9"/>
      <c r="EF1018" s="9"/>
      <c r="EG1018" s="9"/>
      <c r="EH1018" s="13"/>
      <c r="EI1018" s="13"/>
      <c r="EJ1018" s="13"/>
      <c r="EK1018" s="13"/>
      <c r="EL1018" s="13"/>
      <c r="EM1018" s="13"/>
      <c r="EN1018" s="13"/>
      <c r="EO1018" s="13"/>
      <c r="EP1018" s="13"/>
      <c r="EQ1018" s="13"/>
      <c r="ER1018" s="13"/>
      <c r="ES1018" s="13"/>
      <c r="ET1018" s="13"/>
      <c r="EU1018" s="13"/>
      <c r="EV1018" s="13"/>
      <c r="EW1018" s="13"/>
      <c r="EX1018" s="13"/>
      <c r="EY1018" s="13"/>
      <c r="EZ1018" s="13"/>
      <c r="FA1018" s="13"/>
      <c r="FB1018" s="13"/>
      <c r="FC1018" s="13"/>
      <c r="FD1018" s="13"/>
      <c r="FE1018" s="13"/>
      <c r="FF1018" s="13"/>
      <c r="FG1018" s="13"/>
      <c r="FH1018" s="13"/>
      <c r="FI1018" s="13"/>
      <c r="FJ1018" s="13"/>
      <c r="FK1018" s="13"/>
      <c r="FL1018" s="13"/>
      <c r="FM1018" s="13"/>
      <c r="FN1018" s="13"/>
      <c r="FO1018" s="13"/>
      <c r="FP1018" s="13"/>
      <c r="FQ1018" s="13"/>
      <c r="FR1018" s="13"/>
      <c r="FS1018" s="13"/>
      <c r="FT1018" s="13"/>
      <c r="FU1018" s="13"/>
      <c r="FV1018" s="13"/>
      <c r="FW1018" s="13"/>
      <c r="FX1018" s="13"/>
      <c r="FY1018" s="13"/>
      <c r="FZ1018" s="13"/>
      <c r="GA1018" s="13"/>
    </row>
    <row r="1019" spans="1:183" s="43" customFormat="1" x14ac:dyDescent="0.25">
      <c r="A1019" s="2"/>
      <c r="B1019" s="2"/>
      <c r="C1019" s="9">
        <v>17</v>
      </c>
      <c r="D1019" s="9">
        <v>29</v>
      </c>
      <c r="E1019" s="9">
        <v>52</v>
      </c>
      <c r="F1019" s="9">
        <v>74</v>
      </c>
      <c r="G1019" s="9">
        <v>77</v>
      </c>
      <c r="H1019" s="9">
        <v>85</v>
      </c>
      <c r="J1019" s="9">
        <v>85</v>
      </c>
      <c r="L1019" s="39">
        <v>44331</v>
      </c>
      <c r="N1019"/>
      <c r="O1019"/>
      <c r="P1019"/>
      <c r="Q1019"/>
      <c r="R1019"/>
      <c r="S1019"/>
      <c r="T1019"/>
      <c r="U1019"/>
      <c r="V1019"/>
      <c r="W1019" s="52"/>
      <c r="Y1019"/>
      <c r="Z1019"/>
      <c r="AA1019"/>
      <c r="AB1019"/>
      <c r="AC1019"/>
      <c r="AD1019"/>
      <c r="AE1019"/>
      <c r="AF1019"/>
      <c r="AG1019"/>
      <c r="AH1019" s="52"/>
      <c r="AI1019" s="148"/>
      <c r="AJ1019" s="19"/>
      <c r="AK1019" s="19"/>
      <c r="AL1019" s="19"/>
      <c r="AM1019" s="19"/>
      <c r="AN1019" s="42"/>
      <c r="AO1019" s="54"/>
      <c r="AP1019" s="19"/>
      <c r="AQ1019" s="1"/>
      <c r="AR1019" s="74"/>
      <c r="AS1019" s="42"/>
      <c r="AT1019" s="54"/>
      <c r="AU1019" s="54"/>
      <c r="AV1019" s="19"/>
      <c r="AW1019" s="54"/>
      <c r="AX1019" s="57"/>
      <c r="AY1019" s="54"/>
      <c r="AZ1019" s="54"/>
      <c r="BA1019" s="54"/>
      <c r="BB1019" s="54"/>
      <c r="BC1019" s="57"/>
      <c r="BD1019" s="19"/>
      <c r="BE1019" s="19"/>
      <c r="BF1019" s="19"/>
      <c r="BG1019" s="54"/>
      <c r="BI1019" s="54"/>
      <c r="BJ1019" s="55"/>
      <c r="BK1019" s="55"/>
      <c r="BL1019" s="54"/>
      <c r="BM1019" s="56"/>
      <c r="BN1019" s="56"/>
      <c r="BO1019" s="52"/>
      <c r="BP1019" s="52"/>
      <c r="BQ1019" s="52"/>
      <c r="BR1019" s="52"/>
      <c r="BS1019" s="52"/>
      <c r="BT1019" s="52"/>
      <c r="BU1019" s="52"/>
      <c r="BV1019" s="52"/>
      <c r="BW1019" s="52"/>
      <c r="BX1019" s="52"/>
      <c r="BY1019" s="52"/>
      <c r="BZ1019" s="52"/>
      <c r="CA1019" s="52"/>
      <c r="CB1019" s="52"/>
      <c r="CC1019" s="52"/>
      <c r="CD1019" s="52"/>
      <c r="CE1019" s="52"/>
      <c r="CF1019" s="52"/>
      <c r="CG1019" s="52"/>
      <c r="CH1019" s="52"/>
      <c r="CI1019" s="52"/>
      <c r="CJ1019" s="52"/>
      <c r="CK1019" s="52"/>
      <c r="CL1019" s="52"/>
      <c r="CM1019" s="52"/>
      <c r="CN1019" s="52"/>
      <c r="CO1019" s="52"/>
      <c r="CP1019" s="52"/>
      <c r="CQ1019" s="52"/>
      <c r="CR1019" s="52"/>
      <c r="CS1019" s="52"/>
      <c r="CT1019" s="52"/>
      <c r="CU1019" s="52"/>
      <c r="CV1019" s="52"/>
      <c r="CW1019" s="52"/>
      <c r="CX1019" s="52"/>
      <c r="CY1019" s="52"/>
      <c r="CZ1019" s="52"/>
      <c r="DA1019" s="52"/>
      <c r="DB1019" s="52"/>
      <c r="DC1019" s="52"/>
      <c r="DD1019" s="52"/>
      <c r="DE1019" s="52"/>
      <c r="DF1019" s="52"/>
      <c r="DG1019" s="52"/>
      <c r="DH1019" s="52"/>
      <c r="DI1019" s="52"/>
      <c r="DJ1019" s="52"/>
      <c r="DK1019" s="52"/>
      <c r="DL1019" s="52"/>
      <c r="DM1019" s="52"/>
      <c r="DN1019" s="52"/>
      <c r="DO1019" s="52"/>
      <c r="DP1019" s="52"/>
      <c r="DQ1019" s="52"/>
      <c r="DR1019" s="52"/>
      <c r="DS1019" s="52"/>
      <c r="DT1019" s="52"/>
      <c r="DU1019" s="52"/>
      <c r="DV1019" s="52"/>
      <c r="DW1019" s="52"/>
      <c r="DX1019" s="52"/>
      <c r="DZ1019"/>
      <c r="EA1019" s="19"/>
      <c r="EB1019" s="19"/>
      <c r="EC1019" s="9"/>
      <c r="ED1019" s="9"/>
      <c r="EE1019" s="9"/>
      <c r="EF1019" s="9"/>
      <c r="EG1019" s="9"/>
      <c r="EH1019" s="13"/>
      <c r="EI1019" s="13"/>
      <c r="EJ1019" s="13"/>
      <c r="EK1019" s="13"/>
      <c r="EL1019" s="13"/>
      <c r="EM1019" s="13"/>
      <c r="EN1019" s="13"/>
      <c r="EO1019" s="13"/>
      <c r="EP1019" s="13"/>
      <c r="EQ1019" s="13"/>
      <c r="ER1019" s="13"/>
      <c r="ES1019" s="13"/>
      <c r="ET1019" s="13"/>
      <c r="EU1019" s="13"/>
      <c r="EV1019" s="13"/>
      <c r="EW1019" s="13"/>
      <c r="EX1019" s="13"/>
      <c r="EY1019" s="13"/>
      <c r="EZ1019" s="13"/>
      <c r="FA1019" s="13"/>
      <c r="FB1019" s="13"/>
      <c r="FC1019" s="13"/>
      <c r="FD1019" s="13"/>
      <c r="FE1019" s="13"/>
      <c r="FF1019" s="13"/>
      <c r="FG1019" s="13"/>
      <c r="FH1019" s="13"/>
      <c r="FI1019" s="13"/>
      <c r="FJ1019" s="13"/>
      <c r="FK1019" s="13"/>
      <c r="FL1019" s="13"/>
      <c r="FM1019" s="13"/>
      <c r="FN1019" s="13"/>
      <c r="FO1019" s="13"/>
      <c r="FP1019" s="13"/>
      <c r="FQ1019" s="13"/>
      <c r="FR1019" s="13"/>
      <c r="FS1019" s="13"/>
      <c r="FT1019" s="13"/>
      <c r="FU1019" s="13"/>
      <c r="FV1019" s="13"/>
      <c r="FW1019" s="13"/>
      <c r="FX1019" s="13"/>
      <c r="FY1019" s="13"/>
      <c r="FZ1019" s="13"/>
      <c r="GA1019" s="13"/>
    </row>
    <row r="1020" spans="1:183" s="43" customFormat="1" x14ac:dyDescent="0.25">
      <c r="A1020" s="2"/>
      <c r="B1020" s="2"/>
      <c r="C1020" s="9">
        <v>13</v>
      </c>
      <c r="D1020" s="9">
        <v>43</v>
      </c>
      <c r="E1020" s="9">
        <v>45</v>
      </c>
      <c r="F1020" s="9">
        <v>70</v>
      </c>
      <c r="G1020" s="9">
        <v>76</v>
      </c>
      <c r="H1020" s="9">
        <v>86</v>
      </c>
      <c r="J1020" s="9">
        <v>86</v>
      </c>
      <c r="L1020" s="39">
        <v>44328</v>
      </c>
      <c r="N1020"/>
      <c r="O1020"/>
      <c r="P1020"/>
      <c r="Q1020"/>
      <c r="R1020"/>
      <c r="S1020"/>
      <c r="T1020"/>
      <c r="U1020"/>
      <c r="V1020"/>
      <c r="W1020" s="52"/>
      <c r="Y1020"/>
      <c r="Z1020"/>
      <c r="AA1020"/>
      <c r="AB1020"/>
      <c r="AC1020"/>
      <c r="AD1020"/>
      <c r="AE1020"/>
      <c r="AF1020"/>
      <c r="AG1020"/>
      <c r="AH1020" s="52"/>
      <c r="AI1020" s="148"/>
      <c r="AJ1020" s="19"/>
      <c r="AK1020" s="19"/>
      <c r="AL1020" s="19"/>
      <c r="AM1020" s="19"/>
      <c r="AN1020" s="42"/>
      <c r="AO1020" s="54"/>
      <c r="AP1020" s="19"/>
      <c r="AQ1020" s="1"/>
      <c r="AR1020" s="74"/>
      <c r="AS1020" s="42"/>
      <c r="AT1020" s="54"/>
      <c r="AU1020" s="54"/>
      <c r="AV1020" s="19"/>
      <c r="AW1020" s="54"/>
      <c r="AX1020" s="57"/>
      <c r="AY1020" s="54"/>
      <c r="AZ1020" s="54"/>
      <c r="BA1020" s="54"/>
      <c r="BB1020" s="54"/>
      <c r="BC1020" s="57"/>
      <c r="BD1020" s="19"/>
      <c r="BE1020" s="19"/>
      <c r="BF1020" s="19"/>
      <c r="BG1020" s="54"/>
      <c r="BI1020" s="54"/>
      <c r="BJ1020" s="55"/>
      <c r="BK1020" s="55"/>
      <c r="BL1020" s="54"/>
      <c r="BM1020" s="56"/>
      <c r="BN1020" s="56"/>
      <c r="BO1020" s="52"/>
      <c r="BP1020" s="52"/>
      <c r="BQ1020" s="52"/>
      <c r="BR1020" s="52"/>
      <c r="BS1020" s="52"/>
      <c r="BT1020" s="52"/>
      <c r="BU1020" s="52"/>
      <c r="BV1020" s="52"/>
      <c r="BW1020" s="52"/>
      <c r="BX1020" s="52"/>
      <c r="BY1020" s="52"/>
      <c r="BZ1020" s="52"/>
      <c r="CA1020" s="52"/>
      <c r="CB1020" s="52"/>
      <c r="CC1020" s="52"/>
      <c r="CD1020" s="52"/>
      <c r="CE1020" s="52"/>
      <c r="CF1020" s="52"/>
      <c r="CG1020" s="52"/>
      <c r="CH1020" s="52"/>
      <c r="CI1020" s="52"/>
      <c r="CJ1020" s="52"/>
      <c r="CK1020" s="52"/>
      <c r="CL1020" s="52"/>
      <c r="CM1020" s="52"/>
      <c r="CN1020" s="52"/>
      <c r="CO1020" s="52"/>
      <c r="CP1020" s="52"/>
      <c r="CQ1020" s="52"/>
      <c r="CR1020" s="52"/>
      <c r="CS1020" s="52"/>
      <c r="CT1020" s="52"/>
      <c r="CU1020" s="52"/>
      <c r="CV1020" s="52"/>
      <c r="CW1020" s="52"/>
      <c r="CX1020" s="52"/>
      <c r="CY1020" s="52"/>
      <c r="CZ1020" s="52"/>
      <c r="DA1020" s="52"/>
      <c r="DB1020" s="52"/>
      <c r="DC1020" s="52"/>
      <c r="DD1020" s="52"/>
      <c r="DE1020" s="52"/>
      <c r="DF1020" s="52"/>
      <c r="DG1020" s="52"/>
      <c r="DH1020" s="52"/>
      <c r="DI1020" s="52"/>
      <c r="DJ1020" s="52"/>
      <c r="DK1020" s="52"/>
      <c r="DL1020" s="52"/>
      <c r="DM1020" s="52"/>
      <c r="DN1020" s="52"/>
      <c r="DO1020" s="52"/>
      <c r="DP1020" s="52"/>
      <c r="DQ1020" s="52"/>
      <c r="DR1020" s="52"/>
      <c r="DS1020" s="52"/>
      <c r="DT1020" s="52"/>
      <c r="DU1020" s="52"/>
      <c r="DV1020" s="52"/>
      <c r="DW1020" s="52"/>
      <c r="DX1020" s="52"/>
      <c r="DZ1020"/>
      <c r="EA1020" s="19"/>
      <c r="EB1020" s="19"/>
      <c r="EC1020" s="9"/>
      <c r="ED1020" s="9"/>
      <c r="EE1020" s="9"/>
      <c r="EF1020" s="9"/>
      <c r="EG1020" s="9"/>
      <c r="EH1020" s="13"/>
      <c r="EI1020" s="13"/>
      <c r="EJ1020" s="13"/>
      <c r="EK1020" s="13"/>
      <c r="EL1020" s="13"/>
      <c r="EM1020" s="13"/>
      <c r="EN1020" s="13"/>
      <c r="EO1020" s="13"/>
      <c r="EP1020" s="13"/>
      <c r="EQ1020" s="13"/>
      <c r="ER1020" s="13"/>
      <c r="ES1020" s="13"/>
      <c r="ET1020" s="13"/>
      <c r="EU1020" s="13"/>
      <c r="EV1020" s="13"/>
      <c r="EW1020" s="13"/>
      <c r="EX1020" s="13"/>
      <c r="EY1020" s="13"/>
      <c r="EZ1020" s="13"/>
      <c r="FA1020" s="13"/>
      <c r="FB1020" s="13"/>
      <c r="FC1020" s="13"/>
      <c r="FD1020" s="13"/>
      <c r="FE1020" s="13"/>
      <c r="FF1020" s="13"/>
      <c r="FG1020" s="13"/>
      <c r="FH1020" s="13"/>
      <c r="FI1020" s="13"/>
      <c r="FJ1020" s="13"/>
      <c r="FK1020" s="13"/>
      <c r="FL1020" s="13"/>
      <c r="FM1020" s="13"/>
      <c r="FN1020" s="13"/>
      <c r="FO1020" s="13"/>
      <c r="FP1020" s="13"/>
      <c r="FQ1020" s="13"/>
      <c r="FR1020" s="13"/>
      <c r="FS1020" s="13"/>
      <c r="FT1020" s="13"/>
      <c r="FU1020" s="13"/>
      <c r="FV1020" s="13"/>
      <c r="FW1020" s="13"/>
      <c r="FX1020" s="13"/>
      <c r="FY1020" s="13"/>
      <c r="FZ1020" s="13"/>
      <c r="GA1020" s="13"/>
    </row>
    <row r="1021" spans="1:183" s="43" customFormat="1" x14ac:dyDescent="0.25">
      <c r="A1021" s="2"/>
      <c r="B1021" s="2"/>
      <c r="C1021" s="9">
        <v>7</v>
      </c>
      <c r="D1021" s="9">
        <v>19</v>
      </c>
      <c r="E1021" s="9">
        <v>49</v>
      </c>
      <c r="F1021" s="9">
        <v>55</v>
      </c>
      <c r="G1021" s="9">
        <v>61</v>
      </c>
      <c r="H1021" s="9">
        <v>89</v>
      </c>
      <c r="J1021" s="9">
        <v>89</v>
      </c>
      <c r="L1021" s="39">
        <v>44326</v>
      </c>
      <c r="N1021"/>
      <c r="O1021"/>
      <c r="P1021"/>
      <c r="Q1021"/>
      <c r="R1021"/>
      <c r="S1021"/>
      <c r="T1021"/>
      <c r="U1021"/>
      <c r="V1021"/>
      <c r="W1021" s="52"/>
      <c r="Y1021"/>
      <c r="Z1021"/>
      <c r="AA1021"/>
      <c r="AB1021"/>
      <c r="AC1021"/>
      <c r="AD1021"/>
      <c r="AE1021"/>
      <c r="AF1021"/>
      <c r="AG1021"/>
      <c r="AH1021" s="52"/>
      <c r="AI1021" s="148"/>
      <c r="AJ1021" s="19"/>
      <c r="AK1021" s="19"/>
      <c r="AL1021" s="19"/>
      <c r="AM1021" s="19"/>
      <c r="AN1021" s="42"/>
      <c r="AO1021" s="54"/>
      <c r="AP1021" s="19"/>
      <c r="AQ1021" s="1"/>
      <c r="AR1021" s="74"/>
      <c r="AS1021" s="42"/>
      <c r="AT1021" s="54"/>
      <c r="AU1021" s="54"/>
      <c r="AV1021" s="19"/>
      <c r="AW1021" s="54"/>
      <c r="AX1021" s="57"/>
      <c r="AY1021" s="54"/>
      <c r="AZ1021" s="54"/>
      <c r="BA1021" s="54"/>
      <c r="BB1021" s="54"/>
      <c r="BC1021" s="57"/>
      <c r="BD1021" s="19"/>
      <c r="BE1021" s="19"/>
      <c r="BF1021" s="19"/>
      <c r="BG1021" s="54"/>
      <c r="BI1021" s="54"/>
      <c r="BJ1021" s="55"/>
      <c r="BK1021" s="55"/>
      <c r="BL1021" s="54"/>
      <c r="BM1021" s="56"/>
      <c r="BN1021" s="56"/>
      <c r="BO1021" s="52"/>
      <c r="BP1021" s="52"/>
      <c r="BQ1021" s="52"/>
      <c r="BR1021" s="52"/>
      <c r="BS1021" s="52"/>
      <c r="BT1021" s="52"/>
      <c r="BU1021" s="52"/>
      <c r="BV1021" s="52"/>
      <c r="BW1021" s="52"/>
      <c r="BX1021" s="52"/>
      <c r="BY1021" s="52"/>
      <c r="BZ1021" s="52"/>
      <c r="CA1021" s="52"/>
      <c r="CB1021" s="52"/>
      <c r="CC1021" s="52"/>
      <c r="CD1021" s="52"/>
      <c r="CE1021" s="52"/>
      <c r="CF1021" s="52"/>
      <c r="CG1021" s="52"/>
      <c r="CH1021" s="52"/>
      <c r="CI1021" s="52"/>
      <c r="CJ1021" s="52"/>
      <c r="CK1021" s="52"/>
      <c r="CL1021" s="52"/>
      <c r="CM1021" s="52"/>
      <c r="CN1021" s="52"/>
      <c r="CO1021" s="52"/>
      <c r="CP1021" s="52"/>
      <c r="CQ1021" s="52"/>
      <c r="CR1021" s="52"/>
      <c r="CS1021" s="52"/>
      <c r="CT1021" s="52"/>
      <c r="CU1021" s="52"/>
      <c r="CV1021" s="52"/>
      <c r="CW1021" s="52"/>
      <c r="CX1021" s="52"/>
      <c r="CY1021" s="52"/>
      <c r="CZ1021" s="52"/>
      <c r="DA1021" s="52"/>
      <c r="DB1021" s="52"/>
      <c r="DC1021" s="52"/>
      <c r="DD1021" s="52"/>
      <c r="DE1021" s="52"/>
      <c r="DF1021" s="52"/>
      <c r="DG1021" s="52"/>
      <c r="DH1021" s="52"/>
      <c r="DI1021" s="52"/>
      <c r="DJ1021" s="52"/>
      <c r="DK1021" s="52"/>
      <c r="DL1021" s="52"/>
      <c r="DM1021" s="52"/>
      <c r="DN1021" s="52"/>
      <c r="DO1021" s="52"/>
      <c r="DP1021" s="52"/>
      <c r="DQ1021" s="52"/>
      <c r="DR1021" s="52"/>
      <c r="DS1021" s="52"/>
      <c r="DT1021" s="52"/>
      <c r="DU1021" s="52"/>
      <c r="DV1021" s="52"/>
      <c r="DW1021" s="52"/>
      <c r="DX1021" s="52"/>
      <c r="DZ1021"/>
      <c r="EA1021" s="19"/>
      <c r="EB1021" s="19"/>
      <c r="EC1021" s="9"/>
      <c r="ED1021" s="9"/>
      <c r="EE1021" s="9"/>
      <c r="EF1021" s="9"/>
      <c r="EG1021" s="9"/>
      <c r="EH1021" s="13"/>
      <c r="EI1021" s="13"/>
      <c r="EJ1021" s="13"/>
      <c r="EK1021" s="13"/>
      <c r="EL1021" s="13"/>
      <c r="EM1021" s="13"/>
      <c r="EN1021" s="13"/>
      <c r="EO1021" s="13"/>
      <c r="EP1021" s="13"/>
      <c r="EQ1021" s="13"/>
      <c r="ER1021" s="13"/>
      <c r="ES1021" s="13"/>
      <c r="ET1021" s="13"/>
      <c r="EU1021" s="13"/>
      <c r="EV1021" s="13"/>
      <c r="EW1021" s="13"/>
      <c r="EX1021" s="13"/>
      <c r="EY1021" s="13"/>
      <c r="EZ1021" s="13"/>
      <c r="FA1021" s="13"/>
      <c r="FB1021" s="13"/>
      <c r="FC1021" s="13"/>
      <c r="FD1021" s="13"/>
      <c r="FE1021" s="13"/>
      <c r="FF1021" s="13"/>
      <c r="FG1021" s="13"/>
      <c r="FH1021" s="13"/>
      <c r="FI1021" s="13"/>
      <c r="FJ1021" s="13"/>
      <c r="FK1021" s="13"/>
      <c r="FL1021" s="13"/>
      <c r="FM1021" s="13"/>
      <c r="FN1021" s="13"/>
      <c r="FO1021" s="13"/>
      <c r="FP1021" s="13"/>
      <c r="FQ1021" s="13"/>
      <c r="FR1021" s="13"/>
      <c r="FS1021" s="13"/>
      <c r="FT1021" s="13"/>
      <c r="FU1021" s="13"/>
      <c r="FV1021" s="13"/>
      <c r="FW1021" s="13"/>
      <c r="FX1021" s="13"/>
      <c r="FY1021" s="13"/>
      <c r="FZ1021" s="13"/>
      <c r="GA1021" s="13"/>
    </row>
    <row r="1022" spans="1:183" s="43" customFormat="1" x14ac:dyDescent="0.25">
      <c r="A1022" s="2"/>
      <c r="B1022" s="2"/>
      <c r="C1022" s="9">
        <v>1</v>
      </c>
      <c r="D1022" s="9">
        <v>15</v>
      </c>
      <c r="E1022" s="9">
        <v>43</v>
      </c>
      <c r="F1022" s="9">
        <v>62</v>
      </c>
      <c r="G1022" s="9">
        <v>64</v>
      </c>
      <c r="H1022" s="9">
        <v>85</v>
      </c>
      <c r="J1022" s="9">
        <v>85</v>
      </c>
      <c r="L1022" s="39">
        <v>44324</v>
      </c>
      <c r="N1022"/>
      <c r="O1022"/>
      <c r="P1022"/>
      <c r="Q1022"/>
      <c r="R1022"/>
      <c r="S1022"/>
      <c r="T1022"/>
      <c r="U1022"/>
      <c r="V1022"/>
      <c r="W1022" s="52"/>
      <c r="Y1022"/>
      <c r="Z1022"/>
      <c r="AA1022"/>
      <c r="AB1022"/>
      <c r="AC1022"/>
      <c r="AD1022"/>
      <c r="AE1022"/>
      <c r="AF1022"/>
      <c r="AG1022"/>
      <c r="AH1022" s="52"/>
      <c r="AI1022" s="148"/>
      <c r="AJ1022" s="19"/>
      <c r="AK1022" s="19"/>
      <c r="AL1022" s="19"/>
      <c r="AM1022" s="19"/>
      <c r="AN1022" s="42"/>
      <c r="AO1022" s="54"/>
      <c r="AP1022" s="19"/>
      <c r="AQ1022" s="1"/>
      <c r="AR1022" s="74"/>
      <c r="AS1022" s="42"/>
      <c r="AT1022" s="54"/>
      <c r="AU1022" s="54"/>
      <c r="AV1022" s="19"/>
      <c r="AW1022" s="54"/>
      <c r="AX1022" s="57"/>
      <c r="AY1022" s="54"/>
      <c r="AZ1022" s="54"/>
      <c r="BA1022" s="54"/>
      <c r="BB1022" s="54"/>
      <c r="BC1022" s="57"/>
      <c r="BD1022" s="19"/>
      <c r="BE1022" s="19"/>
      <c r="BF1022" s="19"/>
      <c r="BG1022" s="54"/>
      <c r="BI1022" s="54"/>
      <c r="BJ1022" s="55"/>
      <c r="BK1022" s="55"/>
      <c r="BL1022" s="54"/>
      <c r="BM1022" s="56"/>
      <c r="BN1022" s="56"/>
      <c r="BO1022" s="52"/>
      <c r="BP1022" s="52"/>
      <c r="BQ1022" s="52"/>
      <c r="BR1022" s="52"/>
      <c r="BS1022" s="52"/>
      <c r="BT1022" s="52"/>
      <c r="BU1022" s="52"/>
      <c r="BV1022" s="52"/>
      <c r="BW1022" s="52"/>
      <c r="BX1022" s="52"/>
      <c r="BY1022" s="52"/>
      <c r="BZ1022" s="52"/>
      <c r="CA1022" s="52"/>
      <c r="CB1022" s="52"/>
      <c r="CC1022" s="52"/>
      <c r="CD1022" s="52"/>
      <c r="CE1022" s="52"/>
      <c r="CF1022" s="52"/>
      <c r="CG1022" s="52"/>
      <c r="CH1022" s="52"/>
      <c r="CI1022" s="52"/>
      <c r="CJ1022" s="52"/>
      <c r="CK1022" s="52"/>
      <c r="CL1022" s="52"/>
      <c r="CM1022" s="52"/>
      <c r="CN1022" s="52"/>
      <c r="CO1022" s="52"/>
      <c r="CP1022" s="52"/>
      <c r="CQ1022" s="52"/>
      <c r="CR1022" s="52"/>
      <c r="CS1022" s="52"/>
      <c r="CT1022" s="52"/>
      <c r="CU1022" s="52"/>
      <c r="CV1022" s="52"/>
      <c r="CW1022" s="52"/>
      <c r="CX1022" s="52"/>
      <c r="CY1022" s="52"/>
      <c r="CZ1022" s="52"/>
      <c r="DA1022" s="52"/>
      <c r="DB1022" s="52"/>
      <c r="DC1022" s="52"/>
      <c r="DD1022" s="52"/>
      <c r="DE1022" s="52"/>
      <c r="DF1022" s="52"/>
      <c r="DG1022" s="52"/>
      <c r="DH1022" s="52"/>
      <c r="DI1022" s="52"/>
      <c r="DJ1022" s="52"/>
      <c r="DK1022" s="52"/>
      <c r="DL1022" s="52"/>
      <c r="DM1022" s="52"/>
      <c r="DN1022" s="52"/>
      <c r="DO1022" s="52"/>
      <c r="DP1022" s="52"/>
      <c r="DQ1022" s="52"/>
      <c r="DR1022" s="52"/>
      <c r="DS1022" s="52"/>
      <c r="DT1022" s="52"/>
      <c r="DU1022" s="52"/>
      <c r="DV1022" s="52"/>
      <c r="DW1022" s="52"/>
      <c r="DX1022" s="52"/>
      <c r="DZ1022"/>
      <c r="EA1022" s="19"/>
      <c r="EB1022" s="19"/>
      <c r="EC1022" s="9"/>
      <c r="ED1022" s="9"/>
      <c r="EE1022" s="9"/>
      <c r="EF1022" s="9"/>
      <c r="EG1022" s="9"/>
      <c r="EH1022" s="13"/>
      <c r="EI1022" s="13"/>
      <c r="EJ1022" s="13"/>
      <c r="EK1022" s="13"/>
      <c r="EL1022" s="13"/>
      <c r="EM1022" s="13"/>
      <c r="EN1022" s="13"/>
      <c r="EO1022" s="13"/>
      <c r="EP1022" s="13"/>
      <c r="EQ1022" s="13"/>
      <c r="ER1022" s="13"/>
      <c r="ES1022" s="13"/>
      <c r="ET1022" s="13"/>
      <c r="EU1022" s="13"/>
      <c r="EV1022" s="13"/>
      <c r="EW1022" s="13"/>
      <c r="EX1022" s="13"/>
      <c r="EY1022" s="13"/>
      <c r="EZ1022" s="13"/>
      <c r="FA1022" s="13"/>
      <c r="FB1022" s="13"/>
      <c r="FC1022" s="13"/>
      <c r="FD1022" s="13"/>
      <c r="FE1022" s="13"/>
      <c r="FF1022" s="13"/>
      <c r="FG1022" s="13"/>
      <c r="FH1022" s="13"/>
      <c r="FI1022" s="13"/>
      <c r="FJ1022" s="13"/>
      <c r="FK1022" s="13"/>
      <c r="FL1022" s="13"/>
      <c r="FM1022" s="13"/>
      <c r="FN1022" s="13"/>
      <c r="FO1022" s="13"/>
      <c r="FP1022" s="13"/>
      <c r="FQ1022" s="13"/>
      <c r="FR1022" s="13"/>
      <c r="FS1022" s="13"/>
      <c r="FT1022" s="13"/>
      <c r="FU1022" s="13"/>
      <c r="FV1022" s="13"/>
      <c r="FW1022" s="13"/>
      <c r="FX1022" s="13"/>
      <c r="FY1022" s="13"/>
      <c r="FZ1022" s="13"/>
      <c r="GA1022" s="13"/>
    </row>
    <row r="1023" spans="1:183" s="43" customFormat="1" x14ac:dyDescent="0.25">
      <c r="A1023" s="2"/>
      <c r="B1023" s="2"/>
      <c r="C1023" s="9">
        <v>1</v>
      </c>
      <c r="D1023" s="9">
        <v>3</v>
      </c>
      <c r="E1023" s="9">
        <v>21</v>
      </c>
      <c r="F1023" s="9">
        <v>58</v>
      </c>
      <c r="G1023" s="9">
        <v>70</v>
      </c>
      <c r="H1023" s="9">
        <v>82</v>
      </c>
      <c r="J1023" s="9">
        <v>82</v>
      </c>
      <c r="L1023" s="39">
        <v>44321</v>
      </c>
      <c r="N1023"/>
      <c r="O1023"/>
      <c r="P1023"/>
      <c r="Q1023"/>
      <c r="R1023"/>
      <c r="S1023"/>
      <c r="T1023"/>
      <c r="U1023"/>
      <c r="V1023"/>
      <c r="W1023" s="52"/>
      <c r="Y1023"/>
      <c r="Z1023"/>
      <c r="AA1023"/>
      <c r="AB1023"/>
      <c r="AC1023"/>
      <c r="AD1023"/>
      <c r="AE1023"/>
      <c r="AF1023"/>
      <c r="AG1023"/>
      <c r="AH1023" s="52"/>
      <c r="AI1023" s="148"/>
      <c r="AJ1023" s="19"/>
      <c r="AK1023" s="19"/>
      <c r="AL1023" s="19"/>
      <c r="AM1023" s="19"/>
      <c r="AN1023" s="42"/>
      <c r="AO1023" s="54"/>
      <c r="AP1023" s="19"/>
      <c r="AQ1023" s="1"/>
      <c r="AR1023" s="74"/>
      <c r="AS1023" s="42"/>
      <c r="AT1023" s="54"/>
      <c r="AU1023" s="54"/>
      <c r="AV1023" s="19"/>
      <c r="AW1023" s="54"/>
      <c r="AX1023" s="57"/>
      <c r="AY1023" s="54"/>
      <c r="AZ1023" s="54"/>
      <c r="BA1023" s="54"/>
      <c r="BB1023" s="54"/>
      <c r="BC1023" s="57"/>
      <c r="BD1023" s="19"/>
      <c r="BE1023" s="19"/>
      <c r="BF1023" s="19"/>
      <c r="BG1023" s="54"/>
      <c r="BI1023" s="54"/>
      <c r="BJ1023" s="55"/>
      <c r="BK1023" s="55"/>
      <c r="BL1023" s="54"/>
      <c r="BM1023" s="56"/>
      <c r="BN1023" s="56"/>
      <c r="BO1023" s="52"/>
      <c r="BP1023" s="52"/>
      <c r="BQ1023" s="52"/>
      <c r="BR1023" s="52"/>
      <c r="BS1023" s="52"/>
      <c r="BT1023" s="52"/>
      <c r="BU1023" s="52"/>
      <c r="BV1023" s="52"/>
      <c r="BW1023" s="52"/>
      <c r="BX1023" s="52"/>
      <c r="BY1023" s="52"/>
      <c r="BZ1023" s="52"/>
      <c r="CA1023" s="52"/>
      <c r="CB1023" s="52"/>
      <c r="CC1023" s="52"/>
      <c r="CD1023" s="52"/>
      <c r="CE1023" s="52"/>
      <c r="CF1023" s="52"/>
      <c r="CG1023" s="52"/>
      <c r="CH1023" s="52"/>
      <c r="CI1023" s="52"/>
      <c r="CJ1023" s="52"/>
      <c r="CK1023" s="52"/>
      <c r="CL1023" s="52"/>
      <c r="CM1023" s="52"/>
      <c r="CN1023" s="52"/>
      <c r="CO1023" s="52"/>
      <c r="CP1023" s="52"/>
      <c r="CQ1023" s="52"/>
      <c r="CR1023" s="52"/>
      <c r="CS1023" s="52"/>
      <c r="CT1023" s="52"/>
      <c r="CU1023" s="52"/>
      <c r="CV1023" s="52"/>
      <c r="CW1023" s="52"/>
      <c r="CX1023" s="52"/>
      <c r="CY1023" s="52"/>
      <c r="CZ1023" s="52"/>
      <c r="DA1023" s="52"/>
      <c r="DB1023" s="52"/>
      <c r="DC1023" s="52"/>
      <c r="DD1023" s="52"/>
      <c r="DE1023" s="52"/>
      <c r="DF1023" s="52"/>
      <c r="DG1023" s="52"/>
      <c r="DH1023" s="52"/>
      <c r="DI1023" s="52"/>
      <c r="DJ1023" s="52"/>
      <c r="DK1023" s="52"/>
      <c r="DL1023" s="52"/>
      <c r="DM1023" s="52"/>
      <c r="DN1023" s="52"/>
      <c r="DO1023" s="52"/>
      <c r="DP1023" s="52"/>
      <c r="DQ1023" s="52"/>
      <c r="DR1023" s="52"/>
      <c r="DS1023" s="52"/>
      <c r="DT1023" s="52"/>
      <c r="DU1023" s="52"/>
      <c r="DV1023" s="52"/>
      <c r="DW1023" s="52"/>
      <c r="DX1023" s="52"/>
      <c r="DZ1023"/>
      <c r="EA1023" s="19"/>
      <c r="EB1023" s="19"/>
      <c r="EC1023" s="9"/>
      <c r="ED1023" s="9"/>
      <c r="EE1023" s="9"/>
      <c r="EF1023" s="9"/>
      <c r="EG1023" s="9"/>
      <c r="EH1023" s="13"/>
      <c r="EI1023" s="13"/>
      <c r="EJ1023" s="13"/>
      <c r="EK1023" s="13"/>
      <c r="EL1023" s="13"/>
      <c r="EM1023" s="13"/>
      <c r="EN1023" s="13"/>
      <c r="EO1023" s="13"/>
      <c r="EP1023" s="13"/>
      <c r="EQ1023" s="13"/>
      <c r="ER1023" s="13"/>
      <c r="ES1023" s="13"/>
      <c r="ET1023" s="13"/>
      <c r="EU1023" s="13"/>
      <c r="EV1023" s="13"/>
      <c r="EW1023" s="13"/>
      <c r="EX1023" s="13"/>
      <c r="EY1023" s="13"/>
      <c r="EZ1023" s="13"/>
      <c r="FA1023" s="13"/>
      <c r="FB1023" s="13"/>
      <c r="FC1023" s="13"/>
      <c r="FD1023" s="13"/>
      <c r="FE1023" s="13"/>
      <c r="FF1023" s="13"/>
      <c r="FG1023" s="13"/>
      <c r="FH1023" s="13"/>
      <c r="FI1023" s="13"/>
      <c r="FJ1023" s="13"/>
      <c r="FK1023" s="13"/>
      <c r="FL1023" s="13"/>
      <c r="FM1023" s="13"/>
      <c r="FN1023" s="13"/>
      <c r="FO1023" s="13"/>
      <c r="FP1023" s="13"/>
      <c r="FQ1023" s="13"/>
      <c r="FR1023" s="13"/>
      <c r="FS1023" s="13"/>
      <c r="FT1023" s="13"/>
      <c r="FU1023" s="13"/>
      <c r="FV1023" s="13"/>
      <c r="FW1023" s="13"/>
      <c r="FX1023" s="13"/>
      <c r="FY1023" s="13"/>
      <c r="FZ1023" s="13"/>
      <c r="GA1023" s="13"/>
    </row>
    <row r="1024" spans="1:183" s="43" customFormat="1" x14ac:dyDescent="0.25">
      <c r="A1024" s="2"/>
      <c r="B1024" s="2"/>
      <c r="C1024" s="9">
        <v>3</v>
      </c>
      <c r="D1024" s="9">
        <v>12</v>
      </c>
      <c r="E1024" s="9">
        <v>60</v>
      </c>
      <c r="F1024" s="9">
        <v>65</v>
      </c>
      <c r="G1024" s="9">
        <v>67</v>
      </c>
      <c r="H1024" s="9">
        <v>85</v>
      </c>
      <c r="J1024" s="9">
        <v>85</v>
      </c>
      <c r="L1024" s="39">
        <v>44319</v>
      </c>
      <c r="N1024"/>
      <c r="O1024"/>
      <c r="P1024"/>
      <c r="Q1024"/>
      <c r="R1024"/>
      <c r="S1024"/>
      <c r="T1024"/>
      <c r="U1024"/>
      <c r="V1024"/>
      <c r="W1024" s="52"/>
      <c r="Y1024"/>
      <c r="Z1024"/>
      <c r="AA1024"/>
      <c r="AB1024"/>
      <c r="AC1024"/>
      <c r="AD1024"/>
      <c r="AE1024"/>
      <c r="AF1024"/>
      <c r="AG1024"/>
      <c r="AH1024" s="52"/>
      <c r="AI1024" s="148"/>
      <c r="AJ1024" s="19"/>
      <c r="AK1024" s="19"/>
      <c r="AL1024" s="19"/>
      <c r="AM1024" s="19"/>
      <c r="AN1024" s="42"/>
      <c r="AO1024" s="54"/>
      <c r="AP1024" s="19"/>
      <c r="AQ1024" s="1"/>
      <c r="AR1024" s="74"/>
      <c r="AS1024" s="42"/>
      <c r="AT1024" s="54"/>
      <c r="AU1024" s="54"/>
      <c r="AV1024" s="19"/>
      <c r="AW1024" s="54"/>
      <c r="AX1024" s="57"/>
      <c r="AY1024" s="54"/>
      <c r="AZ1024" s="54"/>
      <c r="BA1024" s="54"/>
      <c r="BB1024" s="54"/>
      <c r="BC1024" s="57"/>
      <c r="BD1024" s="19"/>
      <c r="BE1024" s="19"/>
      <c r="BF1024" s="19"/>
      <c r="BG1024" s="54"/>
      <c r="BI1024" s="54"/>
      <c r="BJ1024" s="55"/>
      <c r="BK1024" s="55"/>
      <c r="BL1024" s="54"/>
      <c r="BM1024" s="56"/>
      <c r="BN1024" s="56"/>
      <c r="BO1024" s="52"/>
      <c r="BP1024" s="52"/>
      <c r="BQ1024" s="52"/>
      <c r="BR1024" s="52"/>
      <c r="BS1024" s="52"/>
      <c r="BT1024" s="52"/>
      <c r="BU1024" s="52"/>
      <c r="BV1024" s="52"/>
      <c r="BW1024" s="52"/>
      <c r="BX1024" s="52"/>
      <c r="BY1024" s="52"/>
      <c r="BZ1024" s="52"/>
      <c r="CA1024" s="52"/>
      <c r="CB1024" s="52"/>
      <c r="CC1024" s="52"/>
      <c r="CD1024" s="52"/>
      <c r="CE1024" s="52"/>
      <c r="CF1024" s="52"/>
      <c r="CG1024" s="52"/>
      <c r="CH1024" s="52"/>
      <c r="CI1024" s="52"/>
      <c r="CJ1024" s="52"/>
      <c r="CK1024" s="52"/>
      <c r="CL1024" s="52"/>
      <c r="CM1024" s="52"/>
      <c r="CN1024" s="52"/>
      <c r="CO1024" s="52"/>
      <c r="CP1024" s="52"/>
      <c r="CQ1024" s="52"/>
      <c r="CR1024" s="52"/>
      <c r="CS1024" s="52"/>
      <c r="CT1024" s="52"/>
      <c r="CU1024" s="52"/>
      <c r="CV1024" s="52"/>
      <c r="CW1024" s="52"/>
      <c r="CX1024" s="52"/>
      <c r="CY1024" s="52"/>
      <c r="CZ1024" s="52"/>
      <c r="DA1024" s="52"/>
      <c r="DB1024" s="52"/>
      <c r="DC1024" s="52"/>
      <c r="DD1024" s="52"/>
      <c r="DE1024" s="52"/>
      <c r="DF1024" s="52"/>
      <c r="DG1024" s="52"/>
      <c r="DH1024" s="52"/>
      <c r="DI1024" s="52"/>
      <c r="DJ1024" s="52"/>
      <c r="DK1024" s="52"/>
      <c r="DL1024" s="52"/>
      <c r="DM1024" s="52"/>
      <c r="DN1024" s="52"/>
      <c r="DO1024" s="52"/>
      <c r="DP1024" s="52"/>
      <c r="DQ1024" s="52"/>
      <c r="DR1024" s="52"/>
      <c r="DS1024" s="52"/>
      <c r="DT1024" s="52"/>
      <c r="DU1024" s="52"/>
      <c r="DV1024" s="52"/>
      <c r="DW1024" s="52"/>
      <c r="DX1024" s="52"/>
      <c r="DZ1024"/>
      <c r="EA1024" s="19"/>
      <c r="EB1024" s="19"/>
      <c r="EC1024" s="9"/>
      <c r="ED1024" s="9"/>
      <c r="EE1024" s="9"/>
      <c r="EF1024" s="9"/>
      <c r="EG1024" s="9"/>
      <c r="EH1024" s="13"/>
      <c r="EI1024" s="13"/>
      <c r="EJ1024" s="13"/>
      <c r="EK1024" s="13"/>
      <c r="EL1024" s="13"/>
      <c r="EM1024" s="13"/>
      <c r="EN1024" s="13"/>
      <c r="EO1024" s="13"/>
      <c r="EP1024" s="13"/>
      <c r="EQ1024" s="13"/>
      <c r="ER1024" s="13"/>
      <c r="ES1024" s="13"/>
      <c r="ET1024" s="13"/>
      <c r="EU1024" s="13"/>
      <c r="EV1024" s="13"/>
      <c r="EW1024" s="13"/>
      <c r="EX1024" s="13"/>
      <c r="EY1024" s="13"/>
      <c r="EZ1024" s="13"/>
      <c r="FA1024" s="13"/>
      <c r="FB1024" s="13"/>
      <c r="FC1024" s="13"/>
      <c r="FD1024" s="13"/>
      <c r="FE1024" s="13"/>
      <c r="FF1024" s="13"/>
      <c r="FG1024" s="13"/>
      <c r="FH1024" s="13"/>
      <c r="FI1024" s="13"/>
      <c r="FJ1024" s="13"/>
      <c r="FK1024" s="13"/>
      <c r="FL1024" s="13"/>
      <c r="FM1024" s="13"/>
      <c r="FN1024" s="13"/>
      <c r="FO1024" s="13"/>
      <c r="FP1024" s="13"/>
      <c r="FQ1024" s="13"/>
      <c r="FR1024" s="13"/>
      <c r="FS1024" s="13"/>
      <c r="FT1024" s="13"/>
      <c r="FU1024" s="13"/>
      <c r="FV1024" s="13"/>
      <c r="FW1024" s="13"/>
      <c r="FX1024" s="13"/>
      <c r="FY1024" s="13"/>
      <c r="FZ1024" s="13"/>
      <c r="GA1024" s="13"/>
    </row>
    <row r="1025" spans="1:183" s="43" customFormat="1" x14ac:dyDescent="0.25">
      <c r="A1025" s="2"/>
      <c r="B1025" s="2"/>
      <c r="C1025" s="9">
        <v>14</v>
      </c>
      <c r="D1025" s="9">
        <v>15</v>
      </c>
      <c r="E1025" s="9">
        <v>17</v>
      </c>
      <c r="F1025" s="9">
        <v>54</v>
      </c>
      <c r="G1025" s="9">
        <v>68</v>
      </c>
      <c r="H1025" s="9">
        <v>82</v>
      </c>
      <c r="J1025" s="9">
        <v>82</v>
      </c>
      <c r="L1025" s="39">
        <v>44317</v>
      </c>
      <c r="N1025"/>
      <c r="O1025"/>
      <c r="P1025"/>
      <c r="Q1025"/>
      <c r="R1025"/>
      <c r="S1025"/>
      <c r="T1025"/>
      <c r="U1025"/>
      <c r="V1025"/>
      <c r="W1025" s="52"/>
      <c r="Y1025"/>
      <c r="Z1025"/>
      <c r="AA1025"/>
      <c r="AB1025"/>
      <c r="AC1025"/>
      <c r="AD1025"/>
      <c r="AE1025"/>
      <c r="AF1025"/>
      <c r="AG1025"/>
      <c r="AH1025" s="52"/>
      <c r="AI1025" s="148"/>
      <c r="AJ1025" s="19"/>
      <c r="AK1025" s="19"/>
      <c r="AL1025" s="19"/>
      <c r="AM1025" s="19"/>
      <c r="AN1025" s="42"/>
      <c r="AO1025" s="54"/>
      <c r="AP1025" s="19"/>
      <c r="AQ1025" s="1"/>
      <c r="AR1025" s="74"/>
      <c r="AS1025" s="42"/>
      <c r="AT1025" s="54"/>
      <c r="AU1025" s="54"/>
      <c r="AV1025" s="19"/>
      <c r="AW1025" s="54"/>
      <c r="AX1025" s="57"/>
      <c r="AY1025" s="54"/>
      <c r="AZ1025" s="54"/>
      <c r="BA1025" s="54"/>
      <c r="BB1025" s="54"/>
      <c r="BC1025" s="57"/>
      <c r="BD1025" s="19"/>
      <c r="BE1025" s="19"/>
      <c r="BF1025" s="19"/>
      <c r="BG1025" s="54"/>
      <c r="BI1025" s="54"/>
      <c r="BJ1025" s="55"/>
      <c r="BK1025" s="55"/>
      <c r="BL1025" s="54"/>
      <c r="BM1025" s="56"/>
      <c r="BN1025" s="56"/>
      <c r="BO1025" s="52"/>
      <c r="BP1025" s="52"/>
      <c r="BQ1025" s="52"/>
      <c r="BR1025" s="52"/>
      <c r="BS1025" s="52"/>
      <c r="BT1025" s="52"/>
      <c r="BU1025" s="52"/>
      <c r="BV1025" s="52"/>
      <c r="BW1025" s="52"/>
      <c r="BX1025" s="52"/>
      <c r="BY1025" s="52"/>
      <c r="BZ1025" s="52"/>
      <c r="CA1025" s="52"/>
      <c r="CB1025" s="52"/>
      <c r="CC1025" s="52"/>
      <c r="CD1025" s="52"/>
      <c r="CE1025" s="52"/>
      <c r="CF1025" s="52"/>
      <c r="CG1025" s="52"/>
      <c r="CH1025" s="52"/>
      <c r="CI1025" s="52"/>
      <c r="CJ1025" s="52"/>
      <c r="CK1025" s="52"/>
      <c r="CL1025" s="52"/>
      <c r="CM1025" s="52"/>
      <c r="CN1025" s="52"/>
      <c r="CO1025" s="52"/>
      <c r="CP1025" s="52"/>
      <c r="CQ1025" s="52"/>
      <c r="CR1025" s="52"/>
      <c r="CS1025" s="52"/>
      <c r="CT1025" s="52"/>
      <c r="CU1025" s="52"/>
      <c r="CV1025" s="52"/>
      <c r="CW1025" s="52"/>
      <c r="CX1025" s="52"/>
      <c r="CY1025" s="52"/>
      <c r="CZ1025" s="52"/>
      <c r="DA1025" s="52"/>
      <c r="DB1025" s="52"/>
      <c r="DC1025" s="52"/>
      <c r="DD1025" s="52"/>
      <c r="DE1025" s="52"/>
      <c r="DF1025" s="52"/>
      <c r="DG1025" s="52"/>
      <c r="DH1025" s="52"/>
      <c r="DI1025" s="52"/>
      <c r="DJ1025" s="52"/>
      <c r="DK1025" s="52"/>
      <c r="DL1025" s="52"/>
      <c r="DM1025" s="52"/>
      <c r="DN1025" s="52"/>
      <c r="DO1025" s="52"/>
      <c r="DP1025" s="52"/>
      <c r="DQ1025" s="52"/>
      <c r="DR1025" s="52"/>
      <c r="DS1025" s="52"/>
      <c r="DT1025" s="52"/>
      <c r="DU1025" s="52"/>
      <c r="DV1025" s="52"/>
      <c r="DW1025" s="52"/>
      <c r="DX1025" s="52"/>
      <c r="DZ1025"/>
      <c r="EA1025" s="19"/>
      <c r="EB1025" s="19"/>
      <c r="EC1025" s="9"/>
      <c r="ED1025" s="9"/>
      <c r="EE1025" s="9"/>
      <c r="EF1025" s="9"/>
      <c r="EG1025" s="9"/>
      <c r="EH1025" s="13"/>
      <c r="EI1025" s="13"/>
      <c r="EJ1025" s="13"/>
      <c r="EK1025" s="13"/>
      <c r="EL1025" s="13"/>
      <c r="EM1025" s="13"/>
      <c r="EN1025" s="13"/>
      <c r="EO1025" s="13"/>
      <c r="EP1025" s="13"/>
      <c r="EQ1025" s="13"/>
      <c r="ER1025" s="13"/>
      <c r="ES1025" s="13"/>
      <c r="ET1025" s="13"/>
      <c r="EU1025" s="13"/>
      <c r="EV1025" s="13"/>
      <c r="EW1025" s="13"/>
      <c r="EX1025" s="13"/>
      <c r="EY1025" s="13"/>
      <c r="EZ1025" s="13"/>
      <c r="FA1025" s="13"/>
      <c r="FB1025" s="13"/>
      <c r="FC1025" s="13"/>
      <c r="FD1025" s="13"/>
      <c r="FE1025" s="13"/>
      <c r="FF1025" s="13"/>
      <c r="FG1025" s="13"/>
      <c r="FH1025" s="13"/>
      <c r="FI1025" s="13"/>
      <c r="FJ1025" s="13"/>
      <c r="FK1025" s="13"/>
      <c r="FL1025" s="13"/>
      <c r="FM1025" s="13"/>
      <c r="FN1025" s="13"/>
      <c r="FO1025" s="13"/>
      <c r="FP1025" s="13"/>
      <c r="FQ1025" s="13"/>
      <c r="FR1025" s="13"/>
      <c r="FS1025" s="13"/>
      <c r="FT1025" s="13"/>
      <c r="FU1025" s="13"/>
      <c r="FV1025" s="13"/>
      <c r="FW1025" s="13"/>
      <c r="FX1025" s="13"/>
      <c r="FY1025" s="13"/>
      <c r="FZ1025" s="13"/>
      <c r="GA1025" s="13"/>
    </row>
    <row r="1026" spans="1:183" s="43" customFormat="1" x14ac:dyDescent="0.25">
      <c r="A1026" s="2"/>
      <c r="B1026" s="2"/>
      <c r="C1026" s="9">
        <v>1</v>
      </c>
      <c r="D1026" s="9">
        <v>15</v>
      </c>
      <c r="E1026" s="9">
        <v>32</v>
      </c>
      <c r="F1026" s="9">
        <v>50</v>
      </c>
      <c r="G1026" s="9">
        <v>55</v>
      </c>
      <c r="H1026" s="9">
        <v>69</v>
      </c>
      <c r="J1026" s="9">
        <v>69</v>
      </c>
      <c r="L1026" s="39">
        <v>44314</v>
      </c>
      <c r="N1026"/>
      <c r="O1026"/>
      <c r="P1026"/>
      <c r="Q1026"/>
      <c r="R1026"/>
      <c r="S1026"/>
      <c r="T1026"/>
      <c r="U1026"/>
      <c r="V1026"/>
      <c r="W1026" s="52"/>
      <c r="Y1026"/>
      <c r="Z1026"/>
      <c r="AA1026"/>
      <c r="AB1026"/>
      <c r="AC1026"/>
      <c r="AD1026"/>
      <c r="AE1026"/>
      <c r="AF1026"/>
      <c r="AG1026"/>
      <c r="AH1026" s="52"/>
      <c r="AI1026" s="148"/>
      <c r="AJ1026" s="19"/>
      <c r="AK1026" s="19"/>
      <c r="AL1026" s="19"/>
      <c r="AM1026" s="19"/>
      <c r="AN1026" s="42"/>
      <c r="AO1026" s="54"/>
      <c r="AP1026" s="19"/>
      <c r="AQ1026" s="1"/>
      <c r="AR1026" s="74"/>
      <c r="AS1026" s="42"/>
      <c r="AT1026" s="54"/>
      <c r="AU1026" s="54"/>
      <c r="AV1026" s="19"/>
      <c r="AW1026" s="54"/>
      <c r="AX1026" s="57"/>
      <c r="AY1026" s="54"/>
      <c r="AZ1026" s="54"/>
      <c r="BA1026" s="54"/>
      <c r="BB1026" s="54"/>
      <c r="BC1026" s="57"/>
      <c r="BD1026" s="19"/>
      <c r="BE1026" s="19"/>
      <c r="BF1026" s="19"/>
      <c r="BG1026" s="54"/>
      <c r="BI1026" s="54"/>
      <c r="BJ1026" s="55"/>
      <c r="BK1026" s="55"/>
      <c r="BL1026" s="54"/>
      <c r="BM1026" s="56"/>
      <c r="BN1026" s="56"/>
      <c r="BO1026" s="52"/>
      <c r="BP1026" s="52"/>
      <c r="BQ1026" s="52"/>
      <c r="BR1026" s="52"/>
      <c r="BS1026" s="52"/>
      <c r="BT1026" s="52"/>
      <c r="BU1026" s="52"/>
      <c r="BV1026" s="52"/>
      <c r="BW1026" s="52"/>
      <c r="BX1026" s="52"/>
      <c r="BY1026" s="52"/>
      <c r="BZ1026" s="52"/>
      <c r="CA1026" s="52"/>
      <c r="CB1026" s="52"/>
      <c r="CC1026" s="52"/>
      <c r="CD1026" s="52"/>
      <c r="CE1026" s="52"/>
      <c r="CF1026" s="52"/>
      <c r="CG1026" s="52"/>
      <c r="CH1026" s="52"/>
      <c r="CI1026" s="52"/>
      <c r="CJ1026" s="52"/>
      <c r="CK1026" s="52"/>
      <c r="CL1026" s="52"/>
      <c r="CM1026" s="52"/>
      <c r="CN1026" s="52"/>
      <c r="CO1026" s="52"/>
      <c r="CP1026" s="52"/>
      <c r="CQ1026" s="52"/>
      <c r="CR1026" s="52"/>
      <c r="CS1026" s="52"/>
      <c r="CT1026" s="52"/>
      <c r="CU1026" s="52"/>
      <c r="CV1026" s="52"/>
      <c r="CW1026" s="52"/>
      <c r="CX1026" s="52"/>
      <c r="CY1026" s="52"/>
      <c r="CZ1026" s="52"/>
      <c r="DA1026" s="52"/>
      <c r="DB1026" s="52"/>
      <c r="DC1026" s="52"/>
      <c r="DD1026" s="52"/>
      <c r="DE1026" s="52"/>
      <c r="DF1026" s="52"/>
      <c r="DG1026" s="52"/>
      <c r="DH1026" s="52"/>
      <c r="DI1026" s="52"/>
      <c r="DJ1026" s="52"/>
      <c r="DK1026" s="52"/>
      <c r="DL1026" s="52"/>
      <c r="DM1026" s="52"/>
      <c r="DN1026" s="52"/>
      <c r="DO1026" s="52"/>
      <c r="DP1026" s="52"/>
      <c r="DQ1026" s="52"/>
      <c r="DR1026" s="52"/>
      <c r="DS1026" s="52"/>
      <c r="DT1026" s="52"/>
      <c r="DU1026" s="52"/>
      <c r="DV1026" s="52"/>
      <c r="DW1026" s="52"/>
      <c r="DX1026" s="52"/>
      <c r="DZ1026"/>
      <c r="EA1026" s="19"/>
      <c r="EB1026" s="19"/>
      <c r="EC1026" s="9"/>
      <c r="ED1026" s="9"/>
      <c r="EE1026" s="9"/>
      <c r="EF1026" s="9"/>
      <c r="EG1026" s="9"/>
      <c r="EH1026" s="13"/>
      <c r="EI1026" s="13"/>
      <c r="EJ1026" s="13"/>
      <c r="EK1026" s="13"/>
      <c r="EL1026" s="13"/>
      <c r="EM1026" s="13"/>
      <c r="EN1026" s="13"/>
      <c r="EO1026" s="13"/>
      <c r="EP1026" s="13"/>
      <c r="EQ1026" s="13"/>
      <c r="ER1026" s="13"/>
      <c r="ES1026" s="13"/>
      <c r="ET1026" s="13"/>
      <c r="EU1026" s="13"/>
      <c r="EV1026" s="13"/>
      <c r="EW1026" s="13"/>
      <c r="EX1026" s="13"/>
      <c r="EY1026" s="13"/>
      <c r="EZ1026" s="13"/>
      <c r="FA1026" s="13"/>
      <c r="FB1026" s="13"/>
      <c r="FC1026" s="13"/>
      <c r="FD1026" s="13"/>
      <c r="FE1026" s="13"/>
      <c r="FF1026" s="13"/>
      <c r="FG1026" s="13"/>
      <c r="FH1026" s="13"/>
      <c r="FI1026" s="13"/>
      <c r="FJ1026" s="13"/>
      <c r="FK1026" s="13"/>
      <c r="FL1026" s="13"/>
      <c r="FM1026" s="13"/>
      <c r="FN1026" s="13"/>
      <c r="FO1026" s="13"/>
      <c r="FP1026" s="13"/>
      <c r="FQ1026" s="13"/>
      <c r="FR1026" s="13"/>
      <c r="FS1026" s="13"/>
      <c r="FT1026" s="13"/>
      <c r="FU1026" s="13"/>
      <c r="FV1026" s="13"/>
      <c r="FW1026" s="13"/>
      <c r="FX1026" s="13"/>
      <c r="FY1026" s="13"/>
      <c r="FZ1026" s="13"/>
      <c r="GA1026" s="13"/>
    </row>
    <row r="1027" spans="1:183" s="43" customFormat="1" x14ac:dyDescent="0.25">
      <c r="A1027" s="2"/>
      <c r="B1027" s="2"/>
      <c r="C1027" s="9">
        <v>3</v>
      </c>
      <c r="D1027" s="9">
        <v>34</v>
      </c>
      <c r="E1027" s="9">
        <v>42</v>
      </c>
      <c r="F1027" s="9">
        <v>52</v>
      </c>
      <c r="G1027" s="9">
        <v>66</v>
      </c>
      <c r="H1027" s="9">
        <v>70</v>
      </c>
      <c r="J1027" s="9">
        <v>70</v>
      </c>
      <c r="L1027" s="39">
        <v>44312</v>
      </c>
      <c r="N1027"/>
      <c r="O1027"/>
      <c r="P1027"/>
      <c r="Q1027"/>
      <c r="R1027"/>
      <c r="S1027"/>
      <c r="T1027"/>
      <c r="U1027"/>
      <c r="V1027"/>
      <c r="W1027" s="52"/>
      <c r="Y1027"/>
      <c r="Z1027"/>
      <c r="AA1027"/>
      <c r="AB1027"/>
      <c r="AC1027"/>
      <c r="AD1027"/>
      <c r="AE1027"/>
      <c r="AF1027"/>
      <c r="AG1027"/>
      <c r="AH1027" s="52"/>
      <c r="AI1027" s="148"/>
      <c r="AJ1027" s="19"/>
      <c r="AK1027" s="19"/>
      <c r="AL1027" s="19"/>
      <c r="AM1027" s="19"/>
      <c r="AN1027" s="42"/>
      <c r="AO1027" s="54"/>
      <c r="AP1027" s="19"/>
      <c r="AQ1027" s="1"/>
      <c r="AR1027" s="74"/>
      <c r="AS1027" s="42"/>
      <c r="AT1027" s="54"/>
      <c r="AU1027" s="54"/>
      <c r="AV1027" s="19"/>
      <c r="AW1027" s="54"/>
      <c r="AX1027" s="57"/>
      <c r="AY1027" s="54"/>
      <c r="AZ1027" s="54"/>
      <c r="BA1027" s="54"/>
      <c r="BB1027" s="54"/>
      <c r="BC1027" s="57"/>
      <c r="BD1027" s="19"/>
      <c r="BE1027" s="19"/>
      <c r="BF1027" s="19"/>
      <c r="BG1027" s="54"/>
      <c r="BI1027" s="54"/>
      <c r="BJ1027" s="55"/>
      <c r="BK1027" s="55"/>
      <c r="BL1027" s="54"/>
      <c r="BM1027" s="56"/>
      <c r="BN1027" s="56"/>
      <c r="BO1027" s="52"/>
      <c r="BP1027" s="52"/>
      <c r="BQ1027" s="52"/>
      <c r="BR1027" s="52"/>
      <c r="BS1027" s="52"/>
      <c r="BT1027" s="52"/>
      <c r="BU1027" s="52"/>
      <c r="BV1027" s="52"/>
      <c r="BW1027" s="52"/>
      <c r="BX1027" s="52"/>
      <c r="BY1027" s="52"/>
      <c r="BZ1027" s="52"/>
      <c r="CA1027" s="52"/>
      <c r="CB1027" s="52"/>
      <c r="CC1027" s="52"/>
      <c r="CD1027" s="52"/>
      <c r="CE1027" s="52"/>
      <c r="CF1027" s="52"/>
      <c r="CG1027" s="52"/>
      <c r="CH1027" s="52"/>
      <c r="CI1027" s="52"/>
      <c r="CJ1027" s="52"/>
      <c r="CK1027" s="52"/>
      <c r="CL1027" s="52"/>
      <c r="CM1027" s="52"/>
      <c r="CN1027" s="52"/>
      <c r="CO1027" s="52"/>
      <c r="CP1027" s="52"/>
      <c r="CQ1027" s="52"/>
      <c r="CR1027" s="52"/>
      <c r="CS1027" s="52"/>
      <c r="CT1027" s="52"/>
      <c r="CU1027" s="52"/>
      <c r="CV1027" s="52"/>
      <c r="CW1027" s="52"/>
      <c r="CX1027" s="52"/>
      <c r="CY1027" s="52"/>
      <c r="CZ1027" s="52"/>
      <c r="DA1027" s="52"/>
      <c r="DB1027" s="52"/>
      <c r="DC1027" s="52"/>
      <c r="DD1027" s="52"/>
      <c r="DE1027" s="52"/>
      <c r="DF1027" s="52"/>
      <c r="DG1027" s="52"/>
      <c r="DH1027" s="52"/>
      <c r="DI1027" s="52"/>
      <c r="DJ1027" s="52"/>
      <c r="DK1027" s="52"/>
      <c r="DL1027" s="52"/>
      <c r="DM1027" s="52"/>
      <c r="DN1027" s="52"/>
      <c r="DO1027" s="52"/>
      <c r="DP1027" s="52"/>
      <c r="DQ1027" s="52"/>
      <c r="DR1027" s="52"/>
      <c r="DS1027" s="52"/>
      <c r="DT1027" s="52"/>
      <c r="DU1027" s="52"/>
      <c r="DV1027" s="52"/>
      <c r="DW1027" s="52"/>
      <c r="DX1027" s="52"/>
      <c r="DZ1027"/>
      <c r="EA1027" s="19"/>
      <c r="EB1027" s="19"/>
      <c r="EC1027" s="9"/>
      <c r="ED1027" s="9"/>
      <c r="EE1027" s="9"/>
      <c r="EF1027" s="9"/>
      <c r="EG1027" s="9"/>
      <c r="EH1027" s="13"/>
      <c r="EI1027" s="13"/>
      <c r="EJ1027" s="13"/>
      <c r="EK1027" s="13"/>
      <c r="EL1027" s="13"/>
      <c r="EM1027" s="13"/>
      <c r="EN1027" s="13"/>
      <c r="EO1027" s="13"/>
      <c r="EP1027" s="13"/>
      <c r="EQ1027" s="13"/>
      <c r="ER1027" s="13"/>
      <c r="ES1027" s="13"/>
      <c r="ET1027" s="13"/>
      <c r="EU1027" s="13"/>
      <c r="EV1027" s="13"/>
      <c r="EW1027" s="13"/>
      <c r="EX1027" s="13"/>
      <c r="EY1027" s="13"/>
      <c r="EZ1027" s="13"/>
      <c r="FA1027" s="13"/>
      <c r="FB1027" s="13"/>
      <c r="FC1027" s="13"/>
      <c r="FD1027" s="13"/>
      <c r="FE1027" s="13"/>
      <c r="FF1027" s="13"/>
      <c r="FG1027" s="13"/>
      <c r="FH1027" s="13"/>
      <c r="FI1027" s="13"/>
      <c r="FJ1027" s="13"/>
      <c r="FK1027" s="13"/>
      <c r="FL1027" s="13"/>
      <c r="FM1027" s="13"/>
      <c r="FN1027" s="13"/>
      <c r="FO1027" s="13"/>
      <c r="FP1027" s="13"/>
      <c r="FQ1027" s="13"/>
      <c r="FR1027" s="13"/>
      <c r="FS1027" s="13"/>
      <c r="FT1027" s="13"/>
      <c r="FU1027" s="13"/>
      <c r="FV1027" s="13"/>
      <c r="FW1027" s="13"/>
      <c r="FX1027" s="13"/>
      <c r="FY1027" s="13"/>
      <c r="FZ1027" s="13"/>
      <c r="GA1027" s="13"/>
    </row>
    <row r="1028" spans="1:183" s="43" customFormat="1" x14ac:dyDescent="0.25">
      <c r="A1028" s="2"/>
      <c r="B1028" s="2"/>
      <c r="C1028" s="9">
        <v>6</v>
      </c>
      <c r="D1028" s="9">
        <v>19</v>
      </c>
      <c r="E1028" s="9">
        <v>29</v>
      </c>
      <c r="F1028" s="9">
        <v>51</v>
      </c>
      <c r="G1028" s="9">
        <v>62</v>
      </c>
      <c r="H1028" s="9">
        <v>81</v>
      </c>
      <c r="J1028" s="9">
        <v>81</v>
      </c>
      <c r="L1028" s="39">
        <v>44310</v>
      </c>
      <c r="N1028"/>
      <c r="O1028"/>
      <c r="P1028"/>
      <c r="Q1028"/>
      <c r="R1028"/>
      <c r="S1028"/>
      <c r="T1028"/>
      <c r="U1028"/>
      <c r="V1028"/>
      <c r="W1028" s="52"/>
      <c r="Y1028"/>
      <c r="Z1028"/>
      <c r="AA1028"/>
      <c r="AB1028"/>
      <c r="AC1028"/>
      <c r="AD1028"/>
      <c r="AE1028"/>
      <c r="AF1028"/>
      <c r="AG1028"/>
      <c r="AH1028" s="52"/>
      <c r="AI1028" s="148"/>
      <c r="AJ1028" s="19"/>
      <c r="AK1028" s="19"/>
      <c r="AL1028" s="19"/>
      <c r="AM1028" s="19"/>
      <c r="AN1028" s="42"/>
      <c r="AO1028" s="54"/>
      <c r="AP1028" s="19"/>
      <c r="AQ1028" s="1"/>
      <c r="AR1028" s="74"/>
      <c r="AS1028" s="42"/>
      <c r="AT1028" s="54"/>
      <c r="AU1028" s="54"/>
      <c r="AV1028" s="19"/>
      <c r="AW1028" s="54"/>
      <c r="AX1028" s="57"/>
      <c r="AY1028" s="54"/>
      <c r="AZ1028" s="54"/>
      <c r="BA1028" s="54"/>
      <c r="BB1028" s="54"/>
      <c r="BC1028" s="57"/>
      <c r="BD1028" s="19"/>
      <c r="BE1028" s="19"/>
      <c r="BF1028" s="19"/>
      <c r="BG1028" s="54"/>
      <c r="BI1028" s="54"/>
      <c r="BJ1028" s="55"/>
      <c r="BK1028" s="55"/>
      <c r="BL1028" s="54"/>
      <c r="BM1028" s="56"/>
      <c r="BN1028" s="56"/>
      <c r="BO1028" s="52"/>
      <c r="BP1028" s="52"/>
      <c r="BQ1028" s="52"/>
      <c r="BR1028" s="52"/>
      <c r="BS1028" s="52"/>
      <c r="BT1028" s="52"/>
      <c r="BU1028" s="52"/>
      <c r="BV1028" s="52"/>
      <c r="BW1028" s="52"/>
      <c r="BX1028" s="52"/>
      <c r="BY1028" s="52"/>
      <c r="BZ1028" s="52"/>
      <c r="CA1028" s="52"/>
      <c r="CB1028" s="52"/>
      <c r="CC1028" s="52"/>
      <c r="CD1028" s="52"/>
      <c r="CE1028" s="52"/>
      <c r="CF1028" s="52"/>
      <c r="CG1028" s="52"/>
      <c r="CH1028" s="52"/>
      <c r="CI1028" s="52"/>
      <c r="CJ1028" s="52"/>
      <c r="CK1028" s="52"/>
      <c r="CL1028" s="52"/>
      <c r="CM1028" s="52"/>
      <c r="CN1028" s="52"/>
      <c r="CO1028" s="52"/>
      <c r="CP1028" s="52"/>
      <c r="CQ1028" s="52"/>
      <c r="CR1028" s="52"/>
      <c r="CS1028" s="52"/>
      <c r="CT1028" s="52"/>
      <c r="CU1028" s="52"/>
      <c r="CV1028" s="52"/>
      <c r="CW1028" s="52"/>
      <c r="CX1028" s="52"/>
      <c r="CY1028" s="52"/>
      <c r="CZ1028" s="52"/>
      <c r="DA1028" s="52"/>
      <c r="DB1028" s="52"/>
      <c r="DC1028" s="52"/>
      <c r="DD1028" s="52"/>
      <c r="DE1028" s="52"/>
      <c r="DF1028" s="52"/>
      <c r="DG1028" s="52"/>
      <c r="DH1028" s="52"/>
      <c r="DI1028" s="52"/>
      <c r="DJ1028" s="52"/>
      <c r="DK1028" s="52"/>
      <c r="DL1028" s="52"/>
      <c r="DM1028" s="52"/>
      <c r="DN1028" s="52"/>
      <c r="DO1028" s="52"/>
      <c r="DP1028" s="52"/>
      <c r="DQ1028" s="52"/>
      <c r="DR1028" s="52"/>
      <c r="DS1028" s="52"/>
      <c r="DT1028" s="52"/>
      <c r="DU1028" s="52"/>
      <c r="DV1028" s="52"/>
      <c r="DW1028" s="52"/>
      <c r="DX1028" s="52"/>
      <c r="DZ1028"/>
      <c r="EA1028" s="19"/>
      <c r="EB1028" s="19"/>
      <c r="EC1028" s="9"/>
      <c r="ED1028" s="9"/>
      <c r="EE1028" s="9"/>
      <c r="EF1028" s="9"/>
      <c r="EG1028" s="9"/>
      <c r="EH1028" s="13"/>
      <c r="EI1028" s="13"/>
      <c r="EJ1028" s="13"/>
      <c r="EK1028" s="13"/>
      <c r="EL1028" s="13"/>
      <c r="EM1028" s="13"/>
      <c r="EN1028" s="13"/>
      <c r="EO1028" s="13"/>
      <c r="EP1028" s="13"/>
      <c r="EQ1028" s="13"/>
      <c r="ER1028" s="13"/>
      <c r="ES1028" s="13"/>
      <c r="ET1028" s="13"/>
      <c r="EU1028" s="13"/>
      <c r="EV1028" s="13"/>
      <c r="EW1028" s="13"/>
      <c r="EX1028" s="13"/>
      <c r="EY1028" s="13"/>
      <c r="EZ1028" s="13"/>
      <c r="FA1028" s="13"/>
      <c r="FB1028" s="13"/>
      <c r="FC1028" s="13"/>
      <c r="FD1028" s="13"/>
      <c r="FE1028" s="13"/>
      <c r="FF1028" s="13"/>
      <c r="FG1028" s="13"/>
      <c r="FH1028" s="13"/>
      <c r="FI1028" s="13"/>
      <c r="FJ1028" s="13"/>
      <c r="FK1028" s="13"/>
      <c r="FL1028" s="13"/>
      <c r="FM1028" s="13"/>
      <c r="FN1028" s="13"/>
      <c r="FO1028" s="13"/>
      <c r="FP1028" s="13"/>
      <c r="FQ1028" s="13"/>
      <c r="FR1028" s="13"/>
      <c r="FS1028" s="13"/>
      <c r="FT1028" s="13"/>
      <c r="FU1028" s="13"/>
      <c r="FV1028" s="13"/>
      <c r="FW1028" s="13"/>
      <c r="FX1028" s="13"/>
      <c r="FY1028" s="13"/>
      <c r="FZ1028" s="13"/>
      <c r="GA1028" s="13"/>
    </row>
    <row r="1029" spans="1:183" s="43" customFormat="1" x14ac:dyDescent="0.25">
      <c r="A1029" s="2"/>
      <c r="B1029" s="2"/>
      <c r="C1029" s="9">
        <v>13</v>
      </c>
      <c r="D1029" s="9">
        <v>33</v>
      </c>
      <c r="E1029" s="9">
        <v>58</v>
      </c>
      <c r="F1029" s="9">
        <v>74</v>
      </c>
      <c r="G1029" s="9">
        <v>78</v>
      </c>
      <c r="H1029" s="9">
        <v>89</v>
      </c>
      <c r="J1029" s="9">
        <v>89</v>
      </c>
      <c r="L1029" s="39">
        <v>44307</v>
      </c>
      <c r="N1029"/>
      <c r="O1029"/>
      <c r="P1029"/>
      <c r="Q1029"/>
      <c r="R1029"/>
      <c r="S1029"/>
      <c r="T1029"/>
      <c r="U1029"/>
      <c r="V1029"/>
      <c r="W1029" s="52"/>
      <c r="Y1029"/>
      <c r="Z1029"/>
      <c r="AA1029"/>
      <c r="AB1029"/>
      <c r="AC1029"/>
      <c r="AD1029"/>
      <c r="AE1029"/>
      <c r="AF1029"/>
      <c r="AG1029"/>
      <c r="AH1029" s="52"/>
      <c r="AI1029" s="148"/>
      <c r="AJ1029" s="19"/>
      <c r="AK1029" s="19"/>
      <c r="AL1029" s="19"/>
      <c r="AM1029" s="19"/>
      <c r="AN1029" s="42"/>
      <c r="AO1029" s="54"/>
      <c r="AP1029" s="19"/>
      <c r="AQ1029" s="1"/>
      <c r="AR1029" s="74"/>
      <c r="AS1029" s="42"/>
      <c r="AT1029" s="54"/>
      <c r="AU1029" s="54"/>
      <c r="AV1029" s="19"/>
      <c r="AW1029" s="54"/>
      <c r="AX1029" s="57"/>
      <c r="AY1029" s="54"/>
      <c r="AZ1029" s="54"/>
      <c r="BA1029" s="54"/>
      <c r="BB1029" s="54"/>
      <c r="BC1029" s="57"/>
      <c r="BD1029" s="19"/>
      <c r="BE1029" s="19"/>
      <c r="BF1029" s="19"/>
      <c r="BG1029" s="54"/>
      <c r="BI1029" s="54"/>
      <c r="BJ1029" s="55"/>
      <c r="BK1029" s="55"/>
      <c r="BL1029" s="54"/>
      <c r="BM1029" s="56"/>
      <c r="BN1029" s="56"/>
      <c r="BO1029" s="52"/>
      <c r="BP1029" s="52"/>
      <c r="BQ1029" s="52"/>
      <c r="BR1029" s="52"/>
      <c r="BS1029" s="52"/>
      <c r="BT1029" s="52"/>
      <c r="BU1029" s="52"/>
      <c r="BV1029" s="52"/>
      <c r="BW1029" s="52"/>
      <c r="BX1029" s="52"/>
      <c r="BY1029" s="52"/>
      <c r="BZ1029" s="52"/>
      <c r="CA1029" s="52"/>
      <c r="CB1029" s="52"/>
      <c r="CC1029" s="52"/>
      <c r="CD1029" s="52"/>
      <c r="CE1029" s="52"/>
      <c r="CF1029" s="52"/>
      <c r="CG1029" s="52"/>
      <c r="CH1029" s="52"/>
      <c r="CI1029" s="52"/>
      <c r="CJ1029" s="52"/>
      <c r="CK1029" s="52"/>
      <c r="CL1029" s="52"/>
      <c r="CM1029" s="52"/>
      <c r="CN1029" s="52"/>
      <c r="CO1029" s="52"/>
      <c r="CP1029" s="52"/>
      <c r="CQ1029" s="52"/>
      <c r="CR1029" s="52"/>
      <c r="CS1029" s="52"/>
      <c r="CT1029" s="52"/>
      <c r="CU1029" s="52"/>
      <c r="CV1029" s="52"/>
      <c r="CW1029" s="52"/>
      <c r="CX1029" s="52"/>
      <c r="CY1029" s="52"/>
      <c r="CZ1029" s="52"/>
      <c r="DA1029" s="52"/>
      <c r="DB1029" s="52"/>
      <c r="DC1029" s="52"/>
      <c r="DD1029" s="52"/>
      <c r="DE1029" s="52"/>
      <c r="DF1029" s="52"/>
      <c r="DG1029" s="52"/>
      <c r="DH1029" s="52"/>
      <c r="DI1029" s="52"/>
      <c r="DJ1029" s="52"/>
      <c r="DK1029" s="52"/>
      <c r="DL1029" s="52"/>
      <c r="DM1029" s="52"/>
      <c r="DN1029" s="52"/>
      <c r="DO1029" s="52"/>
      <c r="DP1029" s="52"/>
      <c r="DQ1029" s="52"/>
      <c r="DR1029" s="52"/>
      <c r="DS1029" s="52"/>
      <c r="DT1029" s="52"/>
      <c r="DU1029" s="52"/>
      <c r="DV1029" s="52"/>
      <c r="DW1029" s="52"/>
      <c r="DX1029" s="52"/>
      <c r="DZ1029"/>
      <c r="EA1029" s="19"/>
      <c r="EB1029" s="19"/>
      <c r="EC1029" s="9"/>
      <c r="ED1029" s="9"/>
      <c r="EE1029" s="9"/>
      <c r="EF1029" s="9"/>
      <c r="EG1029" s="9"/>
      <c r="EH1029" s="13"/>
      <c r="EI1029" s="13"/>
      <c r="EJ1029" s="13"/>
      <c r="EK1029" s="13"/>
      <c r="EL1029" s="13"/>
      <c r="EM1029" s="13"/>
      <c r="EN1029" s="13"/>
      <c r="EO1029" s="13"/>
      <c r="EP1029" s="13"/>
      <c r="EQ1029" s="13"/>
      <c r="ER1029" s="13"/>
      <c r="ES1029" s="13"/>
      <c r="ET1029" s="13"/>
      <c r="EU1029" s="13"/>
      <c r="EV1029" s="13"/>
      <c r="EW1029" s="13"/>
      <c r="EX1029" s="13"/>
      <c r="EY1029" s="13"/>
      <c r="EZ1029" s="13"/>
      <c r="FA1029" s="13"/>
      <c r="FB1029" s="13"/>
      <c r="FC1029" s="13"/>
      <c r="FD1029" s="13"/>
      <c r="FE1029" s="13"/>
      <c r="FF1029" s="13"/>
      <c r="FG1029" s="13"/>
      <c r="FH1029" s="13"/>
      <c r="FI1029" s="13"/>
      <c r="FJ1029" s="13"/>
      <c r="FK1029" s="13"/>
      <c r="FL1029" s="13"/>
      <c r="FM1029" s="13"/>
      <c r="FN1029" s="13"/>
      <c r="FO1029" s="13"/>
      <c r="FP1029" s="13"/>
      <c r="FQ1029" s="13"/>
      <c r="FR1029" s="13"/>
      <c r="FS1029" s="13"/>
      <c r="FT1029" s="13"/>
      <c r="FU1029" s="13"/>
      <c r="FV1029" s="13"/>
      <c r="FW1029" s="13"/>
      <c r="FX1029" s="13"/>
      <c r="FY1029" s="13"/>
      <c r="FZ1029" s="13"/>
      <c r="GA1029" s="13"/>
    </row>
    <row r="1030" spans="1:183" s="43" customFormat="1" x14ac:dyDescent="0.25">
      <c r="A1030" s="2"/>
      <c r="B1030" s="2"/>
      <c r="C1030" s="9">
        <v>12</v>
      </c>
      <c r="D1030" s="9">
        <v>23</v>
      </c>
      <c r="E1030" s="9">
        <v>56</v>
      </c>
      <c r="F1030" s="9">
        <v>79</v>
      </c>
      <c r="G1030" s="9">
        <v>82</v>
      </c>
      <c r="H1030" s="9">
        <v>86</v>
      </c>
      <c r="J1030" s="9">
        <v>86</v>
      </c>
      <c r="L1030" s="39">
        <v>44305</v>
      </c>
      <c r="N1030"/>
      <c r="O1030"/>
      <c r="P1030"/>
      <c r="Q1030"/>
      <c r="R1030"/>
      <c r="S1030"/>
      <c r="T1030"/>
      <c r="U1030"/>
      <c r="V1030"/>
      <c r="W1030" s="52"/>
      <c r="Y1030"/>
      <c r="Z1030"/>
      <c r="AA1030"/>
      <c r="AB1030"/>
      <c r="AC1030"/>
      <c r="AD1030"/>
      <c r="AE1030"/>
      <c r="AF1030"/>
      <c r="AG1030"/>
      <c r="AH1030" s="52"/>
      <c r="AI1030" s="148"/>
      <c r="AJ1030" s="19"/>
      <c r="AK1030" s="19"/>
      <c r="AL1030" s="19"/>
      <c r="AM1030" s="19"/>
      <c r="AN1030" s="42"/>
      <c r="AO1030" s="54"/>
      <c r="AP1030" s="19"/>
      <c r="AQ1030" s="1"/>
      <c r="AR1030" s="74"/>
      <c r="AS1030" s="42"/>
      <c r="AT1030" s="54"/>
      <c r="AU1030" s="54"/>
      <c r="AV1030" s="19"/>
      <c r="AW1030" s="54"/>
      <c r="AX1030" s="57"/>
      <c r="AY1030" s="54"/>
      <c r="AZ1030" s="54"/>
      <c r="BA1030" s="54"/>
      <c r="BB1030" s="54"/>
      <c r="BC1030" s="57"/>
      <c r="BD1030" s="19"/>
      <c r="BE1030" s="19"/>
      <c r="BF1030" s="19"/>
      <c r="BG1030" s="54"/>
      <c r="BI1030" s="54"/>
      <c r="BJ1030" s="55"/>
      <c r="BK1030" s="55"/>
      <c r="BL1030" s="54"/>
      <c r="BM1030" s="56"/>
      <c r="BN1030" s="56"/>
      <c r="BO1030" s="52"/>
      <c r="BP1030" s="52"/>
      <c r="BQ1030" s="52"/>
      <c r="BR1030" s="52"/>
      <c r="BS1030" s="52"/>
      <c r="BT1030" s="52"/>
      <c r="BU1030" s="52"/>
      <c r="BV1030" s="52"/>
      <c r="BW1030" s="52"/>
      <c r="BX1030" s="52"/>
      <c r="BY1030" s="52"/>
      <c r="BZ1030" s="52"/>
      <c r="CA1030" s="52"/>
      <c r="CB1030" s="52"/>
      <c r="CC1030" s="52"/>
      <c r="CD1030" s="52"/>
      <c r="CE1030" s="52"/>
      <c r="CF1030" s="52"/>
      <c r="CG1030" s="52"/>
      <c r="CH1030" s="52"/>
      <c r="CI1030" s="52"/>
      <c r="CJ1030" s="52"/>
      <c r="CK1030" s="52"/>
      <c r="CL1030" s="52"/>
      <c r="CM1030" s="52"/>
      <c r="CN1030" s="52"/>
      <c r="CO1030" s="52"/>
      <c r="CP1030" s="52"/>
      <c r="CQ1030" s="52"/>
      <c r="CR1030" s="52"/>
      <c r="CS1030" s="52"/>
      <c r="CT1030" s="52"/>
      <c r="CU1030" s="52"/>
      <c r="CV1030" s="52"/>
      <c r="CW1030" s="52"/>
      <c r="CX1030" s="52"/>
      <c r="CY1030" s="52"/>
      <c r="CZ1030" s="52"/>
      <c r="DA1030" s="52"/>
      <c r="DB1030" s="52"/>
      <c r="DC1030" s="52"/>
      <c r="DD1030" s="52"/>
      <c r="DE1030" s="52"/>
      <c r="DF1030" s="52"/>
      <c r="DG1030" s="52"/>
      <c r="DH1030" s="52"/>
      <c r="DI1030" s="52"/>
      <c r="DJ1030" s="52"/>
      <c r="DK1030" s="52"/>
      <c r="DL1030" s="52"/>
      <c r="DM1030" s="52"/>
      <c r="DN1030" s="52"/>
      <c r="DO1030" s="52"/>
      <c r="DP1030" s="52"/>
      <c r="DQ1030" s="52"/>
      <c r="DR1030" s="52"/>
      <c r="DS1030" s="52"/>
      <c r="DT1030" s="52"/>
      <c r="DU1030" s="52"/>
      <c r="DV1030" s="52"/>
      <c r="DW1030" s="52"/>
      <c r="DX1030" s="52"/>
      <c r="DZ1030"/>
      <c r="EA1030" s="19"/>
      <c r="EB1030" s="19"/>
      <c r="EC1030" s="9"/>
      <c r="ED1030" s="9"/>
      <c r="EE1030" s="9"/>
      <c r="EF1030" s="9"/>
      <c r="EG1030" s="9"/>
      <c r="EH1030" s="13"/>
      <c r="EI1030" s="13"/>
      <c r="EJ1030" s="13"/>
      <c r="EK1030" s="13"/>
      <c r="EL1030" s="13"/>
      <c r="EM1030" s="13"/>
      <c r="EN1030" s="13"/>
      <c r="EO1030" s="13"/>
      <c r="EP1030" s="13"/>
      <c r="EQ1030" s="13"/>
      <c r="ER1030" s="13"/>
      <c r="ES1030" s="13"/>
      <c r="ET1030" s="13"/>
      <c r="EU1030" s="13"/>
      <c r="EV1030" s="13"/>
      <c r="EW1030" s="13"/>
      <c r="EX1030" s="13"/>
      <c r="EY1030" s="13"/>
      <c r="EZ1030" s="13"/>
      <c r="FA1030" s="13"/>
      <c r="FB1030" s="13"/>
      <c r="FC1030" s="13"/>
      <c r="FD1030" s="13"/>
      <c r="FE1030" s="13"/>
      <c r="FF1030" s="13"/>
      <c r="FG1030" s="13"/>
      <c r="FH1030" s="13"/>
      <c r="FI1030" s="13"/>
      <c r="FJ1030" s="13"/>
      <c r="FK1030" s="13"/>
      <c r="FL1030" s="13"/>
      <c r="FM1030" s="13"/>
      <c r="FN1030" s="13"/>
      <c r="FO1030" s="13"/>
      <c r="FP1030" s="13"/>
      <c r="FQ1030" s="13"/>
      <c r="FR1030" s="13"/>
      <c r="FS1030" s="13"/>
      <c r="FT1030" s="13"/>
      <c r="FU1030" s="13"/>
      <c r="FV1030" s="13"/>
      <c r="FW1030" s="13"/>
      <c r="FX1030" s="13"/>
      <c r="FY1030" s="13"/>
      <c r="FZ1030" s="13"/>
      <c r="GA1030" s="13"/>
    </row>
    <row r="1031" spans="1:183" s="43" customFormat="1" x14ac:dyDescent="0.25">
      <c r="A1031" s="2"/>
      <c r="B1031" s="2"/>
      <c r="C1031" s="9">
        <v>27</v>
      </c>
      <c r="D1031" s="9">
        <v>39</v>
      </c>
      <c r="E1031" s="9">
        <v>56</v>
      </c>
      <c r="F1031" s="9">
        <v>73</v>
      </c>
      <c r="G1031" s="9">
        <v>83</v>
      </c>
      <c r="H1031" s="9">
        <v>84</v>
      </c>
      <c r="J1031" s="9">
        <v>84</v>
      </c>
      <c r="L1031" s="39">
        <v>44303</v>
      </c>
      <c r="N1031"/>
      <c r="O1031"/>
      <c r="P1031"/>
      <c r="Q1031"/>
      <c r="R1031"/>
      <c r="S1031"/>
      <c r="T1031"/>
      <c r="U1031"/>
      <c r="V1031"/>
      <c r="W1031" s="52"/>
      <c r="Y1031"/>
      <c r="Z1031"/>
      <c r="AA1031"/>
      <c r="AB1031"/>
      <c r="AC1031"/>
      <c r="AD1031"/>
      <c r="AE1031"/>
      <c r="AF1031"/>
      <c r="AG1031"/>
      <c r="AH1031" s="52"/>
      <c r="AI1031" s="148"/>
      <c r="AJ1031" s="19"/>
      <c r="AK1031" s="19"/>
      <c r="AL1031" s="19"/>
      <c r="AM1031" s="19"/>
      <c r="AN1031" s="42"/>
      <c r="AO1031" s="54"/>
      <c r="AP1031" s="19"/>
      <c r="AQ1031" s="1"/>
      <c r="AR1031" s="74"/>
      <c r="AS1031" s="42"/>
      <c r="AT1031" s="54"/>
      <c r="AU1031" s="54"/>
      <c r="AV1031" s="19"/>
      <c r="AW1031" s="54"/>
      <c r="AX1031" s="57"/>
      <c r="AY1031" s="54"/>
      <c r="AZ1031" s="54"/>
      <c r="BA1031" s="54"/>
      <c r="BB1031" s="54"/>
      <c r="BC1031" s="57"/>
      <c r="BD1031" s="19"/>
      <c r="BE1031" s="19"/>
      <c r="BF1031" s="19"/>
      <c r="BG1031" s="54"/>
      <c r="BI1031" s="54"/>
      <c r="BJ1031" s="55"/>
      <c r="BK1031" s="55"/>
      <c r="BL1031" s="54"/>
      <c r="BM1031" s="56"/>
      <c r="BN1031" s="56"/>
      <c r="BO1031" s="52"/>
      <c r="BP1031" s="52"/>
      <c r="BQ1031" s="52"/>
      <c r="BR1031" s="52"/>
      <c r="BS1031" s="52"/>
      <c r="BT1031" s="52"/>
      <c r="BU1031" s="52"/>
      <c r="BV1031" s="52"/>
      <c r="BW1031" s="52"/>
      <c r="BX1031" s="52"/>
      <c r="BY1031" s="52"/>
      <c r="BZ1031" s="52"/>
      <c r="CA1031" s="52"/>
      <c r="CB1031" s="52"/>
      <c r="CC1031" s="52"/>
      <c r="CD1031" s="52"/>
      <c r="CE1031" s="52"/>
      <c r="CF1031" s="52"/>
      <c r="CG1031" s="52"/>
      <c r="CH1031" s="52"/>
      <c r="CI1031" s="52"/>
      <c r="CJ1031" s="52"/>
      <c r="CK1031" s="52"/>
      <c r="CL1031" s="52"/>
      <c r="CM1031" s="52"/>
      <c r="CN1031" s="52"/>
      <c r="CO1031" s="52"/>
      <c r="CP1031" s="52"/>
      <c r="CQ1031" s="52"/>
      <c r="CR1031" s="52"/>
      <c r="CS1031" s="52"/>
      <c r="CT1031" s="52"/>
      <c r="CU1031" s="52"/>
      <c r="CV1031" s="52"/>
      <c r="CW1031" s="52"/>
      <c r="CX1031" s="52"/>
      <c r="CY1031" s="52"/>
      <c r="CZ1031" s="52"/>
      <c r="DA1031" s="52"/>
      <c r="DB1031" s="52"/>
      <c r="DC1031" s="52"/>
      <c r="DD1031" s="52"/>
      <c r="DE1031" s="52"/>
      <c r="DF1031" s="52"/>
      <c r="DG1031" s="52"/>
      <c r="DH1031" s="52"/>
      <c r="DI1031" s="52"/>
      <c r="DJ1031" s="52"/>
      <c r="DK1031" s="52"/>
      <c r="DL1031" s="52"/>
      <c r="DM1031" s="52"/>
      <c r="DN1031" s="52"/>
      <c r="DO1031" s="52"/>
      <c r="DP1031" s="52"/>
      <c r="DQ1031" s="52"/>
      <c r="DR1031" s="52"/>
      <c r="DS1031" s="52"/>
      <c r="DT1031" s="52"/>
      <c r="DU1031" s="52"/>
      <c r="DV1031" s="52"/>
      <c r="DW1031" s="52"/>
      <c r="DX1031" s="52"/>
      <c r="DZ1031"/>
      <c r="EA1031" s="19"/>
      <c r="EB1031" s="19"/>
      <c r="EC1031" s="9"/>
      <c r="ED1031" s="9"/>
      <c r="EE1031" s="9"/>
      <c r="EF1031" s="9"/>
      <c r="EG1031" s="9"/>
      <c r="EH1031" s="13"/>
      <c r="EI1031" s="13"/>
      <c r="EJ1031" s="13"/>
      <c r="EK1031" s="13"/>
      <c r="EL1031" s="13"/>
      <c r="EM1031" s="13"/>
      <c r="EN1031" s="13"/>
      <c r="EO1031" s="13"/>
      <c r="EP1031" s="13"/>
      <c r="EQ1031" s="13"/>
      <c r="ER1031" s="13"/>
      <c r="ES1031" s="13"/>
      <c r="ET1031" s="13"/>
      <c r="EU1031" s="13"/>
      <c r="EV1031" s="13"/>
      <c r="EW1031" s="13"/>
      <c r="EX1031" s="13"/>
      <c r="EY1031" s="13"/>
      <c r="EZ1031" s="13"/>
      <c r="FA1031" s="13"/>
      <c r="FB1031" s="13"/>
      <c r="FC1031" s="13"/>
      <c r="FD1031" s="13"/>
      <c r="FE1031" s="13"/>
      <c r="FF1031" s="13"/>
      <c r="FG1031" s="13"/>
      <c r="FH1031" s="13"/>
      <c r="FI1031" s="13"/>
      <c r="FJ1031" s="13"/>
      <c r="FK1031" s="13"/>
      <c r="FL1031" s="13"/>
      <c r="FM1031" s="13"/>
      <c r="FN1031" s="13"/>
      <c r="FO1031" s="13"/>
      <c r="FP1031" s="13"/>
      <c r="FQ1031" s="13"/>
      <c r="FR1031" s="13"/>
      <c r="FS1031" s="13"/>
      <c r="FT1031" s="13"/>
      <c r="FU1031" s="13"/>
      <c r="FV1031" s="13"/>
      <c r="FW1031" s="13"/>
      <c r="FX1031" s="13"/>
      <c r="FY1031" s="13"/>
      <c r="FZ1031" s="13"/>
      <c r="GA1031" s="13"/>
    </row>
    <row r="1032" spans="1:183" s="43" customFormat="1" x14ac:dyDescent="0.25">
      <c r="A1032" s="2"/>
      <c r="B1032" s="2"/>
      <c r="C1032" s="9">
        <v>2</v>
      </c>
      <c r="D1032" s="9">
        <v>4</v>
      </c>
      <c r="E1032" s="9">
        <v>21</v>
      </c>
      <c r="F1032" s="9">
        <v>37</v>
      </c>
      <c r="G1032" s="9">
        <v>63</v>
      </c>
      <c r="H1032" s="9">
        <v>73</v>
      </c>
      <c r="J1032" s="9">
        <v>73</v>
      </c>
      <c r="L1032" s="39">
        <v>44300</v>
      </c>
      <c r="N1032"/>
      <c r="O1032"/>
      <c r="P1032"/>
      <c r="Q1032"/>
      <c r="R1032"/>
      <c r="S1032"/>
      <c r="T1032"/>
      <c r="U1032"/>
      <c r="V1032"/>
      <c r="W1032" s="52"/>
      <c r="Y1032"/>
      <c r="Z1032"/>
      <c r="AA1032"/>
      <c r="AB1032"/>
      <c r="AC1032"/>
      <c r="AD1032"/>
      <c r="AE1032"/>
      <c r="AF1032"/>
      <c r="AG1032"/>
      <c r="AH1032" s="52"/>
      <c r="AI1032" s="148"/>
      <c r="AJ1032" s="19"/>
      <c r="AK1032" s="19"/>
      <c r="AL1032" s="19"/>
      <c r="AM1032" s="19"/>
      <c r="AN1032" s="42"/>
      <c r="AO1032" s="54"/>
      <c r="AP1032" s="19"/>
      <c r="AQ1032" s="1"/>
      <c r="AR1032" s="74"/>
      <c r="AS1032" s="42"/>
      <c r="AT1032" s="54"/>
      <c r="AU1032" s="54"/>
      <c r="AV1032" s="19"/>
      <c r="AW1032" s="54"/>
      <c r="AX1032" s="57"/>
      <c r="AY1032" s="54"/>
      <c r="AZ1032" s="54"/>
      <c r="BA1032" s="54"/>
      <c r="BB1032" s="54"/>
      <c r="BC1032" s="57"/>
      <c r="BD1032" s="19"/>
      <c r="BE1032" s="19"/>
      <c r="BF1032" s="19"/>
      <c r="BG1032" s="54"/>
      <c r="BI1032" s="54"/>
      <c r="BJ1032" s="55"/>
      <c r="BK1032" s="55"/>
      <c r="BL1032" s="54"/>
      <c r="BM1032" s="56"/>
      <c r="BN1032" s="56"/>
      <c r="BO1032" s="52"/>
      <c r="BP1032" s="52"/>
      <c r="BQ1032" s="52"/>
      <c r="BR1032" s="52"/>
      <c r="BS1032" s="52"/>
      <c r="BT1032" s="52"/>
      <c r="BU1032" s="52"/>
      <c r="BV1032" s="52"/>
      <c r="BW1032" s="52"/>
      <c r="BX1032" s="52"/>
      <c r="BY1032" s="52"/>
      <c r="BZ1032" s="52"/>
      <c r="CA1032" s="52"/>
      <c r="CB1032" s="52"/>
      <c r="CC1032" s="52"/>
      <c r="CD1032" s="52"/>
      <c r="CE1032" s="52"/>
      <c r="CF1032" s="52"/>
      <c r="CG1032" s="52"/>
      <c r="CH1032" s="52"/>
      <c r="CI1032" s="52"/>
      <c r="CJ1032" s="52"/>
      <c r="CK1032" s="52"/>
      <c r="CL1032" s="52"/>
      <c r="CM1032" s="52"/>
      <c r="CN1032" s="52"/>
      <c r="CO1032" s="52"/>
      <c r="CP1032" s="52"/>
      <c r="CQ1032" s="52"/>
      <c r="CR1032" s="52"/>
      <c r="CS1032" s="52"/>
      <c r="CT1032" s="52"/>
      <c r="CU1032" s="52"/>
      <c r="CV1032" s="52"/>
      <c r="CW1032" s="52"/>
      <c r="CX1032" s="52"/>
      <c r="CY1032" s="52"/>
      <c r="CZ1032" s="52"/>
      <c r="DA1032" s="52"/>
      <c r="DB1032" s="52"/>
      <c r="DC1032" s="52"/>
      <c r="DD1032" s="52"/>
      <c r="DE1032" s="52"/>
      <c r="DF1032" s="52"/>
      <c r="DG1032" s="52"/>
      <c r="DH1032" s="52"/>
      <c r="DI1032" s="52"/>
      <c r="DJ1032" s="52"/>
      <c r="DK1032" s="52"/>
      <c r="DL1032" s="52"/>
      <c r="DM1032" s="52"/>
      <c r="DN1032" s="52"/>
      <c r="DO1032" s="52"/>
      <c r="DP1032" s="52"/>
      <c r="DQ1032" s="52"/>
      <c r="DR1032" s="52"/>
      <c r="DS1032" s="52"/>
      <c r="DT1032" s="52"/>
      <c r="DU1032" s="52"/>
      <c r="DV1032" s="52"/>
      <c r="DW1032" s="52"/>
      <c r="DX1032" s="52"/>
      <c r="DZ1032"/>
      <c r="EA1032" s="19"/>
      <c r="EB1032" s="19"/>
      <c r="EC1032" s="9"/>
      <c r="ED1032" s="9"/>
      <c r="EE1032" s="9"/>
      <c r="EF1032" s="9"/>
      <c r="EG1032" s="9"/>
      <c r="EH1032" s="13"/>
      <c r="EI1032" s="13"/>
      <c r="EJ1032" s="13"/>
      <c r="EK1032" s="13"/>
      <c r="EL1032" s="13"/>
      <c r="EM1032" s="13"/>
      <c r="EN1032" s="13"/>
      <c r="EO1032" s="13"/>
      <c r="EP1032" s="13"/>
      <c r="EQ1032" s="13"/>
      <c r="ER1032" s="13"/>
      <c r="ES1032" s="13"/>
      <c r="ET1032" s="13"/>
      <c r="EU1032" s="13"/>
      <c r="EV1032" s="13"/>
      <c r="EW1032" s="13"/>
      <c r="EX1032" s="13"/>
      <c r="EY1032" s="13"/>
      <c r="EZ1032" s="13"/>
      <c r="FA1032" s="13"/>
      <c r="FB1032" s="13"/>
      <c r="FC1032" s="13"/>
      <c r="FD1032" s="13"/>
      <c r="FE1032" s="13"/>
      <c r="FF1032" s="13"/>
      <c r="FG1032" s="13"/>
      <c r="FH1032" s="13"/>
      <c r="FI1032" s="13"/>
      <c r="FJ1032" s="13"/>
      <c r="FK1032" s="13"/>
      <c r="FL1032" s="13"/>
      <c r="FM1032" s="13"/>
      <c r="FN1032" s="13"/>
      <c r="FO1032" s="13"/>
      <c r="FP1032" s="13"/>
      <c r="FQ1032" s="13"/>
      <c r="FR1032" s="13"/>
      <c r="FS1032" s="13"/>
      <c r="FT1032" s="13"/>
      <c r="FU1032" s="13"/>
      <c r="FV1032" s="13"/>
      <c r="FW1032" s="13"/>
      <c r="FX1032" s="13"/>
      <c r="FY1032" s="13"/>
      <c r="FZ1032" s="13"/>
      <c r="GA1032" s="13"/>
    </row>
    <row r="1033" spans="1:183" s="43" customFormat="1" x14ac:dyDescent="0.25">
      <c r="A1033" s="2"/>
      <c r="B1033" s="2"/>
      <c r="C1033" s="9">
        <v>18</v>
      </c>
      <c r="D1033" s="9">
        <v>48</v>
      </c>
      <c r="E1033" s="9">
        <v>66</v>
      </c>
      <c r="F1033" s="9">
        <v>72</v>
      </c>
      <c r="G1033" s="9">
        <v>88</v>
      </c>
      <c r="H1033" s="9">
        <v>90</v>
      </c>
      <c r="J1033" s="9">
        <v>90</v>
      </c>
      <c r="L1033" s="39">
        <v>44298</v>
      </c>
      <c r="N1033"/>
      <c r="O1033"/>
      <c r="P1033"/>
      <c r="Q1033"/>
      <c r="R1033"/>
      <c r="S1033"/>
      <c r="T1033"/>
      <c r="U1033"/>
      <c r="V1033"/>
      <c r="W1033" s="52"/>
      <c r="Y1033"/>
      <c r="Z1033"/>
      <c r="AA1033"/>
      <c r="AB1033"/>
      <c r="AC1033"/>
      <c r="AD1033"/>
      <c r="AE1033"/>
      <c r="AF1033"/>
      <c r="AG1033"/>
      <c r="AH1033" s="52"/>
      <c r="AI1033" s="148"/>
      <c r="AJ1033" s="19"/>
      <c r="AK1033" s="19"/>
      <c r="AL1033" s="19"/>
      <c r="AM1033" s="19"/>
      <c r="AN1033" s="42"/>
      <c r="AO1033" s="54"/>
      <c r="AP1033" s="19"/>
      <c r="AQ1033" s="1"/>
      <c r="AR1033" s="74"/>
      <c r="AS1033" s="42"/>
      <c r="AT1033" s="54"/>
      <c r="AU1033" s="54"/>
      <c r="AV1033" s="19"/>
      <c r="AW1033" s="54"/>
      <c r="AX1033" s="57"/>
      <c r="AY1033" s="54"/>
      <c r="AZ1033" s="54"/>
      <c r="BA1033" s="54"/>
      <c r="BB1033" s="54"/>
      <c r="BC1033" s="57"/>
      <c r="BD1033" s="19"/>
      <c r="BE1033" s="19"/>
      <c r="BF1033" s="19"/>
      <c r="BG1033" s="54"/>
      <c r="BI1033" s="54"/>
      <c r="BJ1033" s="55"/>
      <c r="BK1033" s="55"/>
      <c r="BL1033" s="54"/>
      <c r="BM1033" s="56"/>
      <c r="BN1033" s="56"/>
      <c r="BO1033" s="52"/>
      <c r="BP1033" s="52"/>
      <c r="BQ1033" s="52"/>
      <c r="BR1033" s="52"/>
      <c r="BS1033" s="52"/>
      <c r="BT1033" s="52"/>
      <c r="BU1033" s="52"/>
      <c r="BV1033" s="52"/>
      <c r="BW1033" s="52"/>
      <c r="BX1033" s="52"/>
      <c r="BY1033" s="52"/>
      <c r="BZ1033" s="52"/>
      <c r="CA1033" s="52"/>
      <c r="CB1033" s="52"/>
      <c r="CC1033" s="52"/>
      <c r="CD1033" s="52"/>
      <c r="CE1033" s="52"/>
      <c r="CF1033" s="52"/>
      <c r="CG1033" s="52"/>
      <c r="CH1033" s="52"/>
      <c r="CI1033" s="52"/>
      <c r="CJ1033" s="52"/>
      <c r="CK1033" s="52"/>
      <c r="CL1033" s="52"/>
      <c r="CM1033" s="52"/>
      <c r="CN1033" s="52"/>
      <c r="CO1033" s="52"/>
      <c r="CP1033" s="52"/>
      <c r="CQ1033" s="52"/>
      <c r="CR1033" s="52"/>
      <c r="CS1033" s="52"/>
      <c r="CT1033" s="52"/>
      <c r="CU1033" s="52"/>
      <c r="CV1033" s="52"/>
      <c r="CW1033" s="52"/>
      <c r="CX1033" s="52"/>
      <c r="CY1033" s="52"/>
      <c r="CZ1033" s="52"/>
      <c r="DA1033" s="52"/>
      <c r="DB1033" s="52"/>
      <c r="DC1033" s="52"/>
      <c r="DD1033" s="52"/>
      <c r="DE1033" s="52"/>
      <c r="DF1033" s="52"/>
      <c r="DG1033" s="52"/>
      <c r="DH1033" s="52"/>
      <c r="DI1033" s="52"/>
      <c r="DJ1033" s="52"/>
      <c r="DK1033" s="52"/>
      <c r="DL1033" s="52"/>
      <c r="DM1033" s="52"/>
      <c r="DN1033" s="52"/>
      <c r="DO1033" s="52"/>
      <c r="DP1033" s="52"/>
      <c r="DQ1033" s="52"/>
      <c r="DR1033" s="52"/>
      <c r="DS1033" s="52"/>
      <c r="DT1033" s="52"/>
      <c r="DU1033" s="52"/>
      <c r="DV1033" s="52"/>
      <c r="DW1033" s="52"/>
      <c r="DX1033" s="52"/>
      <c r="DZ1033"/>
      <c r="EA1033" s="19"/>
      <c r="EB1033" s="19"/>
      <c r="EC1033" s="9"/>
      <c r="ED1033" s="9"/>
      <c r="EE1033" s="9"/>
      <c r="EF1033" s="9"/>
      <c r="EG1033" s="9"/>
      <c r="EH1033" s="13"/>
      <c r="EI1033" s="13"/>
      <c r="EJ1033" s="13"/>
      <c r="EK1033" s="13"/>
      <c r="EL1033" s="13"/>
      <c r="EM1033" s="13"/>
      <c r="EN1033" s="13"/>
      <c r="EO1033" s="13"/>
      <c r="EP1033" s="13"/>
      <c r="EQ1033" s="13"/>
      <c r="ER1033" s="13"/>
      <c r="ES1033" s="13"/>
      <c r="ET1033" s="13"/>
      <c r="EU1033" s="13"/>
      <c r="EV1033" s="13"/>
      <c r="EW1033" s="13"/>
      <c r="EX1033" s="13"/>
      <c r="EY1033" s="13"/>
      <c r="EZ1033" s="13"/>
      <c r="FA1033" s="13"/>
      <c r="FB1033" s="13"/>
      <c r="FC1033" s="13"/>
      <c r="FD1033" s="13"/>
      <c r="FE1033" s="13"/>
      <c r="FF1033" s="13"/>
      <c r="FG1033" s="13"/>
      <c r="FH1033" s="13"/>
      <c r="FI1033" s="13"/>
      <c r="FJ1033" s="13"/>
      <c r="FK1033" s="13"/>
      <c r="FL1033" s="13"/>
      <c r="FM1033" s="13"/>
      <c r="FN1033" s="13"/>
      <c r="FO1033" s="13"/>
      <c r="FP1033" s="13"/>
      <c r="FQ1033" s="13"/>
      <c r="FR1033" s="13"/>
      <c r="FS1033" s="13"/>
      <c r="FT1033" s="13"/>
      <c r="FU1033" s="13"/>
      <c r="FV1033" s="13"/>
      <c r="FW1033" s="13"/>
      <c r="FX1033" s="13"/>
      <c r="FY1033" s="13"/>
      <c r="FZ1033" s="13"/>
      <c r="GA1033" s="13"/>
    </row>
    <row r="1034" spans="1:183" s="43" customFormat="1" x14ac:dyDescent="0.25">
      <c r="A1034" s="2"/>
      <c r="B1034" s="2"/>
      <c r="C1034" s="9">
        <v>5</v>
      </c>
      <c r="D1034" s="9">
        <v>21</v>
      </c>
      <c r="E1034" s="9">
        <v>30</v>
      </c>
      <c r="F1034" s="9">
        <v>43</v>
      </c>
      <c r="G1034" s="9">
        <v>45</v>
      </c>
      <c r="H1034" s="9">
        <v>60</v>
      </c>
      <c r="J1034" s="9">
        <v>60</v>
      </c>
      <c r="L1034" s="39">
        <v>44296</v>
      </c>
      <c r="N1034"/>
      <c r="O1034"/>
      <c r="P1034"/>
      <c r="Q1034"/>
      <c r="R1034"/>
      <c r="S1034"/>
      <c r="T1034"/>
      <c r="U1034"/>
      <c r="V1034"/>
      <c r="W1034" s="52"/>
      <c r="Y1034"/>
      <c r="Z1034"/>
      <c r="AA1034"/>
      <c r="AB1034"/>
      <c r="AC1034"/>
      <c r="AD1034"/>
      <c r="AE1034"/>
      <c r="AF1034"/>
      <c r="AG1034"/>
      <c r="AH1034" s="52"/>
      <c r="AI1034" s="148"/>
      <c r="AJ1034" s="19"/>
      <c r="AK1034" s="19"/>
      <c r="AL1034" s="19"/>
      <c r="AM1034" s="19"/>
      <c r="AN1034" s="42"/>
      <c r="AO1034" s="54"/>
      <c r="AP1034" s="19"/>
      <c r="AQ1034" s="1"/>
      <c r="AR1034" s="74"/>
      <c r="AS1034" s="42"/>
      <c r="AT1034" s="54"/>
      <c r="AU1034" s="54"/>
      <c r="AV1034" s="19"/>
      <c r="AW1034" s="54"/>
      <c r="AX1034" s="57"/>
      <c r="AY1034" s="54"/>
      <c r="AZ1034" s="54"/>
      <c r="BA1034" s="54"/>
      <c r="BB1034" s="54"/>
      <c r="BC1034" s="57"/>
      <c r="BD1034" s="19"/>
      <c r="BE1034" s="19"/>
      <c r="BF1034" s="19"/>
      <c r="BG1034" s="54"/>
      <c r="BI1034" s="54"/>
      <c r="BJ1034" s="55"/>
      <c r="BK1034" s="55"/>
      <c r="BL1034" s="54"/>
      <c r="BM1034" s="56"/>
      <c r="BN1034" s="56"/>
      <c r="BO1034" s="52"/>
      <c r="BP1034" s="52"/>
      <c r="BQ1034" s="52"/>
      <c r="BR1034" s="52"/>
      <c r="BS1034" s="52"/>
      <c r="BT1034" s="52"/>
      <c r="BU1034" s="52"/>
      <c r="BV1034" s="52"/>
      <c r="BW1034" s="52"/>
      <c r="BX1034" s="52"/>
      <c r="BY1034" s="52"/>
      <c r="BZ1034" s="52"/>
      <c r="CA1034" s="52"/>
      <c r="CB1034" s="52"/>
      <c r="CC1034" s="52"/>
      <c r="CD1034" s="52"/>
      <c r="CE1034" s="52"/>
      <c r="CF1034" s="52"/>
      <c r="CG1034" s="52"/>
      <c r="CH1034" s="52"/>
      <c r="CI1034" s="52"/>
      <c r="CJ1034" s="52"/>
      <c r="CK1034" s="52"/>
      <c r="CL1034" s="52"/>
      <c r="CM1034" s="52"/>
      <c r="CN1034" s="52"/>
      <c r="CO1034" s="52"/>
      <c r="CP1034" s="52"/>
      <c r="CQ1034" s="52"/>
      <c r="CR1034" s="52"/>
      <c r="CS1034" s="52"/>
      <c r="CT1034" s="52"/>
      <c r="CU1034" s="52"/>
      <c r="CV1034" s="52"/>
      <c r="CW1034" s="52"/>
      <c r="CX1034" s="52"/>
      <c r="CY1034" s="52"/>
      <c r="CZ1034" s="52"/>
      <c r="DA1034" s="52"/>
      <c r="DB1034" s="52"/>
      <c r="DC1034" s="52"/>
      <c r="DD1034" s="52"/>
      <c r="DE1034" s="52"/>
      <c r="DF1034" s="52"/>
      <c r="DG1034" s="52"/>
      <c r="DH1034" s="52"/>
      <c r="DI1034" s="52"/>
      <c r="DJ1034" s="52"/>
      <c r="DK1034" s="52"/>
      <c r="DL1034" s="52"/>
      <c r="DM1034" s="52"/>
      <c r="DN1034" s="52"/>
      <c r="DO1034" s="52"/>
      <c r="DP1034" s="52"/>
      <c r="DQ1034" s="52"/>
      <c r="DR1034" s="52"/>
      <c r="DS1034" s="52"/>
      <c r="DT1034" s="52"/>
      <c r="DU1034" s="52"/>
      <c r="DV1034" s="52"/>
      <c r="DW1034" s="52"/>
      <c r="DX1034" s="52"/>
      <c r="DZ1034"/>
      <c r="EA1034" s="19"/>
      <c r="EB1034" s="19"/>
      <c r="EC1034" s="9"/>
      <c r="ED1034" s="9"/>
      <c r="EE1034" s="9"/>
      <c r="EF1034" s="9"/>
      <c r="EG1034" s="9"/>
      <c r="EH1034" s="13"/>
      <c r="EI1034" s="13"/>
      <c r="EJ1034" s="13"/>
      <c r="EK1034" s="13"/>
      <c r="EL1034" s="13"/>
      <c r="EM1034" s="13"/>
      <c r="EN1034" s="13"/>
      <c r="EO1034" s="13"/>
      <c r="EP1034" s="13"/>
      <c r="EQ1034" s="13"/>
      <c r="ER1034" s="13"/>
      <c r="ES1034" s="13"/>
      <c r="ET1034" s="13"/>
      <c r="EU1034" s="13"/>
      <c r="EV1034" s="13"/>
      <c r="EW1034" s="13"/>
      <c r="EX1034" s="13"/>
      <c r="EY1034" s="13"/>
      <c r="EZ1034" s="13"/>
      <c r="FA1034" s="13"/>
      <c r="FB1034" s="13"/>
      <c r="FC1034" s="13"/>
      <c r="FD1034" s="13"/>
      <c r="FE1034" s="13"/>
      <c r="FF1034" s="13"/>
      <c r="FG1034" s="13"/>
      <c r="FH1034" s="13"/>
      <c r="FI1034" s="13"/>
      <c r="FJ1034" s="13"/>
      <c r="FK1034" s="13"/>
      <c r="FL1034" s="13"/>
      <c r="FM1034" s="13"/>
      <c r="FN1034" s="13"/>
      <c r="FO1034" s="13"/>
      <c r="FP1034" s="13"/>
      <c r="FQ1034" s="13"/>
      <c r="FR1034" s="13"/>
      <c r="FS1034" s="13"/>
      <c r="FT1034" s="13"/>
      <c r="FU1034" s="13"/>
      <c r="FV1034" s="13"/>
      <c r="FW1034" s="13"/>
      <c r="FX1034" s="13"/>
      <c r="FY1034" s="13"/>
      <c r="FZ1034" s="13"/>
      <c r="GA1034" s="13"/>
    </row>
    <row r="1035" spans="1:183" s="43" customFormat="1" x14ac:dyDescent="0.25">
      <c r="A1035" s="2"/>
      <c r="B1035" s="2"/>
      <c r="C1035" s="9">
        <v>13</v>
      </c>
      <c r="D1035" s="9">
        <v>53</v>
      </c>
      <c r="E1035" s="9">
        <v>64</v>
      </c>
      <c r="F1035" s="9">
        <v>69</v>
      </c>
      <c r="G1035" s="9">
        <v>78</v>
      </c>
      <c r="H1035" s="9">
        <v>80</v>
      </c>
      <c r="J1035" s="9">
        <v>80</v>
      </c>
      <c r="L1035" s="39">
        <v>44293</v>
      </c>
      <c r="N1035"/>
      <c r="O1035"/>
      <c r="P1035"/>
      <c r="Q1035"/>
      <c r="R1035"/>
      <c r="S1035"/>
      <c r="T1035"/>
      <c r="U1035"/>
      <c r="V1035"/>
      <c r="W1035" s="52"/>
      <c r="Y1035"/>
      <c r="Z1035"/>
      <c r="AA1035"/>
      <c r="AB1035"/>
      <c r="AC1035"/>
      <c r="AD1035"/>
      <c r="AE1035"/>
      <c r="AF1035"/>
      <c r="AG1035"/>
      <c r="AH1035" s="52"/>
      <c r="AI1035" s="148"/>
      <c r="AJ1035" s="19"/>
      <c r="AK1035" s="19"/>
      <c r="AL1035" s="19"/>
      <c r="AM1035" s="19"/>
      <c r="AN1035" s="42"/>
      <c r="AO1035" s="54"/>
      <c r="AP1035" s="19"/>
      <c r="AQ1035" s="1"/>
      <c r="AR1035" s="74"/>
      <c r="AS1035" s="42"/>
      <c r="AT1035" s="54"/>
      <c r="AU1035" s="54"/>
      <c r="AV1035" s="19"/>
      <c r="AW1035" s="54"/>
      <c r="AX1035" s="57"/>
      <c r="AY1035" s="54"/>
      <c r="AZ1035" s="54"/>
      <c r="BA1035" s="54"/>
      <c r="BB1035" s="54"/>
      <c r="BC1035" s="57"/>
      <c r="BD1035" s="19"/>
      <c r="BE1035" s="19"/>
      <c r="BF1035" s="19"/>
      <c r="BG1035" s="54"/>
      <c r="BI1035" s="54"/>
      <c r="BJ1035" s="55"/>
      <c r="BK1035" s="55"/>
      <c r="BL1035" s="54"/>
      <c r="BM1035" s="56"/>
      <c r="BN1035" s="56"/>
      <c r="BO1035" s="52"/>
      <c r="BP1035" s="52"/>
      <c r="BQ1035" s="52"/>
      <c r="BR1035" s="52"/>
      <c r="BS1035" s="52"/>
      <c r="BT1035" s="52"/>
      <c r="BU1035" s="52"/>
      <c r="BV1035" s="52"/>
      <c r="BW1035" s="52"/>
      <c r="BX1035" s="52"/>
      <c r="BY1035" s="52"/>
      <c r="BZ1035" s="52"/>
      <c r="CA1035" s="52"/>
      <c r="CB1035" s="52"/>
      <c r="CC1035" s="52"/>
      <c r="CD1035" s="52"/>
      <c r="CE1035" s="52"/>
      <c r="CF1035" s="52"/>
      <c r="CG1035" s="52"/>
      <c r="CH1035" s="52"/>
      <c r="CI1035" s="52"/>
      <c r="CJ1035" s="52"/>
      <c r="CK1035" s="52"/>
      <c r="CL1035" s="52"/>
      <c r="CM1035" s="52"/>
      <c r="CN1035" s="52"/>
      <c r="CO1035" s="52"/>
      <c r="CP1035" s="52"/>
      <c r="CQ1035" s="52"/>
      <c r="CR1035" s="52"/>
      <c r="CS1035" s="52"/>
      <c r="CT1035" s="52"/>
      <c r="CU1035" s="52"/>
      <c r="CV1035" s="52"/>
      <c r="CW1035" s="52"/>
      <c r="CX1035" s="52"/>
      <c r="CY1035" s="52"/>
      <c r="CZ1035" s="52"/>
      <c r="DA1035" s="52"/>
      <c r="DB1035" s="52"/>
      <c r="DC1035" s="52"/>
      <c r="DD1035" s="52"/>
      <c r="DE1035" s="52"/>
      <c r="DF1035" s="52"/>
      <c r="DG1035" s="52"/>
      <c r="DH1035" s="52"/>
      <c r="DI1035" s="52"/>
      <c r="DJ1035" s="52"/>
      <c r="DK1035" s="52"/>
      <c r="DL1035" s="52"/>
      <c r="DM1035" s="52"/>
      <c r="DN1035" s="52"/>
      <c r="DO1035" s="52"/>
      <c r="DP1035" s="52"/>
      <c r="DQ1035" s="52"/>
      <c r="DR1035" s="52"/>
      <c r="DS1035" s="52"/>
      <c r="DT1035" s="52"/>
      <c r="DU1035" s="52"/>
      <c r="DV1035" s="52"/>
      <c r="DW1035" s="52"/>
      <c r="DX1035" s="52"/>
      <c r="DZ1035"/>
      <c r="EA1035" s="19"/>
      <c r="EB1035" s="19"/>
      <c r="EC1035" s="9"/>
      <c r="ED1035" s="9"/>
      <c r="EE1035" s="9"/>
      <c r="EF1035" s="9"/>
      <c r="EG1035" s="9"/>
      <c r="EH1035" s="13"/>
      <c r="EI1035" s="13"/>
      <c r="EJ1035" s="13"/>
      <c r="EK1035" s="13"/>
      <c r="EL1035" s="13"/>
      <c r="EM1035" s="13"/>
      <c r="EN1035" s="13"/>
      <c r="EO1035" s="13"/>
      <c r="EP1035" s="13"/>
      <c r="EQ1035" s="13"/>
      <c r="ER1035" s="13"/>
      <c r="ES1035" s="13"/>
      <c r="ET1035" s="13"/>
      <c r="EU1035" s="13"/>
      <c r="EV1035" s="13"/>
      <c r="EW1035" s="13"/>
      <c r="EX1035" s="13"/>
      <c r="EY1035" s="13"/>
      <c r="EZ1035" s="13"/>
      <c r="FA1035" s="13"/>
      <c r="FB1035" s="13"/>
      <c r="FC1035" s="13"/>
      <c r="FD1035" s="13"/>
      <c r="FE1035" s="13"/>
      <c r="FF1035" s="13"/>
      <c r="FG1035" s="13"/>
      <c r="FH1035" s="13"/>
      <c r="FI1035" s="13"/>
      <c r="FJ1035" s="13"/>
      <c r="FK1035" s="13"/>
      <c r="FL1035" s="13"/>
      <c r="FM1035" s="13"/>
      <c r="FN1035" s="13"/>
      <c r="FO1035" s="13"/>
      <c r="FP1035" s="13"/>
      <c r="FQ1035" s="13"/>
      <c r="FR1035" s="13"/>
      <c r="FS1035" s="13"/>
      <c r="FT1035" s="13"/>
      <c r="FU1035" s="13"/>
      <c r="FV1035" s="13"/>
      <c r="FW1035" s="13"/>
      <c r="FX1035" s="13"/>
      <c r="FY1035" s="13"/>
      <c r="FZ1035" s="13"/>
      <c r="GA1035" s="13"/>
    </row>
    <row r="1036" spans="1:183" s="43" customFormat="1" x14ac:dyDescent="0.25">
      <c r="A1036" s="2"/>
      <c r="B1036" s="2"/>
      <c r="C1036" s="9">
        <v>19</v>
      </c>
      <c r="D1036" s="9">
        <v>35</v>
      </c>
      <c r="E1036" s="9">
        <v>39</v>
      </c>
      <c r="F1036" s="9">
        <v>62</v>
      </c>
      <c r="G1036" s="9">
        <v>64</v>
      </c>
      <c r="H1036" s="9">
        <v>86</v>
      </c>
      <c r="J1036" s="9">
        <v>86</v>
      </c>
      <c r="L1036" s="39">
        <v>44291</v>
      </c>
      <c r="N1036"/>
      <c r="O1036"/>
      <c r="P1036"/>
      <c r="Q1036"/>
      <c r="R1036"/>
      <c r="S1036"/>
      <c r="T1036"/>
      <c r="U1036"/>
      <c r="V1036"/>
      <c r="W1036" s="52"/>
      <c r="Y1036"/>
      <c r="Z1036"/>
      <c r="AA1036"/>
      <c r="AB1036"/>
      <c r="AC1036"/>
      <c r="AD1036"/>
      <c r="AE1036"/>
      <c r="AF1036"/>
      <c r="AG1036"/>
      <c r="AH1036" s="52"/>
      <c r="AI1036" s="148"/>
      <c r="AJ1036" s="19"/>
      <c r="AK1036" s="19"/>
      <c r="AL1036" s="19"/>
      <c r="AM1036" s="19"/>
      <c r="AN1036" s="42"/>
      <c r="AO1036" s="54"/>
      <c r="AP1036" s="19"/>
      <c r="AQ1036" s="1"/>
      <c r="AR1036" s="74"/>
      <c r="AS1036" s="42"/>
      <c r="AT1036" s="54"/>
      <c r="AU1036" s="54"/>
      <c r="AV1036" s="19"/>
      <c r="AW1036" s="54"/>
      <c r="AX1036" s="57"/>
      <c r="AY1036" s="54"/>
      <c r="AZ1036" s="54"/>
      <c r="BA1036" s="54"/>
      <c r="BB1036" s="54"/>
      <c r="BC1036" s="57"/>
      <c r="BD1036" s="19"/>
      <c r="BE1036" s="19"/>
      <c r="BF1036" s="19"/>
      <c r="BG1036" s="54"/>
      <c r="BI1036" s="54"/>
      <c r="BJ1036" s="55"/>
      <c r="BK1036" s="55"/>
      <c r="BL1036" s="54"/>
      <c r="BM1036" s="56"/>
      <c r="BN1036" s="56"/>
      <c r="BO1036" s="52"/>
      <c r="BP1036" s="52"/>
      <c r="BQ1036" s="52"/>
      <c r="BR1036" s="52"/>
      <c r="BS1036" s="52"/>
      <c r="BT1036" s="52"/>
      <c r="BU1036" s="52"/>
      <c r="BV1036" s="52"/>
      <c r="BW1036" s="52"/>
      <c r="BX1036" s="52"/>
      <c r="BY1036" s="52"/>
      <c r="BZ1036" s="52"/>
      <c r="CA1036" s="52"/>
      <c r="CB1036" s="52"/>
      <c r="CC1036" s="52"/>
      <c r="CD1036" s="52"/>
      <c r="CE1036" s="52"/>
      <c r="CF1036" s="52"/>
      <c r="CG1036" s="52"/>
      <c r="CH1036" s="52"/>
      <c r="CI1036" s="52"/>
      <c r="CJ1036" s="52"/>
      <c r="CK1036" s="52"/>
      <c r="CL1036" s="52"/>
      <c r="CM1036" s="52"/>
      <c r="CN1036" s="52"/>
      <c r="CO1036" s="52"/>
      <c r="CP1036" s="52"/>
      <c r="CQ1036" s="52"/>
      <c r="CR1036" s="52"/>
      <c r="CS1036" s="52"/>
      <c r="CT1036" s="52"/>
      <c r="CU1036" s="52"/>
      <c r="CV1036" s="52"/>
      <c r="CW1036" s="52"/>
      <c r="CX1036" s="52"/>
      <c r="CY1036" s="52"/>
      <c r="CZ1036" s="52"/>
      <c r="DA1036" s="52"/>
      <c r="DB1036" s="52"/>
      <c r="DC1036" s="52"/>
      <c r="DD1036" s="52"/>
      <c r="DE1036" s="52"/>
      <c r="DF1036" s="52"/>
      <c r="DG1036" s="52"/>
      <c r="DH1036" s="52"/>
      <c r="DI1036" s="52"/>
      <c r="DJ1036" s="52"/>
      <c r="DK1036" s="52"/>
      <c r="DL1036" s="52"/>
      <c r="DM1036" s="52"/>
      <c r="DN1036" s="52"/>
      <c r="DO1036" s="52"/>
      <c r="DP1036" s="52"/>
      <c r="DQ1036" s="52"/>
      <c r="DR1036" s="52"/>
      <c r="DS1036" s="52"/>
      <c r="DT1036" s="52"/>
      <c r="DU1036" s="52"/>
      <c r="DV1036" s="52"/>
      <c r="DW1036" s="52"/>
      <c r="DX1036" s="52"/>
      <c r="DZ1036"/>
      <c r="EA1036" s="19"/>
      <c r="EB1036" s="19"/>
      <c r="EC1036" s="9"/>
      <c r="ED1036" s="9"/>
      <c r="EE1036" s="9"/>
      <c r="EF1036" s="9"/>
      <c r="EG1036" s="9"/>
      <c r="EH1036" s="13"/>
      <c r="EI1036" s="13"/>
      <c r="EJ1036" s="13"/>
      <c r="EK1036" s="13"/>
      <c r="EL1036" s="13"/>
      <c r="EM1036" s="13"/>
      <c r="EN1036" s="13"/>
      <c r="EO1036" s="13"/>
      <c r="EP1036" s="13"/>
      <c r="EQ1036" s="13"/>
      <c r="ER1036" s="13"/>
      <c r="ES1036" s="13"/>
      <c r="ET1036" s="13"/>
      <c r="EU1036" s="13"/>
      <c r="EV1036" s="13"/>
      <c r="EW1036" s="13"/>
      <c r="EX1036" s="13"/>
      <c r="EY1036" s="13"/>
      <c r="EZ1036" s="13"/>
      <c r="FA1036" s="13"/>
      <c r="FB1036" s="13"/>
      <c r="FC1036" s="13"/>
      <c r="FD1036" s="13"/>
      <c r="FE1036" s="13"/>
      <c r="FF1036" s="13"/>
      <c r="FG1036" s="13"/>
      <c r="FH1036" s="13"/>
      <c r="FI1036" s="13"/>
      <c r="FJ1036" s="13"/>
      <c r="FK1036" s="13"/>
      <c r="FL1036" s="13"/>
      <c r="FM1036" s="13"/>
      <c r="FN1036" s="13"/>
      <c r="FO1036" s="13"/>
      <c r="FP1036" s="13"/>
      <c r="FQ1036" s="13"/>
      <c r="FR1036" s="13"/>
      <c r="FS1036" s="13"/>
      <c r="FT1036" s="13"/>
      <c r="FU1036" s="13"/>
      <c r="FV1036" s="13"/>
      <c r="FW1036" s="13"/>
      <c r="FX1036" s="13"/>
      <c r="FY1036" s="13"/>
      <c r="FZ1036" s="13"/>
      <c r="GA1036" s="13"/>
    </row>
    <row r="1037" spans="1:183" s="43" customFormat="1" x14ac:dyDescent="0.25">
      <c r="A1037" s="2"/>
      <c r="B1037" s="2"/>
      <c r="C1037" s="9">
        <v>8</v>
      </c>
      <c r="D1037" s="9">
        <v>34</v>
      </c>
      <c r="E1037" s="9">
        <v>39</v>
      </c>
      <c r="F1037" s="9">
        <v>65</v>
      </c>
      <c r="G1037" s="9">
        <v>72</v>
      </c>
      <c r="H1037" s="9">
        <v>73</v>
      </c>
      <c r="J1037" s="9">
        <v>73</v>
      </c>
      <c r="L1037" s="39">
        <v>44289</v>
      </c>
      <c r="N1037"/>
      <c r="O1037"/>
      <c r="P1037"/>
      <c r="Q1037"/>
      <c r="R1037"/>
      <c r="S1037"/>
      <c r="T1037"/>
      <c r="U1037"/>
      <c r="V1037"/>
      <c r="W1037" s="52"/>
      <c r="Y1037"/>
      <c r="Z1037"/>
      <c r="AA1037"/>
      <c r="AB1037"/>
      <c r="AC1037"/>
      <c r="AD1037"/>
      <c r="AE1037"/>
      <c r="AF1037"/>
      <c r="AG1037"/>
      <c r="AH1037" s="52"/>
      <c r="AI1037" s="148"/>
      <c r="AJ1037" s="19"/>
      <c r="AK1037" s="19"/>
      <c r="AL1037" s="19"/>
      <c r="AM1037" s="19"/>
      <c r="AN1037" s="42"/>
      <c r="AO1037" s="54"/>
      <c r="AP1037" s="19"/>
      <c r="AQ1037" s="1"/>
      <c r="AR1037" s="74"/>
      <c r="AS1037" s="42"/>
      <c r="AT1037" s="54"/>
      <c r="AU1037" s="54"/>
      <c r="AV1037" s="19"/>
      <c r="AW1037" s="54"/>
      <c r="AX1037" s="57"/>
      <c r="AY1037" s="54"/>
      <c r="AZ1037" s="54"/>
      <c r="BA1037" s="54"/>
      <c r="BB1037" s="54"/>
      <c r="BC1037" s="57"/>
      <c r="BD1037" s="19"/>
      <c r="BE1037" s="19"/>
      <c r="BF1037" s="19"/>
      <c r="BG1037" s="54"/>
      <c r="BI1037" s="54"/>
      <c r="BJ1037" s="55"/>
      <c r="BK1037" s="55"/>
      <c r="BL1037" s="54"/>
      <c r="BM1037" s="56"/>
      <c r="BN1037" s="56"/>
      <c r="BO1037" s="52"/>
      <c r="BP1037" s="52"/>
      <c r="BQ1037" s="52"/>
      <c r="BR1037" s="52"/>
      <c r="BS1037" s="52"/>
      <c r="BT1037" s="52"/>
      <c r="BU1037" s="52"/>
      <c r="BV1037" s="52"/>
      <c r="BW1037" s="52"/>
      <c r="BX1037" s="52"/>
      <c r="BY1037" s="52"/>
      <c r="BZ1037" s="52"/>
      <c r="CA1037" s="52"/>
      <c r="CB1037" s="52"/>
      <c r="CC1037" s="52"/>
      <c r="CD1037" s="52"/>
      <c r="CE1037" s="52"/>
      <c r="CF1037" s="52"/>
      <c r="CG1037" s="52"/>
      <c r="CH1037" s="52"/>
      <c r="CI1037" s="52"/>
      <c r="CJ1037" s="52"/>
      <c r="CK1037" s="52"/>
      <c r="CL1037" s="52"/>
      <c r="CM1037" s="52"/>
      <c r="CN1037" s="52"/>
      <c r="CO1037" s="52"/>
      <c r="CP1037" s="52"/>
      <c r="CQ1037" s="52"/>
      <c r="CR1037" s="52"/>
      <c r="CS1037" s="52"/>
      <c r="CT1037" s="52"/>
      <c r="CU1037" s="52"/>
      <c r="CV1037" s="52"/>
      <c r="CW1037" s="52"/>
      <c r="CX1037" s="52"/>
      <c r="CY1037" s="52"/>
      <c r="CZ1037" s="52"/>
      <c r="DA1037" s="52"/>
      <c r="DB1037" s="52"/>
      <c r="DC1037" s="52"/>
      <c r="DD1037" s="52"/>
      <c r="DE1037" s="52"/>
      <c r="DF1037" s="52"/>
      <c r="DG1037" s="52"/>
      <c r="DH1037" s="52"/>
      <c r="DI1037" s="52"/>
      <c r="DJ1037" s="52"/>
      <c r="DK1037" s="52"/>
      <c r="DL1037" s="52"/>
      <c r="DM1037" s="52"/>
      <c r="DN1037" s="52"/>
      <c r="DO1037" s="52"/>
      <c r="DP1037" s="52"/>
      <c r="DQ1037" s="52"/>
      <c r="DR1037" s="52"/>
      <c r="DS1037" s="52"/>
      <c r="DT1037" s="52"/>
      <c r="DU1037" s="52"/>
      <c r="DV1037" s="52"/>
      <c r="DW1037" s="52"/>
      <c r="DX1037" s="52"/>
      <c r="DZ1037"/>
      <c r="EA1037" s="19"/>
      <c r="EB1037" s="19"/>
      <c r="EC1037" s="9"/>
      <c r="ED1037" s="9"/>
      <c r="EE1037" s="9"/>
      <c r="EF1037" s="9"/>
      <c r="EG1037" s="9"/>
      <c r="EH1037" s="13"/>
      <c r="EI1037" s="13"/>
      <c r="EJ1037" s="13"/>
      <c r="EK1037" s="13"/>
      <c r="EL1037" s="13"/>
      <c r="EM1037" s="13"/>
      <c r="EN1037" s="13"/>
      <c r="EO1037" s="13"/>
      <c r="EP1037" s="13"/>
      <c r="EQ1037" s="13"/>
      <c r="ER1037" s="13"/>
      <c r="ES1037" s="13"/>
      <c r="ET1037" s="13"/>
      <c r="EU1037" s="13"/>
      <c r="EV1037" s="13"/>
      <c r="EW1037" s="13"/>
      <c r="EX1037" s="13"/>
      <c r="EY1037" s="13"/>
      <c r="EZ1037" s="13"/>
      <c r="FA1037" s="13"/>
      <c r="FB1037" s="13"/>
      <c r="FC1037" s="13"/>
      <c r="FD1037" s="13"/>
      <c r="FE1037" s="13"/>
      <c r="FF1037" s="13"/>
      <c r="FG1037" s="13"/>
      <c r="FH1037" s="13"/>
      <c r="FI1037" s="13"/>
      <c r="FJ1037" s="13"/>
      <c r="FK1037" s="13"/>
      <c r="FL1037" s="13"/>
      <c r="FM1037" s="13"/>
      <c r="FN1037" s="13"/>
      <c r="FO1037" s="13"/>
      <c r="FP1037" s="13"/>
      <c r="FQ1037" s="13"/>
      <c r="FR1037" s="13"/>
      <c r="FS1037" s="13"/>
      <c r="FT1037" s="13"/>
      <c r="FU1037" s="13"/>
      <c r="FV1037" s="13"/>
      <c r="FW1037" s="13"/>
      <c r="FX1037" s="13"/>
      <c r="FY1037" s="13"/>
      <c r="FZ1037" s="13"/>
      <c r="GA1037" s="13"/>
    </row>
    <row r="1038" spans="1:183" s="43" customFormat="1" x14ac:dyDescent="0.25">
      <c r="A1038" s="2"/>
      <c r="B1038" s="2"/>
      <c r="C1038" s="9">
        <v>1</v>
      </c>
      <c r="D1038" s="9">
        <v>3</v>
      </c>
      <c r="E1038" s="9">
        <v>59</v>
      </c>
      <c r="F1038" s="9">
        <v>83</v>
      </c>
      <c r="G1038" s="9">
        <v>84</v>
      </c>
      <c r="H1038" s="9">
        <v>88</v>
      </c>
      <c r="J1038" s="9">
        <v>88</v>
      </c>
      <c r="L1038" s="39">
        <v>44286</v>
      </c>
      <c r="N1038"/>
      <c r="O1038"/>
      <c r="P1038"/>
      <c r="Q1038"/>
      <c r="R1038"/>
      <c r="S1038"/>
      <c r="T1038"/>
      <c r="U1038"/>
      <c r="V1038"/>
      <c r="W1038" s="52"/>
      <c r="Y1038"/>
      <c r="Z1038"/>
      <c r="AA1038"/>
      <c r="AB1038"/>
      <c r="AC1038"/>
      <c r="AD1038"/>
      <c r="AE1038"/>
      <c r="AF1038"/>
      <c r="AG1038"/>
      <c r="AH1038" s="52"/>
      <c r="AI1038" s="148"/>
      <c r="AJ1038" s="19"/>
      <c r="AK1038" s="19"/>
      <c r="AL1038" s="19"/>
      <c r="AM1038" s="19"/>
      <c r="AN1038" s="42"/>
      <c r="AO1038" s="54"/>
      <c r="AP1038" s="19"/>
      <c r="AQ1038" s="1"/>
      <c r="AR1038" s="74"/>
      <c r="AS1038" s="42"/>
      <c r="AT1038" s="54"/>
      <c r="AU1038" s="54"/>
      <c r="AV1038" s="19"/>
      <c r="AW1038" s="54"/>
      <c r="AX1038" s="57"/>
      <c r="AY1038" s="54"/>
      <c r="AZ1038" s="54"/>
      <c r="BA1038" s="54"/>
      <c r="BB1038" s="54"/>
      <c r="BC1038" s="57"/>
      <c r="BD1038" s="19"/>
      <c r="BE1038" s="19"/>
      <c r="BF1038" s="19"/>
      <c r="BG1038" s="54"/>
      <c r="BI1038" s="54"/>
      <c r="BJ1038" s="55"/>
      <c r="BK1038" s="55"/>
      <c r="BL1038" s="54"/>
      <c r="BM1038" s="56"/>
      <c r="BN1038" s="56"/>
      <c r="BO1038" s="52"/>
      <c r="BP1038" s="52"/>
      <c r="BQ1038" s="52"/>
      <c r="BR1038" s="52"/>
      <c r="BS1038" s="52"/>
      <c r="BT1038" s="52"/>
      <c r="BU1038" s="52"/>
      <c r="BV1038" s="52"/>
      <c r="BW1038" s="52"/>
      <c r="BX1038" s="52"/>
      <c r="BY1038" s="52"/>
      <c r="BZ1038" s="52"/>
      <c r="CA1038" s="52"/>
      <c r="CB1038" s="52"/>
      <c r="CC1038" s="52"/>
      <c r="CD1038" s="52"/>
      <c r="CE1038" s="52"/>
      <c r="CF1038" s="52"/>
      <c r="CG1038" s="52"/>
      <c r="CH1038" s="52"/>
      <c r="CI1038" s="52"/>
      <c r="CJ1038" s="52"/>
      <c r="CK1038" s="52"/>
      <c r="CL1038" s="52"/>
      <c r="CM1038" s="52"/>
      <c r="CN1038" s="52"/>
      <c r="CO1038" s="52"/>
      <c r="CP1038" s="52"/>
      <c r="CQ1038" s="52"/>
      <c r="CR1038" s="52"/>
      <c r="CS1038" s="52"/>
      <c r="CT1038" s="52"/>
      <c r="CU1038" s="52"/>
      <c r="CV1038" s="52"/>
      <c r="CW1038" s="52"/>
      <c r="CX1038" s="52"/>
      <c r="CY1038" s="52"/>
      <c r="CZ1038" s="52"/>
      <c r="DA1038" s="52"/>
      <c r="DB1038" s="52"/>
      <c r="DC1038" s="52"/>
      <c r="DD1038" s="52"/>
      <c r="DE1038" s="52"/>
      <c r="DF1038" s="52"/>
      <c r="DG1038" s="52"/>
      <c r="DH1038" s="52"/>
      <c r="DI1038" s="52"/>
      <c r="DJ1038" s="52"/>
      <c r="DK1038" s="52"/>
      <c r="DL1038" s="52"/>
      <c r="DM1038" s="52"/>
      <c r="DN1038" s="52"/>
      <c r="DO1038" s="52"/>
      <c r="DP1038" s="52"/>
      <c r="DQ1038" s="52"/>
      <c r="DR1038" s="52"/>
      <c r="DS1038" s="52"/>
      <c r="DT1038" s="52"/>
      <c r="DU1038" s="52"/>
      <c r="DV1038" s="52"/>
      <c r="DW1038" s="52"/>
      <c r="DX1038" s="52"/>
      <c r="DZ1038"/>
      <c r="EA1038" s="19"/>
      <c r="EB1038" s="19"/>
      <c r="EC1038" s="9"/>
      <c r="ED1038" s="9"/>
      <c r="EE1038" s="9"/>
      <c r="EF1038" s="9"/>
      <c r="EG1038" s="9"/>
      <c r="EH1038" s="13"/>
      <c r="EI1038" s="13"/>
      <c r="EJ1038" s="13"/>
      <c r="EK1038" s="13"/>
      <c r="EL1038" s="13"/>
      <c r="EM1038" s="13"/>
      <c r="EN1038" s="13"/>
      <c r="EO1038" s="13"/>
      <c r="EP1038" s="13"/>
      <c r="EQ1038" s="13"/>
      <c r="ER1038" s="13"/>
      <c r="ES1038" s="13"/>
      <c r="ET1038" s="13"/>
      <c r="EU1038" s="13"/>
      <c r="EV1038" s="13"/>
      <c r="EW1038" s="13"/>
      <c r="EX1038" s="13"/>
      <c r="EY1038" s="13"/>
      <c r="EZ1038" s="13"/>
      <c r="FA1038" s="13"/>
      <c r="FB1038" s="13"/>
      <c r="FC1038" s="13"/>
      <c r="FD1038" s="13"/>
      <c r="FE1038" s="13"/>
      <c r="FF1038" s="13"/>
      <c r="FG1038" s="13"/>
      <c r="FH1038" s="13"/>
      <c r="FI1038" s="13"/>
      <c r="FJ1038" s="13"/>
      <c r="FK1038" s="13"/>
      <c r="FL1038" s="13"/>
      <c r="FM1038" s="13"/>
      <c r="FN1038" s="13"/>
      <c r="FO1038" s="13"/>
      <c r="FP1038" s="13"/>
      <c r="FQ1038" s="13"/>
      <c r="FR1038" s="13"/>
      <c r="FS1038" s="13"/>
      <c r="FT1038" s="13"/>
      <c r="FU1038" s="13"/>
      <c r="FV1038" s="13"/>
      <c r="FW1038" s="13"/>
      <c r="FX1038" s="13"/>
      <c r="FY1038" s="13"/>
      <c r="FZ1038" s="13"/>
      <c r="GA1038" s="13"/>
    </row>
    <row r="1039" spans="1:183" s="43" customFormat="1" x14ac:dyDescent="0.25">
      <c r="A1039" s="2"/>
      <c r="B1039" s="2"/>
      <c r="C1039" s="9">
        <v>5</v>
      </c>
      <c r="D1039" s="9">
        <v>21</v>
      </c>
      <c r="E1039" s="9">
        <v>41</v>
      </c>
      <c r="F1039" s="9">
        <v>51</v>
      </c>
      <c r="G1039" s="9">
        <v>56</v>
      </c>
      <c r="H1039" s="9">
        <v>66</v>
      </c>
      <c r="J1039" s="9">
        <v>66</v>
      </c>
      <c r="L1039" s="39">
        <v>44284</v>
      </c>
      <c r="N1039"/>
      <c r="O1039"/>
      <c r="P1039"/>
      <c r="Q1039"/>
      <c r="R1039"/>
      <c r="S1039"/>
      <c r="T1039"/>
      <c r="U1039"/>
      <c r="V1039"/>
      <c r="W1039" s="52"/>
      <c r="Y1039"/>
      <c r="Z1039"/>
      <c r="AA1039"/>
      <c r="AB1039"/>
      <c r="AC1039"/>
      <c r="AD1039"/>
      <c r="AE1039"/>
      <c r="AF1039"/>
      <c r="AG1039"/>
      <c r="AH1039" s="52"/>
      <c r="AI1039" s="148"/>
      <c r="AJ1039" s="19"/>
      <c r="AK1039" s="19"/>
      <c r="AL1039" s="19"/>
      <c r="AM1039" s="19"/>
      <c r="AN1039" s="42"/>
      <c r="AO1039" s="54"/>
      <c r="AP1039" s="19"/>
      <c r="AQ1039" s="1"/>
      <c r="AR1039" s="74"/>
      <c r="AS1039" s="42"/>
      <c r="AT1039" s="54"/>
      <c r="AU1039" s="54"/>
      <c r="AV1039" s="19"/>
      <c r="AW1039" s="54"/>
      <c r="AX1039" s="57"/>
      <c r="AY1039" s="54"/>
      <c r="AZ1039" s="54"/>
      <c r="BA1039" s="54"/>
      <c r="BB1039" s="54"/>
      <c r="BC1039" s="57"/>
      <c r="BD1039" s="19"/>
      <c r="BE1039" s="19"/>
      <c r="BF1039" s="19"/>
      <c r="BG1039" s="54"/>
      <c r="BI1039" s="54"/>
      <c r="BJ1039" s="55"/>
      <c r="BK1039" s="55"/>
      <c r="BL1039" s="54"/>
      <c r="BM1039" s="56"/>
      <c r="BN1039" s="56"/>
      <c r="BO1039" s="52"/>
      <c r="BP1039" s="52"/>
      <c r="BQ1039" s="52"/>
      <c r="BR1039" s="52"/>
      <c r="BS1039" s="52"/>
      <c r="BT1039" s="52"/>
      <c r="BU1039" s="52"/>
      <c r="BV1039" s="52"/>
      <c r="BW1039" s="52"/>
      <c r="BX1039" s="52"/>
      <c r="BY1039" s="52"/>
      <c r="BZ1039" s="52"/>
      <c r="CA1039" s="52"/>
      <c r="CB1039" s="52"/>
      <c r="CC1039" s="52"/>
      <c r="CD1039" s="52"/>
      <c r="CE1039" s="52"/>
      <c r="CF1039" s="52"/>
      <c r="CG1039" s="52"/>
      <c r="CH1039" s="52"/>
      <c r="CI1039" s="52"/>
      <c r="CJ1039" s="52"/>
      <c r="CK1039" s="52"/>
      <c r="CL1039" s="52"/>
      <c r="CM1039" s="52"/>
      <c r="CN1039" s="52"/>
      <c r="CO1039" s="52"/>
      <c r="CP1039" s="52"/>
      <c r="CQ1039" s="52"/>
      <c r="CR1039" s="52"/>
      <c r="CS1039" s="52"/>
      <c r="CT1039" s="52"/>
      <c r="CU1039" s="52"/>
      <c r="CV1039" s="52"/>
      <c r="CW1039" s="52"/>
      <c r="CX1039" s="52"/>
      <c r="CY1039" s="52"/>
      <c r="CZ1039" s="52"/>
      <c r="DA1039" s="52"/>
      <c r="DB1039" s="52"/>
      <c r="DC1039" s="52"/>
      <c r="DD1039" s="52"/>
      <c r="DE1039" s="52"/>
      <c r="DF1039" s="52"/>
      <c r="DG1039" s="52"/>
      <c r="DH1039" s="52"/>
      <c r="DI1039" s="52"/>
      <c r="DJ1039" s="52"/>
      <c r="DK1039" s="52"/>
      <c r="DL1039" s="52"/>
      <c r="DM1039" s="52"/>
      <c r="DN1039" s="52"/>
      <c r="DO1039" s="52"/>
      <c r="DP1039" s="52"/>
      <c r="DQ1039" s="52"/>
      <c r="DR1039" s="52"/>
      <c r="DS1039" s="52"/>
      <c r="DT1039" s="52"/>
      <c r="DU1039" s="52"/>
      <c r="DV1039" s="52"/>
      <c r="DW1039" s="52"/>
      <c r="DX1039" s="52"/>
      <c r="DZ1039"/>
      <c r="EA1039" s="19"/>
      <c r="EB1039" s="19"/>
      <c r="EC1039" s="9"/>
      <c r="ED1039" s="9"/>
      <c r="EE1039" s="9"/>
      <c r="EF1039" s="9"/>
      <c r="EG1039" s="9"/>
      <c r="EH1039" s="13"/>
      <c r="EI1039" s="13"/>
      <c r="EJ1039" s="13"/>
      <c r="EK1039" s="13"/>
      <c r="EL1039" s="13"/>
      <c r="EM1039" s="13"/>
      <c r="EN1039" s="13"/>
      <c r="EO1039" s="13"/>
      <c r="EP1039" s="13"/>
      <c r="EQ1039" s="13"/>
      <c r="ER1039" s="13"/>
      <c r="ES1039" s="13"/>
      <c r="ET1039" s="13"/>
      <c r="EU1039" s="13"/>
      <c r="EV1039" s="13"/>
      <c r="EW1039" s="13"/>
      <c r="EX1039" s="13"/>
      <c r="EY1039" s="13"/>
      <c r="EZ1039" s="13"/>
      <c r="FA1039" s="13"/>
      <c r="FB1039" s="13"/>
      <c r="FC1039" s="13"/>
      <c r="FD1039" s="13"/>
      <c r="FE1039" s="13"/>
      <c r="FF1039" s="13"/>
      <c r="FG1039" s="13"/>
      <c r="FH1039" s="13"/>
      <c r="FI1039" s="13"/>
      <c r="FJ1039" s="13"/>
      <c r="FK1039" s="13"/>
      <c r="FL1039" s="13"/>
      <c r="FM1039" s="13"/>
      <c r="FN1039" s="13"/>
      <c r="FO1039" s="13"/>
      <c r="FP1039" s="13"/>
      <c r="FQ1039" s="13"/>
      <c r="FR1039" s="13"/>
      <c r="FS1039" s="13"/>
      <c r="FT1039" s="13"/>
      <c r="FU1039" s="13"/>
      <c r="FV1039" s="13"/>
      <c r="FW1039" s="13"/>
      <c r="FX1039" s="13"/>
      <c r="FY1039" s="13"/>
      <c r="FZ1039" s="13"/>
      <c r="GA1039" s="13"/>
    </row>
    <row r="1040" spans="1:183" s="43" customFormat="1" x14ac:dyDescent="0.25">
      <c r="A1040" s="2"/>
      <c r="B1040" s="2"/>
      <c r="C1040" s="9">
        <v>3</v>
      </c>
      <c r="D1040" s="9">
        <v>11</v>
      </c>
      <c r="E1040" s="9">
        <v>21</v>
      </c>
      <c r="F1040" s="9">
        <v>28</v>
      </c>
      <c r="G1040" s="9">
        <v>62</v>
      </c>
      <c r="H1040" s="9">
        <v>83</v>
      </c>
      <c r="J1040" s="9">
        <v>83</v>
      </c>
      <c r="L1040" s="39">
        <v>44282</v>
      </c>
      <c r="N1040"/>
      <c r="O1040"/>
      <c r="P1040"/>
      <c r="Q1040"/>
      <c r="R1040"/>
      <c r="S1040"/>
      <c r="T1040"/>
      <c r="U1040"/>
      <c r="V1040"/>
      <c r="W1040" s="52"/>
      <c r="Y1040"/>
      <c r="Z1040"/>
      <c r="AA1040"/>
      <c r="AB1040"/>
      <c r="AC1040"/>
      <c r="AD1040"/>
      <c r="AE1040"/>
      <c r="AF1040"/>
      <c r="AG1040"/>
      <c r="AH1040" s="52"/>
      <c r="AI1040" s="148"/>
      <c r="AJ1040" s="19"/>
      <c r="AK1040" s="19"/>
      <c r="AL1040" s="19"/>
      <c r="AM1040" s="19"/>
      <c r="AN1040" s="42"/>
      <c r="AO1040" s="54"/>
      <c r="AP1040" s="19"/>
      <c r="AQ1040" s="1"/>
      <c r="AR1040" s="74"/>
      <c r="AS1040" s="42"/>
      <c r="AT1040" s="54"/>
      <c r="AU1040" s="54"/>
      <c r="AV1040" s="19"/>
      <c r="AW1040" s="54"/>
      <c r="AX1040" s="57"/>
      <c r="AY1040" s="54"/>
      <c r="AZ1040" s="54"/>
      <c r="BA1040" s="54"/>
      <c r="BB1040" s="54"/>
      <c r="BC1040" s="57"/>
      <c r="BD1040" s="19"/>
      <c r="BE1040" s="19"/>
      <c r="BF1040" s="19"/>
      <c r="BG1040" s="54"/>
      <c r="BI1040" s="54"/>
      <c r="BJ1040" s="55"/>
      <c r="BK1040" s="55"/>
      <c r="BL1040" s="54"/>
      <c r="BM1040" s="56"/>
      <c r="BN1040" s="56"/>
      <c r="BO1040" s="52"/>
      <c r="BP1040" s="52"/>
      <c r="BQ1040" s="52"/>
      <c r="BR1040" s="52"/>
      <c r="BS1040" s="52"/>
      <c r="BT1040" s="52"/>
      <c r="BU1040" s="52"/>
      <c r="BV1040" s="52"/>
      <c r="BW1040" s="52"/>
      <c r="BX1040" s="52"/>
      <c r="BY1040" s="52"/>
      <c r="BZ1040" s="52"/>
      <c r="CA1040" s="52"/>
      <c r="CB1040" s="52"/>
      <c r="CC1040" s="52"/>
      <c r="CD1040" s="52"/>
      <c r="CE1040" s="52"/>
      <c r="CF1040" s="52"/>
      <c r="CG1040" s="52"/>
      <c r="CH1040" s="52"/>
      <c r="CI1040" s="52"/>
      <c r="CJ1040" s="52"/>
      <c r="CK1040" s="52"/>
      <c r="CL1040" s="52"/>
      <c r="CM1040" s="52"/>
      <c r="CN1040" s="52"/>
      <c r="CO1040" s="52"/>
      <c r="CP1040" s="52"/>
      <c r="CQ1040" s="52"/>
      <c r="CR1040" s="52"/>
      <c r="CS1040" s="52"/>
      <c r="CT1040" s="52"/>
      <c r="CU1040" s="52"/>
      <c r="CV1040" s="52"/>
      <c r="CW1040" s="52"/>
      <c r="CX1040" s="52"/>
      <c r="CY1040" s="52"/>
      <c r="CZ1040" s="52"/>
      <c r="DA1040" s="52"/>
      <c r="DB1040" s="52"/>
      <c r="DC1040" s="52"/>
      <c r="DD1040" s="52"/>
      <c r="DE1040" s="52"/>
      <c r="DF1040" s="52"/>
      <c r="DG1040" s="52"/>
      <c r="DH1040" s="52"/>
      <c r="DI1040" s="52"/>
      <c r="DJ1040" s="52"/>
      <c r="DK1040" s="52"/>
      <c r="DL1040" s="52"/>
      <c r="DM1040" s="52"/>
      <c r="DN1040" s="52"/>
      <c r="DO1040" s="52"/>
      <c r="DP1040" s="52"/>
      <c r="DQ1040" s="52"/>
      <c r="DR1040" s="52"/>
      <c r="DS1040" s="52"/>
      <c r="DT1040" s="52"/>
      <c r="DU1040" s="52"/>
      <c r="DV1040" s="52"/>
      <c r="DW1040" s="52"/>
      <c r="DX1040" s="52"/>
      <c r="DZ1040"/>
      <c r="EA1040" s="19"/>
      <c r="EB1040" s="19"/>
      <c r="EC1040" s="9"/>
      <c r="ED1040" s="9"/>
      <c r="EE1040" s="9"/>
      <c r="EF1040" s="9"/>
      <c r="EG1040" s="9"/>
      <c r="EH1040" s="13"/>
      <c r="EI1040" s="13"/>
      <c r="EJ1040" s="13"/>
      <c r="EK1040" s="13"/>
      <c r="EL1040" s="13"/>
      <c r="EM1040" s="13"/>
      <c r="EN1040" s="13"/>
      <c r="EO1040" s="13"/>
      <c r="EP1040" s="13"/>
      <c r="EQ1040" s="13"/>
      <c r="ER1040" s="13"/>
      <c r="ES1040" s="13"/>
      <c r="ET1040" s="13"/>
      <c r="EU1040" s="13"/>
      <c r="EV1040" s="13"/>
      <c r="EW1040" s="13"/>
      <c r="EX1040" s="13"/>
      <c r="EY1040" s="13"/>
      <c r="EZ1040" s="13"/>
      <c r="FA1040" s="13"/>
      <c r="FB1040" s="13"/>
      <c r="FC1040" s="13"/>
      <c r="FD1040" s="13"/>
      <c r="FE1040" s="13"/>
      <c r="FF1040" s="13"/>
      <c r="FG1040" s="13"/>
      <c r="FH1040" s="13"/>
      <c r="FI1040" s="13"/>
      <c r="FJ1040" s="13"/>
      <c r="FK1040" s="13"/>
      <c r="FL1040" s="13"/>
      <c r="FM1040" s="13"/>
      <c r="FN1040" s="13"/>
      <c r="FO1040" s="13"/>
      <c r="FP1040" s="13"/>
      <c r="FQ1040" s="13"/>
      <c r="FR1040" s="13"/>
      <c r="FS1040" s="13"/>
      <c r="FT1040" s="13"/>
      <c r="FU1040" s="13"/>
      <c r="FV1040" s="13"/>
      <c r="FW1040" s="13"/>
      <c r="FX1040" s="13"/>
      <c r="FY1040" s="13"/>
      <c r="FZ1040" s="13"/>
      <c r="GA1040" s="13"/>
    </row>
    <row r="1041" spans="1:183" s="43" customFormat="1" x14ac:dyDescent="0.25">
      <c r="A1041" s="2"/>
      <c r="B1041" s="2"/>
      <c r="C1041" s="9">
        <v>3</v>
      </c>
      <c r="D1041" s="9">
        <v>4</v>
      </c>
      <c r="E1041" s="9">
        <v>11</v>
      </c>
      <c r="F1041" s="9">
        <v>22</v>
      </c>
      <c r="G1041" s="9">
        <v>37</v>
      </c>
      <c r="H1041" s="9">
        <v>88</v>
      </c>
      <c r="J1041" s="9">
        <v>88</v>
      </c>
      <c r="L1041" s="39">
        <v>44279</v>
      </c>
      <c r="N1041"/>
      <c r="O1041"/>
      <c r="P1041"/>
      <c r="Q1041"/>
      <c r="R1041"/>
      <c r="S1041"/>
      <c r="T1041"/>
      <c r="U1041"/>
      <c r="V1041"/>
      <c r="W1041" s="52"/>
      <c r="Y1041"/>
      <c r="Z1041"/>
      <c r="AA1041"/>
      <c r="AB1041"/>
      <c r="AC1041"/>
      <c r="AD1041"/>
      <c r="AE1041"/>
      <c r="AF1041"/>
      <c r="AG1041"/>
      <c r="AH1041" s="52"/>
      <c r="AI1041" s="148"/>
      <c r="AJ1041" s="19"/>
      <c r="AK1041" s="19"/>
      <c r="AL1041" s="19"/>
      <c r="AM1041" s="19"/>
      <c r="AN1041" s="42"/>
      <c r="AO1041" s="54"/>
      <c r="AP1041" s="19"/>
      <c r="AQ1041" s="1"/>
      <c r="AR1041" s="74"/>
      <c r="AS1041" s="42"/>
      <c r="AT1041" s="54"/>
      <c r="AU1041" s="54"/>
      <c r="AV1041" s="19"/>
      <c r="AW1041" s="54"/>
      <c r="AX1041" s="57"/>
      <c r="AY1041" s="54"/>
      <c r="AZ1041" s="54"/>
      <c r="BA1041" s="54"/>
      <c r="BB1041" s="54"/>
      <c r="BC1041" s="57"/>
      <c r="BD1041" s="19"/>
      <c r="BE1041" s="19"/>
      <c r="BF1041" s="19"/>
      <c r="BG1041" s="54"/>
      <c r="BI1041" s="54"/>
      <c r="BJ1041" s="55"/>
      <c r="BK1041" s="55"/>
      <c r="BL1041" s="54"/>
      <c r="BM1041" s="56"/>
      <c r="BN1041" s="56"/>
      <c r="BO1041" s="52"/>
      <c r="BP1041" s="52"/>
      <c r="BQ1041" s="52"/>
      <c r="BR1041" s="52"/>
      <c r="BS1041" s="52"/>
      <c r="BT1041" s="52"/>
      <c r="BU1041" s="52"/>
      <c r="BV1041" s="52"/>
      <c r="BW1041" s="52"/>
      <c r="BX1041" s="52"/>
      <c r="BY1041" s="52"/>
      <c r="BZ1041" s="52"/>
      <c r="CA1041" s="52"/>
      <c r="CB1041" s="52"/>
      <c r="CC1041" s="52"/>
      <c r="CD1041" s="52"/>
      <c r="CE1041" s="52"/>
      <c r="CF1041" s="52"/>
      <c r="CG1041" s="52"/>
      <c r="CH1041" s="52"/>
      <c r="CI1041" s="52"/>
      <c r="CJ1041" s="52"/>
      <c r="CK1041" s="52"/>
      <c r="CL1041" s="52"/>
      <c r="CM1041" s="52"/>
      <c r="CN1041" s="52"/>
      <c r="CO1041" s="52"/>
      <c r="CP1041" s="52"/>
      <c r="CQ1041" s="52"/>
      <c r="CR1041" s="52"/>
      <c r="CS1041" s="52"/>
      <c r="CT1041" s="52"/>
      <c r="CU1041" s="52"/>
      <c r="CV1041" s="52"/>
      <c r="CW1041" s="52"/>
      <c r="CX1041" s="52"/>
      <c r="CY1041" s="52"/>
      <c r="CZ1041" s="52"/>
      <c r="DA1041" s="52"/>
      <c r="DB1041" s="52"/>
      <c r="DC1041" s="52"/>
      <c r="DD1041" s="52"/>
      <c r="DE1041" s="52"/>
      <c r="DF1041" s="52"/>
      <c r="DG1041" s="52"/>
      <c r="DH1041" s="52"/>
      <c r="DI1041" s="52"/>
      <c r="DJ1041" s="52"/>
      <c r="DK1041" s="52"/>
      <c r="DL1041" s="52"/>
      <c r="DM1041" s="52"/>
      <c r="DN1041" s="52"/>
      <c r="DO1041" s="52"/>
      <c r="DP1041" s="52"/>
      <c r="DQ1041" s="52"/>
      <c r="DR1041" s="52"/>
      <c r="DS1041" s="52"/>
      <c r="DT1041" s="52"/>
      <c r="DU1041" s="52"/>
      <c r="DV1041" s="52"/>
      <c r="DW1041" s="52"/>
      <c r="DX1041" s="52"/>
      <c r="DZ1041"/>
      <c r="EA1041" s="19"/>
      <c r="EB1041" s="19"/>
      <c r="EC1041" s="9"/>
      <c r="ED1041" s="9"/>
      <c r="EE1041" s="9"/>
      <c r="EF1041" s="9"/>
      <c r="EG1041" s="9"/>
      <c r="EH1041" s="13"/>
      <c r="EI1041" s="13"/>
      <c r="EJ1041" s="13"/>
      <c r="EK1041" s="13"/>
      <c r="EL1041" s="13"/>
      <c r="EM1041" s="13"/>
      <c r="EN1041" s="13"/>
      <c r="EO1041" s="13"/>
      <c r="EP1041" s="13"/>
      <c r="EQ1041" s="13"/>
      <c r="ER1041" s="13"/>
      <c r="ES1041" s="13"/>
      <c r="ET1041" s="13"/>
      <c r="EU1041" s="13"/>
      <c r="EV1041" s="13"/>
      <c r="EW1041" s="13"/>
      <c r="EX1041" s="13"/>
      <c r="EY1041" s="13"/>
      <c r="EZ1041" s="13"/>
      <c r="FA1041" s="13"/>
      <c r="FB1041" s="13"/>
      <c r="FC1041" s="13"/>
      <c r="FD1041" s="13"/>
      <c r="FE1041" s="13"/>
      <c r="FF1041" s="13"/>
      <c r="FG1041" s="13"/>
      <c r="FH1041" s="13"/>
      <c r="FI1041" s="13"/>
      <c r="FJ1041" s="13"/>
      <c r="FK1041" s="13"/>
      <c r="FL1041" s="13"/>
      <c r="FM1041" s="13"/>
      <c r="FN1041" s="13"/>
      <c r="FO1041" s="13"/>
      <c r="FP1041" s="13"/>
      <c r="FQ1041" s="13"/>
      <c r="FR1041" s="13"/>
      <c r="FS1041" s="13"/>
      <c r="FT1041" s="13"/>
      <c r="FU1041" s="13"/>
      <c r="FV1041" s="13"/>
      <c r="FW1041" s="13"/>
      <c r="FX1041" s="13"/>
      <c r="FY1041" s="13"/>
      <c r="FZ1041" s="13"/>
      <c r="GA1041" s="13"/>
    </row>
    <row r="1042" spans="1:183" s="43" customFormat="1" x14ac:dyDescent="0.25">
      <c r="A1042" s="2"/>
      <c r="B1042" s="2"/>
      <c r="C1042" s="9">
        <v>9</v>
      </c>
      <c r="D1042" s="9">
        <v>12</v>
      </c>
      <c r="E1042" s="9">
        <v>39</v>
      </c>
      <c r="F1042" s="9">
        <v>64</v>
      </c>
      <c r="G1042" s="9">
        <v>70</v>
      </c>
      <c r="H1042" s="9">
        <v>89</v>
      </c>
      <c r="J1042" s="9">
        <v>89</v>
      </c>
      <c r="L1042" s="39">
        <v>44277</v>
      </c>
      <c r="N1042"/>
      <c r="O1042"/>
      <c r="P1042"/>
      <c r="Q1042"/>
      <c r="R1042"/>
      <c r="S1042"/>
      <c r="T1042"/>
      <c r="U1042"/>
      <c r="V1042"/>
      <c r="W1042" s="52"/>
      <c r="Y1042"/>
      <c r="Z1042"/>
      <c r="AA1042"/>
      <c r="AB1042"/>
      <c r="AC1042"/>
      <c r="AD1042"/>
      <c r="AE1042"/>
      <c r="AF1042"/>
      <c r="AG1042"/>
      <c r="AH1042" s="52"/>
      <c r="AI1042" s="148"/>
      <c r="AJ1042" s="19"/>
      <c r="AK1042" s="19"/>
      <c r="AL1042" s="19"/>
      <c r="AM1042" s="19"/>
      <c r="AN1042" s="42"/>
      <c r="AO1042" s="54"/>
      <c r="AP1042" s="19"/>
      <c r="AQ1042" s="1"/>
      <c r="AR1042" s="74"/>
      <c r="AS1042" s="42"/>
      <c r="AT1042" s="54"/>
      <c r="AU1042" s="54"/>
      <c r="AV1042" s="19"/>
      <c r="AW1042" s="54"/>
      <c r="AX1042" s="57"/>
      <c r="AY1042" s="54"/>
      <c r="AZ1042" s="54"/>
      <c r="BA1042" s="54"/>
      <c r="BB1042" s="54"/>
      <c r="BC1042" s="57"/>
      <c r="BD1042" s="19"/>
      <c r="BE1042" s="19"/>
      <c r="BF1042" s="19"/>
      <c r="BG1042" s="54"/>
      <c r="BI1042" s="54"/>
      <c r="BJ1042" s="55"/>
      <c r="BK1042" s="55"/>
      <c r="BL1042" s="54"/>
      <c r="BM1042" s="56"/>
      <c r="BN1042" s="56"/>
      <c r="BO1042" s="52"/>
      <c r="BP1042" s="52"/>
      <c r="BQ1042" s="52"/>
      <c r="BR1042" s="52"/>
      <c r="BS1042" s="52"/>
      <c r="BT1042" s="52"/>
      <c r="BU1042" s="52"/>
      <c r="BV1042" s="52"/>
      <c r="BW1042" s="52"/>
      <c r="BX1042" s="52"/>
      <c r="BY1042" s="52"/>
      <c r="BZ1042" s="52"/>
      <c r="CA1042" s="52"/>
      <c r="CB1042" s="52"/>
      <c r="CC1042" s="52"/>
      <c r="CD1042" s="52"/>
      <c r="CE1042" s="52"/>
      <c r="CF1042" s="52"/>
      <c r="CG1042" s="52"/>
      <c r="CH1042" s="52"/>
      <c r="CI1042" s="52"/>
      <c r="CJ1042" s="52"/>
      <c r="CK1042" s="52"/>
      <c r="CL1042" s="52"/>
      <c r="CM1042" s="52"/>
      <c r="CN1042" s="52"/>
      <c r="CO1042" s="52"/>
      <c r="CP1042" s="52"/>
      <c r="CQ1042" s="52"/>
      <c r="CR1042" s="52"/>
      <c r="CS1042" s="52"/>
      <c r="CT1042" s="52"/>
      <c r="CU1042" s="52"/>
      <c r="CV1042" s="52"/>
      <c r="CW1042" s="52"/>
      <c r="CX1042" s="52"/>
      <c r="CY1042" s="52"/>
      <c r="CZ1042" s="52"/>
      <c r="DA1042" s="52"/>
      <c r="DB1042" s="52"/>
      <c r="DC1042" s="52"/>
      <c r="DD1042" s="52"/>
      <c r="DE1042" s="52"/>
      <c r="DF1042" s="52"/>
      <c r="DG1042" s="52"/>
      <c r="DH1042" s="52"/>
      <c r="DI1042" s="52"/>
      <c r="DJ1042" s="52"/>
      <c r="DK1042" s="52"/>
      <c r="DL1042" s="52"/>
      <c r="DM1042" s="52"/>
      <c r="DN1042" s="52"/>
      <c r="DO1042" s="52"/>
      <c r="DP1042" s="52"/>
      <c r="DQ1042" s="52"/>
      <c r="DR1042" s="52"/>
      <c r="DS1042" s="52"/>
      <c r="DT1042" s="52"/>
      <c r="DU1042" s="52"/>
      <c r="DV1042" s="52"/>
      <c r="DW1042" s="52"/>
      <c r="DX1042" s="52"/>
      <c r="DZ1042"/>
      <c r="EA1042" s="19"/>
      <c r="EB1042" s="19"/>
      <c r="EC1042" s="9"/>
      <c r="ED1042" s="9"/>
      <c r="EE1042" s="9"/>
      <c r="EF1042" s="9"/>
      <c r="EG1042" s="9"/>
      <c r="EH1042" s="13"/>
      <c r="EI1042" s="13"/>
      <c r="EJ1042" s="13"/>
      <c r="EK1042" s="13"/>
      <c r="EL1042" s="13"/>
      <c r="EM1042" s="13"/>
      <c r="EN1042" s="13"/>
      <c r="EO1042" s="13"/>
      <c r="EP1042" s="13"/>
      <c r="EQ1042" s="13"/>
      <c r="ER1042" s="13"/>
      <c r="ES1042" s="13"/>
      <c r="ET1042" s="13"/>
      <c r="EU1042" s="13"/>
      <c r="EV1042" s="13"/>
      <c r="EW1042" s="13"/>
      <c r="EX1042" s="13"/>
      <c r="EY1042" s="13"/>
      <c r="EZ1042" s="13"/>
      <c r="FA1042" s="13"/>
      <c r="FB1042" s="13"/>
      <c r="FC1042" s="13"/>
      <c r="FD1042" s="13"/>
      <c r="FE1042" s="13"/>
      <c r="FF1042" s="13"/>
      <c r="FG1042" s="13"/>
      <c r="FH1042" s="13"/>
      <c r="FI1042" s="13"/>
      <c r="FJ1042" s="13"/>
      <c r="FK1042" s="13"/>
      <c r="FL1042" s="13"/>
      <c r="FM1042" s="13"/>
      <c r="FN1042" s="13"/>
      <c r="FO1042" s="13"/>
      <c r="FP1042" s="13"/>
      <c r="FQ1042" s="13"/>
      <c r="FR1042" s="13"/>
      <c r="FS1042" s="13"/>
      <c r="FT1042" s="13"/>
      <c r="FU1042" s="13"/>
      <c r="FV1042" s="13"/>
      <c r="FW1042" s="13"/>
      <c r="FX1042" s="13"/>
      <c r="FY1042" s="13"/>
      <c r="FZ1042" s="13"/>
      <c r="GA1042" s="13"/>
    </row>
    <row r="1043" spans="1:183" s="43" customFormat="1" x14ac:dyDescent="0.25">
      <c r="A1043" s="2"/>
      <c r="B1043" s="2"/>
      <c r="C1043" s="9">
        <v>6</v>
      </c>
      <c r="D1043" s="9">
        <v>22</v>
      </c>
      <c r="E1043" s="9">
        <v>28</v>
      </c>
      <c r="F1043" s="9">
        <v>50</v>
      </c>
      <c r="G1043" s="9">
        <v>72</v>
      </c>
      <c r="H1043" s="9">
        <v>90</v>
      </c>
      <c r="J1043" s="9">
        <v>90</v>
      </c>
      <c r="L1043" s="39">
        <v>44275</v>
      </c>
      <c r="N1043"/>
      <c r="O1043"/>
      <c r="P1043"/>
      <c r="Q1043"/>
      <c r="R1043"/>
      <c r="S1043"/>
      <c r="T1043"/>
      <c r="U1043"/>
      <c r="V1043"/>
      <c r="W1043" s="52"/>
      <c r="Y1043"/>
      <c r="Z1043"/>
      <c r="AA1043"/>
      <c r="AB1043"/>
      <c r="AC1043"/>
      <c r="AD1043"/>
      <c r="AE1043"/>
      <c r="AF1043"/>
      <c r="AG1043"/>
      <c r="AH1043" s="52"/>
      <c r="AI1043" s="148"/>
      <c r="AJ1043" s="19"/>
      <c r="AK1043" s="19"/>
      <c r="AL1043" s="19"/>
      <c r="AM1043" s="19"/>
      <c r="AN1043" s="42"/>
      <c r="AO1043" s="54"/>
      <c r="AP1043" s="19"/>
      <c r="AQ1043" s="1"/>
      <c r="AR1043" s="74"/>
      <c r="AS1043" s="42"/>
      <c r="AT1043" s="54"/>
      <c r="AU1043" s="54"/>
      <c r="AV1043" s="19"/>
      <c r="AW1043" s="54"/>
      <c r="AX1043" s="57"/>
      <c r="AY1043" s="54"/>
      <c r="AZ1043" s="54"/>
      <c r="BA1043" s="54"/>
      <c r="BB1043" s="54"/>
      <c r="BC1043" s="57"/>
      <c r="BD1043" s="19"/>
      <c r="BE1043" s="19"/>
      <c r="BF1043" s="19"/>
      <c r="BG1043" s="54"/>
      <c r="BI1043" s="54"/>
      <c r="BJ1043" s="55"/>
      <c r="BK1043" s="55"/>
      <c r="BL1043" s="54"/>
      <c r="BM1043" s="56"/>
      <c r="BN1043" s="56"/>
      <c r="BO1043" s="52"/>
      <c r="BP1043" s="52"/>
      <c r="BQ1043" s="52"/>
      <c r="BR1043" s="52"/>
      <c r="BS1043" s="52"/>
      <c r="BT1043" s="52"/>
      <c r="BU1043" s="52"/>
      <c r="BV1043" s="52"/>
      <c r="BW1043" s="52"/>
      <c r="BX1043" s="52"/>
      <c r="BY1043" s="52"/>
      <c r="BZ1043" s="52"/>
      <c r="CA1043" s="52"/>
      <c r="CB1043" s="52"/>
      <c r="CC1043" s="52"/>
      <c r="CD1043" s="52"/>
      <c r="CE1043" s="52"/>
      <c r="CF1043" s="52"/>
      <c r="CG1043" s="52"/>
      <c r="CH1043" s="52"/>
      <c r="CI1043" s="52"/>
      <c r="CJ1043" s="52"/>
      <c r="CK1043" s="52"/>
      <c r="CL1043" s="52"/>
      <c r="CM1043" s="52"/>
      <c r="CN1043" s="52"/>
      <c r="CO1043" s="52"/>
      <c r="CP1043" s="52"/>
      <c r="CQ1043" s="52"/>
      <c r="CR1043" s="52"/>
      <c r="CS1043" s="52"/>
      <c r="CT1043" s="52"/>
      <c r="CU1043" s="52"/>
      <c r="CV1043" s="52"/>
      <c r="CW1043" s="52"/>
      <c r="CX1043" s="52"/>
      <c r="CY1043" s="52"/>
      <c r="CZ1043" s="52"/>
      <c r="DA1043" s="52"/>
      <c r="DB1043" s="52"/>
      <c r="DC1043" s="52"/>
      <c r="DD1043" s="52"/>
      <c r="DE1043" s="52"/>
      <c r="DF1043" s="52"/>
      <c r="DG1043" s="52"/>
      <c r="DH1043" s="52"/>
      <c r="DI1043" s="52"/>
      <c r="DJ1043" s="52"/>
      <c r="DK1043" s="52"/>
      <c r="DL1043" s="52"/>
      <c r="DM1043" s="52"/>
      <c r="DN1043" s="52"/>
      <c r="DO1043" s="52"/>
      <c r="DP1043" s="52"/>
      <c r="DQ1043" s="52"/>
      <c r="DR1043" s="52"/>
      <c r="DS1043" s="52"/>
      <c r="DT1043" s="52"/>
      <c r="DU1043" s="52"/>
      <c r="DV1043" s="52"/>
      <c r="DW1043" s="52"/>
      <c r="DX1043" s="52"/>
      <c r="DZ1043"/>
      <c r="EA1043" s="19"/>
      <c r="EB1043" s="19"/>
      <c r="EC1043" s="9"/>
      <c r="ED1043" s="9"/>
      <c r="EE1043" s="9"/>
      <c r="EF1043" s="9"/>
      <c r="EG1043" s="9"/>
      <c r="EH1043" s="13"/>
      <c r="EI1043" s="13"/>
      <c r="EJ1043" s="13"/>
      <c r="EK1043" s="13"/>
      <c r="EL1043" s="13"/>
      <c r="EM1043" s="13"/>
      <c r="EN1043" s="13"/>
      <c r="EO1043" s="13"/>
      <c r="EP1043" s="13"/>
      <c r="EQ1043" s="13"/>
      <c r="ER1043" s="13"/>
      <c r="ES1043" s="13"/>
      <c r="ET1043" s="13"/>
      <c r="EU1043" s="13"/>
      <c r="EV1043" s="13"/>
      <c r="EW1043" s="13"/>
      <c r="EX1043" s="13"/>
      <c r="EY1043" s="13"/>
      <c r="EZ1043" s="13"/>
      <c r="FA1043" s="13"/>
      <c r="FB1043" s="13"/>
      <c r="FC1043" s="13"/>
      <c r="FD1043" s="13"/>
      <c r="FE1043" s="13"/>
      <c r="FF1043" s="13"/>
      <c r="FG1043" s="13"/>
      <c r="FH1043" s="13"/>
      <c r="FI1043" s="13"/>
      <c r="FJ1043" s="13"/>
      <c r="FK1043" s="13"/>
      <c r="FL1043" s="13"/>
      <c r="FM1043" s="13"/>
      <c r="FN1043" s="13"/>
      <c r="FO1043" s="13"/>
      <c r="FP1043" s="13"/>
      <c r="FQ1043" s="13"/>
      <c r="FR1043" s="13"/>
      <c r="FS1043" s="13"/>
      <c r="FT1043" s="13"/>
      <c r="FU1043" s="13"/>
      <c r="FV1043" s="13"/>
      <c r="FW1043" s="13"/>
      <c r="FX1043" s="13"/>
      <c r="FY1043" s="13"/>
      <c r="FZ1043" s="13"/>
      <c r="GA1043" s="13"/>
    </row>
    <row r="1044" spans="1:183" s="43" customFormat="1" x14ac:dyDescent="0.25">
      <c r="A1044" s="2"/>
      <c r="B1044" s="2"/>
      <c r="C1044" s="9">
        <v>7</v>
      </c>
      <c r="D1044" s="9">
        <v>13</v>
      </c>
      <c r="E1044" s="9">
        <v>15</v>
      </c>
      <c r="F1044" s="9">
        <v>69</v>
      </c>
      <c r="G1044" s="9">
        <v>78</v>
      </c>
      <c r="H1044" s="9">
        <v>79</v>
      </c>
      <c r="J1044" s="9">
        <v>79</v>
      </c>
      <c r="L1044" s="39">
        <v>44272</v>
      </c>
      <c r="N1044"/>
      <c r="O1044"/>
      <c r="P1044"/>
      <c r="Q1044"/>
      <c r="R1044"/>
      <c r="S1044"/>
      <c r="T1044"/>
      <c r="U1044"/>
      <c r="V1044"/>
      <c r="W1044" s="52"/>
      <c r="Y1044"/>
      <c r="Z1044"/>
      <c r="AA1044"/>
      <c r="AB1044"/>
      <c r="AC1044"/>
      <c r="AD1044"/>
      <c r="AE1044"/>
      <c r="AF1044"/>
      <c r="AG1044"/>
      <c r="AH1044" s="52"/>
      <c r="AI1044" s="148"/>
      <c r="AJ1044" s="19"/>
      <c r="AK1044" s="19"/>
      <c r="AL1044" s="19"/>
      <c r="AM1044" s="19"/>
      <c r="AN1044" s="42"/>
      <c r="AO1044" s="54"/>
      <c r="AP1044" s="19"/>
      <c r="AQ1044" s="1"/>
      <c r="AR1044" s="74"/>
      <c r="AS1044" s="42"/>
      <c r="AT1044" s="54"/>
      <c r="AU1044" s="54"/>
      <c r="AV1044" s="19"/>
      <c r="AW1044" s="54"/>
      <c r="AX1044" s="57"/>
      <c r="AY1044" s="54"/>
      <c r="AZ1044" s="54"/>
      <c r="BA1044" s="54"/>
      <c r="BB1044" s="54"/>
      <c r="BC1044" s="57"/>
      <c r="BD1044" s="19"/>
      <c r="BE1044" s="19"/>
      <c r="BF1044" s="19"/>
      <c r="BG1044" s="54"/>
      <c r="BI1044" s="54"/>
      <c r="BJ1044" s="55"/>
      <c r="BK1044" s="55"/>
      <c r="BL1044" s="54"/>
      <c r="BM1044" s="56"/>
      <c r="BN1044" s="56"/>
      <c r="BO1044" s="52"/>
      <c r="BP1044" s="52"/>
      <c r="BQ1044" s="52"/>
      <c r="BR1044" s="52"/>
      <c r="BS1044" s="52"/>
      <c r="BT1044" s="52"/>
      <c r="BU1044" s="52"/>
      <c r="BV1044" s="52"/>
      <c r="BW1044" s="52"/>
      <c r="BX1044" s="52"/>
      <c r="BY1044" s="52"/>
      <c r="BZ1044" s="52"/>
      <c r="CA1044" s="52"/>
      <c r="CB1044" s="52"/>
      <c r="CC1044" s="52"/>
      <c r="CD1044" s="52"/>
      <c r="CE1044" s="52"/>
      <c r="CF1044" s="52"/>
      <c r="CG1044" s="52"/>
      <c r="CH1044" s="52"/>
      <c r="CI1044" s="52"/>
      <c r="CJ1044" s="52"/>
      <c r="CK1044" s="52"/>
      <c r="CL1044" s="52"/>
      <c r="CM1044" s="52"/>
      <c r="CN1044" s="52"/>
      <c r="CO1044" s="52"/>
      <c r="CP1044" s="52"/>
      <c r="CQ1044" s="52"/>
      <c r="CR1044" s="52"/>
      <c r="CS1044" s="52"/>
      <c r="CT1044" s="52"/>
      <c r="CU1044" s="52"/>
      <c r="CV1044" s="52"/>
      <c r="CW1044" s="52"/>
      <c r="CX1044" s="52"/>
      <c r="CY1044" s="52"/>
      <c r="CZ1044" s="52"/>
      <c r="DA1044" s="52"/>
      <c r="DB1044" s="52"/>
      <c r="DC1044" s="52"/>
      <c r="DD1044" s="52"/>
      <c r="DE1044" s="52"/>
      <c r="DF1044" s="52"/>
      <c r="DG1044" s="52"/>
      <c r="DH1044" s="52"/>
      <c r="DI1044" s="52"/>
      <c r="DJ1044" s="52"/>
      <c r="DK1044" s="52"/>
      <c r="DL1044" s="52"/>
      <c r="DM1044" s="52"/>
      <c r="DN1044" s="52"/>
      <c r="DO1044" s="52"/>
      <c r="DP1044" s="52"/>
      <c r="DQ1044" s="52"/>
      <c r="DR1044" s="52"/>
      <c r="DS1044" s="52"/>
      <c r="DT1044" s="52"/>
      <c r="DU1044" s="52"/>
      <c r="DV1044" s="52"/>
      <c r="DW1044" s="52"/>
      <c r="DX1044" s="52"/>
      <c r="DZ1044"/>
      <c r="EA1044" s="19"/>
      <c r="EB1044" s="19"/>
      <c r="EC1044" s="9"/>
      <c r="ED1044" s="9"/>
      <c r="EE1044" s="9"/>
      <c r="EF1044" s="9"/>
      <c r="EG1044" s="9"/>
      <c r="EH1044" s="13"/>
      <c r="EI1044" s="13"/>
      <c r="EJ1044" s="13"/>
      <c r="EK1044" s="13"/>
      <c r="EL1044" s="13"/>
      <c r="EM1044" s="13"/>
      <c r="EN1044" s="13"/>
      <c r="EO1044" s="13"/>
      <c r="EP1044" s="13"/>
      <c r="EQ1044" s="13"/>
      <c r="ER1044" s="13"/>
      <c r="ES1044" s="13"/>
      <c r="ET1044" s="13"/>
      <c r="EU1044" s="13"/>
      <c r="EV1044" s="13"/>
      <c r="EW1044" s="13"/>
      <c r="EX1044" s="13"/>
      <c r="EY1044" s="13"/>
      <c r="EZ1044" s="13"/>
      <c r="FA1044" s="13"/>
      <c r="FB1044" s="13"/>
      <c r="FC1044" s="13"/>
      <c r="FD1044" s="13"/>
      <c r="FE1044" s="13"/>
      <c r="FF1044" s="13"/>
      <c r="FG1044" s="13"/>
      <c r="FH1044" s="13"/>
      <c r="FI1044" s="13"/>
      <c r="FJ1044" s="13"/>
      <c r="FK1044" s="13"/>
      <c r="FL1044" s="13"/>
      <c r="FM1044" s="13"/>
      <c r="FN1044" s="13"/>
      <c r="FO1044" s="13"/>
      <c r="FP1044" s="13"/>
      <c r="FQ1044" s="13"/>
      <c r="FR1044" s="13"/>
      <c r="FS1044" s="13"/>
      <c r="FT1044" s="13"/>
      <c r="FU1044" s="13"/>
      <c r="FV1044" s="13"/>
      <c r="FW1044" s="13"/>
      <c r="FX1044" s="13"/>
      <c r="FY1044" s="13"/>
      <c r="FZ1044" s="13"/>
      <c r="GA1044" s="13"/>
    </row>
    <row r="1045" spans="1:183" s="43" customFormat="1" x14ac:dyDescent="0.25">
      <c r="A1045" s="2"/>
      <c r="B1045" s="2"/>
      <c r="C1045" s="9">
        <v>23</v>
      </c>
      <c r="D1045" s="9">
        <v>27</v>
      </c>
      <c r="E1045" s="9">
        <v>37</v>
      </c>
      <c r="F1045" s="9">
        <v>56</v>
      </c>
      <c r="G1045" s="9">
        <v>79</v>
      </c>
      <c r="H1045" s="9">
        <v>83</v>
      </c>
      <c r="J1045" s="9">
        <v>83</v>
      </c>
      <c r="L1045" s="39">
        <v>44270</v>
      </c>
      <c r="N1045"/>
      <c r="O1045"/>
      <c r="P1045"/>
      <c r="Q1045"/>
      <c r="R1045"/>
      <c r="S1045"/>
      <c r="T1045"/>
      <c r="U1045"/>
      <c r="V1045"/>
      <c r="W1045" s="52"/>
      <c r="Y1045"/>
      <c r="Z1045"/>
      <c r="AA1045"/>
      <c r="AB1045"/>
      <c r="AC1045"/>
      <c r="AD1045"/>
      <c r="AE1045"/>
      <c r="AF1045"/>
      <c r="AG1045"/>
      <c r="AH1045" s="52"/>
      <c r="AI1045" s="148"/>
      <c r="AJ1045" s="19"/>
      <c r="AK1045" s="19"/>
      <c r="AL1045" s="19"/>
      <c r="AM1045" s="19"/>
      <c r="AN1045" s="42"/>
      <c r="AO1045" s="54"/>
      <c r="AP1045" s="19"/>
      <c r="AQ1045" s="1"/>
      <c r="AR1045" s="74"/>
      <c r="AS1045" s="42"/>
      <c r="AT1045" s="54"/>
      <c r="AU1045" s="54"/>
      <c r="AV1045" s="19"/>
      <c r="AW1045" s="54"/>
      <c r="AX1045" s="57"/>
      <c r="AY1045" s="54"/>
      <c r="AZ1045" s="54"/>
      <c r="BA1045" s="54"/>
      <c r="BB1045" s="54"/>
      <c r="BC1045" s="57"/>
      <c r="BD1045" s="19"/>
      <c r="BE1045" s="19"/>
      <c r="BF1045" s="19"/>
      <c r="BG1045" s="54"/>
      <c r="BI1045" s="54"/>
      <c r="BJ1045" s="55"/>
      <c r="BK1045" s="55"/>
      <c r="BL1045" s="54"/>
      <c r="BM1045" s="56"/>
      <c r="BN1045" s="56"/>
      <c r="BO1045" s="52"/>
      <c r="BP1045" s="52"/>
      <c r="BQ1045" s="52"/>
      <c r="BR1045" s="52"/>
      <c r="BS1045" s="52"/>
      <c r="BT1045" s="52"/>
      <c r="BU1045" s="52"/>
      <c r="BV1045" s="52"/>
      <c r="BW1045" s="52"/>
      <c r="BX1045" s="52"/>
      <c r="BY1045" s="52"/>
      <c r="BZ1045" s="52"/>
      <c r="CA1045" s="52"/>
      <c r="CB1045" s="52"/>
      <c r="CC1045" s="52"/>
      <c r="CD1045" s="52"/>
      <c r="CE1045" s="52"/>
      <c r="CF1045" s="52"/>
      <c r="CG1045" s="52"/>
      <c r="CH1045" s="52"/>
      <c r="CI1045" s="52"/>
      <c r="CJ1045" s="52"/>
      <c r="CK1045" s="52"/>
      <c r="CL1045" s="52"/>
      <c r="CM1045" s="52"/>
      <c r="CN1045" s="52"/>
      <c r="CO1045" s="52"/>
      <c r="CP1045" s="52"/>
      <c r="CQ1045" s="52"/>
      <c r="CR1045" s="52"/>
      <c r="CS1045" s="52"/>
      <c r="CT1045" s="52"/>
      <c r="CU1045" s="52"/>
      <c r="CV1045" s="52"/>
      <c r="CW1045" s="52"/>
      <c r="CX1045" s="52"/>
      <c r="CY1045" s="52"/>
      <c r="CZ1045" s="52"/>
      <c r="DA1045" s="52"/>
      <c r="DB1045" s="52"/>
      <c r="DC1045" s="52"/>
      <c r="DD1045" s="52"/>
      <c r="DE1045" s="52"/>
      <c r="DF1045" s="52"/>
      <c r="DG1045" s="52"/>
      <c r="DH1045" s="52"/>
      <c r="DI1045" s="52"/>
      <c r="DJ1045" s="52"/>
      <c r="DK1045" s="52"/>
      <c r="DL1045" s="52"/>
      <c r="DM1045" s="52"/>
      <c r="DN1045" s="52"/>
      <c r="DO1045" s="52"/>
      <c r="DP1045" s="52"/>
      <c r="DQ1045" s="52"/>
      <c r="DR1045" s="52"/>
      <c r="DS1045" s="52"/>
      <c r="DT1045" s="52"/>
      <c r="DU1045" s="52"/>
      <c r="DV1045" s="52"/>
      <c r="DW1045" s="52"/>
      <c r="DX1045" s="52"/>
      <c r="DZ1045"/>
      <c r="EA1045" s="19"/>
      <c r="EB1045" s="19"/>
      <c r="EC1045" s="9"/>
      <c r="ED1045" s="9"/>
      <c r="EE1045" s="9"/>
      <c r="EF1045" s="9"/>
      <c r="EG1045" s="9"/>
      <c r="EH1045" s="13"/>
      <c r="EI1045" s="13"/>
      <c r="EJ1045" s="13"/>
      <c r="EK1045" s="13"/>
      <c r="EL1045" s="13"/>
      <c r="EM1045" s="13"/>
      <c r="EN1045" s="13"/>
      <c r="EO1045" s="13"/>
      <c r="EP1045" s="13"/>
      <c r="EQ1045" s="13"/>
      <c r="ER1045" s="13"/>
      <c r="ES1045" s="13"/>
      <c r="ET1045" s="13"/>
      <c r="EU1045" s="13"/>
      <c r="EV1045" s="13"/>
      <c r="EW1045" s="13"/>
      <c r="EX1045" s="13"/>
      <c r="EY1045" s="13"/>
      <c r="EZ1045" s="13"/>
      <c r="FA1045" s="13"/>
      <c r="FB1045" s="13"/>
      <c r="FC1045" s="13"/>
      <c r="FD1045" s="13"/>
      <c r="FE1045" s="13"/>
      <c r="FF1045" s="13"/>
      <c r="FG1045" s="13"/>
      <c r="FH1045" s="13"/>
      <c r="FI1045" s="13"/>
      <c r="FJ1045" s="13"/>
      <c r="FK1045" s="13"/>
      <c r="FL1045" s="13"/>
      <c r="FM1045" s="13"/>
      <c r="FN1045" s="13"/>
      <c r="FO1045" s="13"/>
      <c r="FP1045" s="13"/>
      <c r="FQ1045" s="13"/>
      <c r="FR1045" s="13"/>
      <c r="FS1045" s="13"/>
      <c r="FT1045" s="13"/>
      <c r="FU1045" s="13"/>
      <c r="FV1045" s="13"/>
      <c r="FW1045" s="13"/>
      <c r="FX1045" s="13"/>
      <c r="FY1045" s="13"/>
      <c r="FZ1045" s="13"/>
      <c r="GA1045" s="13"/>
    </row>
    <row r="1046" spans="1:183" s="43" customFormat="1" x14ac:dyDescent="0.25">
      <c r="A1046" s="2"/>
      <c r="B1046" s="2"/>
      <c r="C1046" s="9">
        <v>11</v>
      </c>
      <c r="D1046" s="9">
        <v>19</v>
      </c>
      <c r="E1046" s="9">
        <v>25</v>
      </c>
      <c r="F1046" s="9">
        <v>32</v>
      </c>
      <c r="G1046" s="9">
        <v>54</v>
      </c>
      <c r="H1046" s="9">
        <v>71</v>
      </c>
      <c r="J1046" s="9">
        <v>71</v>
      </c>
      <c r="L1046" s="39">
        <v>44268</v>
      </c>
      <c r="N1046"/>
      <c r="O1046"/>
      <c r="P1046"/>
      <c r="Q1046"/>
      <c r="R1046"/>
      <c r="S1046"/>
      <c r="T1046"/>
      <c r="U1046"/>
      <c r="V1046"/>
      <c r="W1046" s="52"/>
      <c r="Y1046"/>
      <c r="Z1046"/>
      <c r="AA1046"/>
      <c r="AB1046"/>
      <c r="AC1046"/>
      <c r="AD1046"/>
      <c r="AE1046"/>
      <c r="AF1046"/>
      <c r="AG1046"/>
      <c r="AH1046" s="52"/>
      <c r="AI1046" s="148"/>
      <c r="AJ1046" s="19"/>
      <c r="AK1046" s="19"/>
      <c r="AL1046" s="19"/>
      <c r="AM1046" s="19"/>
      <c r="AN1046" s="42"/>
      <c r="AO1046" s="54"/>
      <c r="AP1046" s="19"/>
      <c r="AQ1046" s="1"/>
      <c r="AR1046" s="74"/>
      <c r="AS1046" s="42"/>
      <c r="AT1046" s="54"/>
      <c r="AU1046" s="54"/>
      <c r="AV1046" s="19"/>
      <c r="AW1046" s="54"/>
      <c r="AX1046" s="57"/>
      <c r="AY1046" s="54"/>
      <c r="AZ1046" s="54"/>
      <c r="BA1046" s="54"/>
      <c r="BB1046" s="54"/>
      <c r="BC1046" s="57"/>
      <c r="BD1046" s="19"/>
      <c r="BE1046" s="19"/>
      <c r="BF1046" s="19"/>
      <c r="BG1046" s="54"/>
      <c r="BI1046" s="54"/>
      <c r="BJ1046" s="55"/>
      <c r="BK1046" s="55"/>
      <c r="BL1046" s="54"/>
      <c r="BM1046" s="56"/>
      <c r="BN1046" s="56"/>
      <c r="BO1046" s="52"/>
      <c r="BP1046" s="52"/>
      <c r="BQ1046" s="52"/>
      <c r="BR1046" s="52"/>
      <c r="BS1046" s="52"/>
      <c r="BT1046" s="52"/>
      <c r="BU1046" s="52"/>
      <c r="BV1046" s="52"/>
      <c r="BW1046" s="52"/>
      <c r="BX1046" s="52"/>
      <c r="BY1046" s="52"/>
      <c r="BZ1046" s="52"/>
      <c r="CA1046" s="52"/>
      <c r="CB1046" s="52"/>
      <c r="CC1046" s="52"/>
      <c r="CD1046" s="52"/>
      <c r="CE1046" s="52"/>
      <c r="CF1046" s="52"/>
      <c r="CG1046" s="52"/>
      <c r="CH1046" s="52"/>
      <c r="CI1046" s="52"/>
      <c r="CJ1046" s="52"/>
      <c r="CK1046" s="52"/>
      <c r="CL1046" s="52"/>
      <c r="CM1046" s="52"/>
      <c r="CN1046" s="52"/>
      <c r="CO1046" s="52"/>
      <c r="CP1046" s="52"/>
      <c r="CQ1046" s="52"/>
      <c r="CR1046" s="52"/>
      <c r="CS1046" s="52"/>
      <c r="CT1046" s="52"/>
      <c r="CU1046" s="52"/>
      <c r="CV1046" s="52"/>
      <c r="CW1046" s="52"/>
      <c r="CX1046" s="52"/>
      <c r="CY1046" s="52"/>
      <c r="CZ1046" s="52"/>
      <c r="DA1046" s="52"/>
      <c r="DB1046" s="52"/>
      <c r="DC1046" s="52"/>
      <c r="DD1046" s="52"/>
      <c r="DE1046" s="52"/>
      <c r="DF1046" s="52"/>
      <c r="DG1046" s="52"/>
      <c r="DH1046" s="52"/>
      <c r="DI1046" s="52"/>
      <c r="DJ1046" s="52"/>
      <c r="DK1046" s="52"/>
      <c r="DL1046" s="52"/>
      <c r="DM1046" s="52"/>
      <c r="DN1046" s="52"/>
      <c r="DO1046" s="52"/>
      <c r="DP1046" s="52"/>
      <c r="DQ1046" s="52"/>
      <c r="DR1046" s="52"/>
      <c r="DS1046" s="52"/>
      <c r="DT1046" s="52"/>
      <c r="DU1046" s="52"/>
      <c r="DV1046" s="52"/>
      <c r="DW1046" s="52"/>
      <c r="DX1046" s="52"/>
      <c r="DZ1046"/>
      <c r="EA1046" s="19"/>
      <c r="EB1046" s="19"/>
      <c r="EC1046" s="9"/>
      <c r="ED1046" s="9"/>
      <c r="EE1046" s="9"/>
      <c r="EF1046" s="9"/>
      <c r="EG1046" s="9"/>
      <c r="EH1046" s="13"/>
      <c r="EI1046" s="13"/>
      <c r="EJ1046" s="13"/>
      <c r="EK1046" s="13"/>
      <c r="EL1046" s="13"/>
      <c r="EM1046" s="13"/>
      <c r="EN1046" s="13"/>
      <c r="EO1046" s="13"/>
      <c r="EP1046" s="13"/>
      <c r="EQ1046" s="13"/>
      <c r="ER1046" s="13"/>
      <c r="ES1046" s="13"/>
      <c r="ET1046" s="13"/>
      <c r="EU1046" s="13"/>
      <c r="EV1046" s="13"/>
      <c r="EW1046" s="13"/>
      <c r="EX1046" s="13"/>
      <c r="EY1046" s="13"/>
      <c r="EZ1046" s="13"/>
      <c r="FA1046" s="13"/>
      <c r="FB1046" s="13"/>
      <c r="FC1046" s="13"/>
      <c r="FD1046" s="13"/>
      <c r="FE1046" s="13"/>
      <c r="FF1046" s="13"/>
      <c r="FG1046" s="13"/>
      <c r="FH1046" s="13"/>
      <c r="FI1046" s="13"/>
      <c r="FJ1046" s="13"/>
      <c r="FK1046" s="13"/>
      <c r="FL1046" s="13"/>
      <c r="FM1046" s="13"/>
      <c r="FN1046" s="13"/>
      <c r="FO1046" s="13"/>
      <c r="FP1046" s="13"/>
      <c r="FQ1046" s="13"/>
      <c r="FR1046" s="13"/>
      <c r="FS1046" s="13"/>
      <c r="FT1046" s="13"/>
      <c r="FU1046" s="13"/>
      <c r="FV1046" s="13"/>
      <c r="FW1046" s="13"/>
      <c r="FX1046" s="13"/>
      <c r="FY1046" s="13"/>
      <c r="FZ1046" s="13"/>
      <c r="GA1046" s="13"/>
    </row>
    <row r="1047" spans="1:183" s="43" customFormat="1" x14ac:dyDescent="0.25">
      <c r="A1047" s="2"/>
      <c r="B1047" s="2"/>
      <c r="C1047" s="9">
        <v>4</v>
      </c>
      <c r="D1047" s="9">
        <v>23</v>
      </c>
      <c r="E1047" s="9">
        <v>30</v>
      </c>
      <c r="F1047" s="9">
        <v>49</v>
      </c>
      <c r="G1047" s="9">
        <v>53</v>
      </c>
      <c r="H1047" s="9">
        <v>87</v>
      </c>
      <c r="J1047" s="9">
        <v>87</v>
      </c>
      <c r="L1047" s="39">
        <v>44265</v>
      </c>
      <c r="N1047"/>
      <c r="O1047"/>
      <c r="P1047"/>
      <c r="Q1047"/>
      <c r="R1047"/>
      <c r="S1047"/>
      <c r="T1047"/>
      <c r="U1047"/>
      <c r="V1047"/>
      <c r="W1047" s="52"/>
      <c r="Y1047"/>
      <c r="Z1047"/>
      <c r="AA1047"/>
      <c r="AB1047"/>
      <c r="AC1047"/>
      <c r="AD1047"/>
      <c r="AE1047"/>
      <c r="AF1047"/>
      <c r="AG1047"/>
      <c r="AH1047" s="52"/>
      <c r="AI1047" s="148"/>
      <c r="AJ1047" s="19"/>
      <c r="AK1047" s="19"/>
      <c r="AL1047" s="19"/>
      <c r="AM1047" s="19"/>
      <c r="AN1047" s="42"/>
      <c r="AO1047" s="54"/>
      <c r="AP1047" s="19"/>
      <c r="AQ1047" s="1"/>
      <c r="AR1047" s="74"/>
      <c r="AS1047" s="42"/>
      <c r="AT1047" s="54"/>
      <c r="AU1047" s="54"/>
      <c r="AV1047" s="19"/>
      <c r="AW1047" s="54"/>
      <c r="AX1047" s="57"/>
      <c r="AY1047" s="54"/>
      <c r="AZ1047" s="54"/>
      <c r="BA1047" s="54"/>
      <c r="BB1047" s="54"/>
      <c r="BC1047" s="57"/>
      <c r="BD1047" s="19"/>
      <c r="BE1047" s="19"/>
      <c r="BF1047" s="19"/>
      <c r="BG1047" s="54"/>
      <c r="BI1047" s="54"/>
      <c r="BJ1047" s="55"/>
      <c r="BK1047" s="55"/>
      <c r="BL1047" s="54"/>
      <c r="BM1047" s="56"/>
      <c r="BN1047" s="56"/>
      <c r="BO1047" s="52"/>
      <c r="BP1047" s="52"/>
      <c r="BQ1047" s="52"/>
      <c r="BR1047" s="52"/>
      <c r="BS1047" s="52"/>
      <c r="BT1047" s="52"/>
      <c r="BU1047" s="52"/>
      <c r="BV1047" s="52"/>
      <c r="BW1047" s="52"/>
      <c r="BX1047" s="52"/>
      <c r="BY1047" s="52"/>
      <c r="BZ1047" s="52"/>
      <c r="CA1047" s="52"/>
      <c r="CB1047" s="52"/>
      <c r="CC1047" s="52"/>
      <c r="CD1047" s="52"/>
      <c r="CE1047" s="52"/>
      <c r="CF1047" s="52"/>
      <c r="CG1047" s="52"/>
      <c r="CH1047" s="52"/>
      <c r="CI1047" s="52"/>
      <c r="CJ1047" s="52"/>
      <c r="CK1047" s="52"/>
      <c r="CL1047" s="52"/>
      <c r="CM1047" s="52"/>
      <c r="CN1047" s="52"/>
      <c r="CO1047" s="52"/>
      <c r="CP1047" s="52"/>
      <c r="CQ1047" s="52"/>
      <c r="CR1047" s="52"/>
      <c r="CS1047" s="52"/>
      <c r="CT1047" s="52"/>
      <c r="CU1047" s="52"/>
      <c r="CV1047" s="52"/>
      <c r="CW1047" s="52"/>
      <c r="CX1047" s="52"/>
      <c r="CY1047" s="52"/>
      <c r="CZ1047" s="52"/>
      <c r="DA1047" s="52"/>
      <c r="DB1047" s="52"/>
      <c r="DC1047" s="52"/>
      <c r="DD1047" s="52"/>
      <c r="DE1047" s="52"/>
      <c r="DF1047" s="52"/>
      <c r="DG1047" s="52"/>
      <c r="DH1047" s="52"/>
      <c r="DI1047" s="52"/>
      <c r="DJ1047" s="52"/>
      <c r="DK1047" s="52"/>
      <c r="DL1047" s="52"/>
      <c r="DM1047" s="52"/>
      <c r="DN1047" s="52"/>
      <c r="DO1047" s="52"/>
      <c r="DP1047" s="52"/>
      <c r="DQ1047" s="52"/>
      <c r="DR1047" s="52"/>
      <c r="DS1047" s="52"/>
      <c r="DT1047" s="52"/>
      <c r="DU1047" s="52"/>
      <c r="DV1047" s="52"/>
      <c r="DW1047" s="52"/>
      <c r="DX1047" s="52"/>
      <c r="DZ1047"/>
      <c r="EA1047" s="19"/>
      <c r="EB1047" s="19"/>
      <c r="EC1047" s="9"/>
      <c r="ED1047" s="9"/>
      <c r="EE1047" s="9"/>
      <c r="EF1047" s="9"/>
      <c r="EG1047" s="9"/>
      <c r="EH1047" s="13"/>
      <c r="EI1047" s="13"/>
      <c r="EJ1047" s="13"/>
      <c r="EK1047" s="13"/>
      <c r="EL1047" s="13"/>
      <c r="EM1047" s="13"/>
      <c r="EN1047" s="13"/>
      <c r="EO1047" s="13"/>
      <c r="EP1047" s="13"/>
      <c r="EQ1047" s="13"/>
      <c r="ER1047" s="13"/>
      <c r="ES1047" s="13"/>
      <c r="ET1047" s="13"/>
      <c r="EU1047" s="13"/>
      <c r="EV1047" s="13"/>
      <c r="EW1047" s="13"/>
      <c r="EX1047" s="13"/>
      <c r="EY1047" s="13"/>
      <c r="EZ1047" s="13"/>
      <c r="FA1047" s="13"/>
      <c r="FB1047" s="13"/>
      <c r="FC1047" s="13"/>
      <c r="FD1047" s="13"/>
      <c r="FE1047" s="13"/>
      <c r="FF1047" s="13"/>
      <c r="FG1047" s="13"/>
      <c r="FH1047" s="13"/>
      <c r="FI1047" s="13"/>
      <c r="FJ1047" s="13"/>
      <c r="FK1047" s="13"/>
      <c r="FL1047" s="13"/>
      <c r="FM1047" s="13"/>
      <c r="FN1047" s="13"/>
      <c r="FO1047" s="13"/>
      <c r="FP1047" s="13"/>
      <c r="FQ1047" s="13"/>
      <c r="FR1047" s="13"/>
      <c r="FS1047" s="13"/>
      <c r="FT1047" s="13"/>
      <c r="FU1047" s="13"/>
      <c r="FV1047" s="13"/>
      <c r="FW1047" s="13"/>
      <c r="FX1047" s="13"/>
      <c r="FY1047" s="13"/>
      <c r="FZ1047" s="13"/>
      <c r="GA1047" s="13"/>
    </row>
    <row r="1048" spans="1:183" s="43" customFormat="1" x14ac:dyDescent="0.25">
      <c r="A1048" s="2"/>
      <c r="B1048" s="2"/>
      <c r="C1048" s="9">
        <v>22</v>
      </c>
      <c r="D1048" s="9">
        <v>38</v>
      </c>
      <c r="E1048" s="9">
        <v>45</v>
      </c>
      <c r="F1048" s="9">
        <v>47</v>
      </c>
      <c r="G1048" s="9">
        <v>70</v>
      </c>
      <c r="H1048" s="9">
        <v>87</v>
      </c>
      <c r="J1048" s="9">
        <v>87</v>
      </c>
      <c r="L1048" s="39">
        <v>44263</v>
      </c>
      <c r="N1048"/>
      <c r="O1048"/>
      <c r="P1048"/>
      <c r="Q1048"/>
      <c r="R1048"/>
      <c r="S1048"/>
      <c r="T1048"/>
      <c r="U1048"/>
      <c r="V1048"/>
      <c r="W1048" s="52"/>
      <c r="Y1048"/>
      <c r="Z1048"/>
      <c r="AA1048"/>
      <c r="AB1048"/>
      <c r="AC1048"/>
      <c r="AD1048"/>
      <c r="AE1048"/>
      <c r="AF1048"/>
      <c r="AG1048"/>
      <c r="AH1048" s="52"/>
      <c r="AI1048" s="148"/>
      <c r="AJ1048" s="19"/>
      <c r="AK1048" s="19"/>
      <c r="AL1048" s="19"/>
      <c r="AM1048" s="19"/>
      <c r="AN1048" s="42"/>
      <c r="AO1048" s="54"/>
      <c r="AP1048" s="19"/>
      <c r="AQ1048" s="1"/>
      <c r="AR1048" s="74"/>
      <c r="AS1048" s="42"/>
      <c r="AT1048" s="54"/>
      <c r="AU1048" s="54"/>
      <c r="AV1048" s="19"/>
      <c r="AW1048" s="54"/>
      <c r="AX1048" s="57"/>
      <c r="AY1048" s="54"/>
      <c r="AZ1048" s="54"/>
      <c r="BA1048" s="54"/>
      <c r="BB1048" s="54"/>
      <c r="BC1048" s="57"/>
      <c r="BD1048" s="19"/>
      <c r="BE1048" s="19"/>
      <c r="BF1048" s="19"/>
      <c r="BG1048" s="54"/>
      <c r="BI1048" s="54"/>
      <c r="BJ1048" s="55"/>
      <c r="BK1048" s="55"/>
      <c r="BL1048" s="54"/>
      <c r="BM1048" s="56"/>
      <c r="BN1048" s="56"/>
      <c r="BO1048" s="52"/>
      <c r="BP1048" s="52"/>
      <c r="BQ1048" s="52"/>
      <c r="BR1048" s="52"/>
      <c r="BS1048" s="52"/>
      <c r="BT1048" s="52"/>
      <c r="BU1048" s="52"/>
      <c r="BV1048" s="52"/>
      <c r="BW1048" s="52"/>
      <c r="BX1048" s="52"/>
      <c r="BY1048" s="52"/>
      <c r="BZ1048" s="52"/>
      <c r="CA1048" s="52"/>
      <c r="CB1048" s="52"/>
      <c r="CC1048" s="52"/>
      <c r="CD1048" s="52"/>
      <c r="CE1048" s="52"/>
      <c r="CF1048" s="52"/>
      <c r="CG1048" s="52"/>
      <c r="CH1048" s="52"/>
      <c r="CI1048" s="52"/>
      <c r="CJ1048" s="52"/>
      <c r="CK1048" s="52"/>
      <c r="CL1048" s="52"/>
      <c r="CM1048" s="52"/>
      <c r="CN1048" s="52"/>
      <c r="CO1048" s="52"/>
      <c r="CP1048" s="52"/>
      <c r="CQ1048" s="52"/>
      <c r="CR1048" s="52"/>
      <c r="CS1048" s="52"/>
      <c r="CT1048" s="52"/>
      <c r="CU1048" s="52"/>
      <c r="CV1048" s="52"/>
      <c r="CW1048" s="52"/>
      <c r="CX1048" s="52"/>
      <c r="CY1048" s="52"/>
      <c r="CZ1048" s="52"/>
      <c r="DA1048" s="52"/>
      <c r="DB1048" s="52"/>
      <c r="DC1048" s="52"/>
      <c r="DD1048" s="52"/>
      <c r="DE1048" s="52"/>
      <c r="DF1048" s="52"/>
      <c r="DG1048" s="52"/>
      <c r="DH1048" s="52"/>
      <c r="DI1048" s="52"/>
      <c r="DJ1048" s="52"/>
      <c r="DK1048" s="52"/>
      <c r="DL1048" s="52"/>
      <c r="DM1048" s="52"/>
      <c r="DN1048" s="52"/>
      <c r="DO1048" s="52"/>
      <c r="DP1048" s="52"/>
      <c r="DQ1048" s="52"/>
      <c r="DR1048" s="52"/>
      <c r="DS1048" s="52"/>
      <c r="DT1048" s="52"/>
      <c r="DU1048" s="52"/>
      <c r="DV1048" s="52"/>
      <c r="DW1048" s="52"/>
      <c r="DX1048" s="52"/>
      <c r="DZ1048"/>
      <c r="EA1048" s="19"/>
      <c r="EB1048" s="19"/>
      <c r="EC1048" s="9"/>
      <c r="ED1048" s="9"/>
      <c r="EE1048" s="9"/>
      <c r="EF1048" s="9"/>
      <c r="EG1048" s="9"/>
      <c r="EH1048" s="13"/>
      <c r="EI1048" s="13"/>
      <c r="EJ1048" s="13"/>
      <c r="EK1048" s="13"/>
      <c r="EL1048" s="13"/>
      <c r="EM1048" s="13"/>
      <c r="EN1048" s="13"/>
      <c r="EO1048" s="13"/>
      <c r="EP1048" s="13"/>
      <c r="EQ1048" s="13"/>
      <c r="ER1048" s="13"/>
      <c r="ES1048" s="13"/>
      <c r="ET1048" s="13"/>
      <c r="EU1048" s="13"/>
      <c r="EV1048" s="13"/>
      <c r="EW1048" s="13"/>
      <c r="EX1048" s="13"/>
      <c r="EY1048" s="13"/>
      <c r="EZ1048" s="13"/>
      <c r="FA1048" s="13"/>
      <c r="FB1048" s="13"/>
      <c r="FC1048" s="13"/>
      <c r="FD1048" s="13"/>
      <c r="FE1048" s="13"/>
      <c r="FF1048" s="13"/>
      <c r="FG1048" s="13"/>
      <c r="FH1048" s="13"/>
      <c r="FI1048" s="13"/>
      <c r="FJ1048" s="13"/>
      <c r="FK1048" s="13"/>
      <c r="FL1048" s="13"/>
      <c r="FM1048" s="13"/>
      <c r="FN1048" s="13"/>
      <c r="FO1048" s="13"/>
      <c r="FP1048" s="13"/>
      <c r="FQ1048" s="13"/>
      <c r="FR1048" s="13"/>
      <c r="FS1048" s="13"/>
      <c r="FT1048" s="13"/>
      <c r="FU1048" s="13"/>
      <c r="FV1048" s="13"/>
      <c r="FW1048" s="13"/>
      <c r="FX1048" s="13"/>
      <c r="FY1048" s="13"/>
      <c r="FZ1048" s="13"/>
      <c r="GA1048" s="13"/>
    </row>
    <row r="1049" spans="1:183" s="43" customFormat="1" x14ac:dyDescent="0.25">
      <c r="A1049" s="2"/>
      <c r="B1049" s="2"/>
      <c r="C1049" s="9">
        <v>8</v>
      </c>
      <c r="D1049" s="9">
        <v>12</v>
      </c>
      <c r="E1049" s="9">
        <v>20</v>
      </c>
      <c r="F1049" s="9">
        <v>31</v>
      </c>
      <c r="G1049" s="9">
        <v>45</v>
      </c>
      <c r="H1049" s="9">
        <v>87</v>
      </c>
      <c r="J1049" s="9">
        <v>87</v>
      </c>
      <c r="L1049" s="39">
        <v>44261</v>
      </c>
      <c r="N1049"/>
      <c r="O1049"/>
      <c r="P1049"/>
      <c r="Q1049"/>
      <c r="R1049"/>
      <c r="S1049"/>
      <c r="T1049"/>
      <c r="U1049"/>
      <c r="V1049"/>
      <c r="W1049" s="52"/>
      <c r="Y1049"/>
      <c r="Z1049"/>
      <c r="AA1049"/>
      <c r="AB1049"/>
      <c r="AC1049"/>
      <c r="AD1049"/>
      <c r="AE1049"/>
      <c r="AF1049"/>
      <c r="AG1049"/>
      <c r="AH1049" s="52"/>
      <c r="AI1049" s="148"/>
      <c r="AJ1049" s="19"/>
      <c r="AK1049" s="19"/>
      <c r="AL1049" s="19"/>
      <c r="AM1049" s="19"/>
      <c r="AN1049" s="42"/>
      <c r="AO1049" s="54"/>
      <c r="AP1049" s="19"/>
      <c r="AQ1049" s="1"/>
      <c r="AR1049" s="74"/>
      <c r="AS1049" s="42"/>
      <c r="AT1049" s="54"/>
      <c r="AU1049" s="54"/>
      <c r="AV1049" s="19"/>
      <c r="AW1049" s="54"/>
      <c r="AX1049" s="57"/>
      <c r="AY1049" s="54"/>
      <c r="AZ1049" s="54"/>
      <c r="BA1049" s="54"/>
      <c r="BB1049" s="54"/>
      <c r="BC1049" s="57"/>
      <c r="BD1049" s="19"/>
      <c r="BE1049" s="19"/>
      <c r="BF1049" s="19"/>
      <c r="BG1049" s="54"/>
      <c r="BI1049" s="54"/>
      <c r="BJ1049" s="55"/>
      <c r="BK1049" s="55"/>
      <c r="BL1049" s="54"/>
      <c r="BM1049" s="56"/>
      <c r="BN1049" s="56"/>
      <c r="BO1049" s="52"/>
      <c r="BP1049" s="52"/>
      <c r="BQ1049" s="52"/>
      <c r="BR1049" s="52"/>
      <c r="BS1049" s="52"/>
      <c r="BT1049" s="52"/>
      <c r="BU1049" s="52"/>
      <c r="BV1049" s="52"/>
      <c r="BW1049" s="52"/>
      <c r="BX1049" s="52"/>
      <c r="BY1049" s="52"/>
      <c r="BZ1049" s="52"/>
      <c r="CA1049" s="52"/>
      <c r="CB1049" s="52"/>
      <c r="CC1049" s="52"/>
      <c r="CD1049" s="52"/>
      <c r="CE1049" s="52"/>
      <c r="CF1049" s="52"/>
      <c r="CG1049" s="52"/>
      <c r="CH1049" s="52"/>
      <c r="CI1049" s="52"/>
      <c r="CJ1049" s="52"/>
      <c r="CK1049" s="52"/>
      <c r="CL1049" s="52"/>
      <c r="CM1049" s="52"/>
      <c r="CN1049" s="52"/>
      <c r="CO1049" s="52"/>
      <c r="CP1049" s="52"/>
      <c r="CQ1049" s="52"/>
      <c r="CR1049" s="52"/>
      <c r="CS1049" s="52"/>
      <c r="CT1049" s="52"/>
      <c r="CU1049" s="52"/>
      <c r="CV1049" s="52"/>
      <c r="CW1049" s="52"/>
      <c r="CX1049" s="52"/>
      <c r="CY1049" s="52"/>
      <c r="CZ1049" s="52"/>
      <c r="DA1049" s="52"/>
      <c r="DB1049" s="52"/>
      <c r="DC1049" s="52"/>
      <c r="DD1049" s="52"/>
      <c r="DE1049" s="52"/>
      <c r="DF1049" s="52"/>
      <c r="DG1049" s="52"/>
      <c r="DH1049" s="52"/>
      <c r="DI1049" s="52"/>
      <c r="DJ1049" s="52"/>
      <c r="DK1049" s="52"/>
      <c r="DL1049" s="52"/>
      <c r="DM1049" s="52"/>
      <c r="DN1049" s="52"/>
      <c r="DO1049" s="52"/>
      <c r="DP1049" s="52"/>
      <c r="DQ1049" s="52"/>
      <c r="DR1049" s="52"/>
      <c r="DS1049" s="52"/>
      <c r="DT1049" s="52"/>
      <c r="DU1049" s="52"/>
      <c r="DV1049" s="52"/>
      <c r="DW1049" s="52"/>
      <c r="DX1049" s="52"/>
      <c r="DZ1049"/>
      <c r="EA1049" s="19"/>
      <c r="EB1049" s="19"/>
      <c r="EC1049" s="9"/>
      <c r="ED1049" s="9"/>
      <c r="EE1049" s="9"/>
      <c r="EF1049" s="9"/>
      <c r="EG1049" s="9"/>
      <c r="EH1049" s="13"/>
      <c r="EI1049" s="13"/>
      <c r="EJ1049" s="13"/>
      <c r="EK1049" s="13"/>
      <c r="EL1049" s="13"/>
      <c r="EM1049" s="13"/>
      <c r="EN1049" s="13"/>
      <c r="EO1049" s="13"/>
      <c r="EP1049" s="13"/>
      <c r="EQ1049" s="13"/>
      <c r="ER1049" s="13"/>
      <c r="ES1049" s="13"/>
      <c r="ET1049" s="13"/>
      <c r="EU1049" s="13"/>
      <c r="EV1049" s="13"/>
      <c r="EW1049" s="13"/>
      <c r="EX1049" s="13"/>
      <c r="EY1049" s="13"/>
      <c r="EZ1049" s="13"/>
      <c r="FA1049" s="13"/>
      <c r="FB1049" s="13"/>
      <c r="FC1049" s="13"/>
      <c r="FD1049" s="13"/>
      <c r="FE1049" s="13"/>
      <c r="FF1049" s="13"/>
      <c r="FG1049" s="13"/>
      <c r="FH1049" s="13"/>
      <c r="FI1049" s="13"/>
      <c r="FJ1049" s="13"/>
      <c r="FK1049" s="13"/>
      <c r="FL1049" s="13"/>
      <c r="FM1049" s="13"/>
      <c r="FN1049" s="13"/>
      <c r="FO1049" s="13"/>
      <c r="FP1049" s="13"/>
      <c r="FQ1049" s="13"/>
      <c r="FR1049" s="13"/>
      <c r="FS1049" s="13"/>
      <c r="FT1049" s="13"/>
      <c r="FU1049" s="13"/>
      <c r="FV1049" s="13"/>
      <c r="FW1049" s="13"/>
      <c r="FX1049" s="13"/>
      <c r="FY1049" s="13"/>
      <c r="FZ1049" s="13"/>
      <c r="GA1049" s="13"/>
    </row>
    <row r="1050" spans="1:183" s="43" customFormat="1" x14ac:dyDescent="0.25">
      <c r="A1050" s="2"/>
      <c r="B1050" s="2"/>
      <c r="C1050" s="9">
        <v>2</v>
      </c>
      <c r="D1050" s="9">
        <v>11</v>
      </c>
      <c r="E1050" s="9">
        <v>13</v>
      </c>
      <c r="F1050" s="9">
        <v>34</v>
      </c>
      <c r="G1050" s="9">
        <v>47</v>
      </c>
      <c r="H1050" s="9">
        <v>74</v>
      </c>
      <c r="J1050" s="9">
        <v>74</v>
      </c>
      <c r="L1050" s="39">
        <v>44258</v>
      </c>
      <c r="N1050"/>
      <c r="O1050"/>
      <c r="P1050"/>
      <c r="Q1050"/>
      <c r="R1050"/>
      <c r="S1050"/>
      <c r="T1050"/>
      <c r="U1050"/>
      <c r="V1050"/>
      <c r="W1050" s="52"/>
      <c r="Y1050"/>
      <c r="Z1050"/>
      <c r="AA1050"/>
      <c r="AB1050"/>
      <c r="AC1050"/>
      <c r="AD1050"/>
      <c r="AE1050"/>
      <c r="AF1050"/>
      <c r="AG1050"/>
      <c r="AH1050" s="52"/>
      <c r="AI1050" s="148"/>
      <c r="AJ1050" s="19"/>
      <c r="AK1050" s="19"/>
      <c r="AL1050" s="19"/>
      <c r="AM1050" s="19"/>
      <c r="AN1050" s="42"/>
      <c r="AO1050" s="54"/>
      <c r="AP1050" s="19"/>
      <c r="AQ1050" s="1"/>
      <c r="AR1050" s="74"/>
      <c r="AS1050" s="42"/>
      <c r="AT1050" s="54"/>
      <c r="AU1050" s="54"/>
      <c r="AV1050" s="19"/>
      <c r="AW1050" s="54"/>
      <c r="AX1050" s="57"/>
      <c r="AY1050" s="54"/>
      <c r="AZ1050" s="54"/>
      <c r="BA1050" s="54"/>
      <c r="BB1050" s="54"/>
      <c r="BC1050" s="57"/>
      <c r="BD1050" s="19"/>
      <c r="BE1050" s="19"/>
      <c r="BF1050" s="19"/>
      <c r="BG1050" s="54"/>
      <c r="BI1050" s="54"/>
      <c r="BJ1050" s="55"/>
      <c r="BK1050" s="55"/>
      <c r="BL1050" s="54"/>
      <c r="BM1050" s="56"/>
      <c r="BN1050" s="56"/>
      <c r="BO1050" s="52"/>
      <c r="BP1050" s="52"/>
      <c r="BQ1050" s="52"/>
      <c r="BR1050" s="52"/>
      <c r="BS1050" s="52"/>
      <c r="BT1050" s="52"/>
      <c r="BU1050" s="52"/>
      <c r="BV1050" s="52"/>
      <c r="BW1050" s="52"/>
      <c r="BX1050" s="52"/>
      <c r="BY1050" s="52"/>
      <c r="BZ1050" s="52"/>
      <c r="CA1050" s="52"/>
      <c r="CB1050" s="52"/>
      <c r="CC1050" s="52"/>
      <c r="CD1050" s="52"/>
      <c r="CE1050" s="52"/>
      <c r="CF1050" s="52"/>
      <c r="CG1050" s="52"/>
      <c r="CH1050" s="52"/>
      <c r="CI1050" s="52"/>
      <c r="CJ1050" s="52"/>
      <c r="CK1050" s="52"/>
      <c r="CL1050" s="52"/>
      <c r="CM1050" s="52"/>
      <c r="CN1050" s="52"/>
      <c r="CO1050" s="52"/>
      <c r="CP1050" s="52"/>
      <c r="CQ1050" s="52"/>
      <c r="CR1050" s="52"/>
      <c r="CS1050" s="52"/>
      <c r="CT1050" s="52"/>
      <c r="CU1050" s="52"/>
      <c r="CV1050" s="52"/>
      <c r="CW1050" s="52"/>
      <c r="CX1050" s="52"/>
      <c r="CY1050" s="52"/>
      <c r="CZ1050" s="52"/>
      <c r="DA1050" s="52"/>
      <c r="DB1050" s="52"/>
      <c r="DC1050" s="52"/>
      <c r="DD1050" s="52"/>
      <c r="DE1050" s="52"/>
      <c r="DF1050" s="52"/>
      <c r="DG1050" s="52"/>
      <c r="DH1050" s="52"/>
      <c r="DI1050" s="52"/>
      <c r="DJ1050" s="52"/>
      <c r="DK1050" s="52"/>
      <c r="DL1050" s="52"/>
      <c r="DM1050" s="52"/>
      <c r="DN1050" s="52"/>
      <c r="DO1050" s="52"/>
      <c r="DP1050" s="52"/>
      <c r="DQ1050" s="52"/>
      <c r="DR1050" s="52"/>
      <c r="DS1050" s="52"/>
      <c r="DT1050" s="52"/>
      <c r="DU1050" s="52"/>
      <c r="DV1050" s="52"/>
      <c r="DW1050" s="52"/>
      <c r="DX1050" s="52"/>
      <c r="DZ1050"/>
      <c r="EA1050" s="19"/>
      <c r="EB1050" s="19"/>
      <c r="EC1050" s="9"/>
      <c r="ED1050" s="9"/>
      <c r="EE1050" s="9"/>
      <c r="EF1050" s="9"/>
      <c r="EG1050" s="9"/>
      <c r="EH1050" s="13"/>
      <c r="EI1050" s="13"/>
      <c r="EJ1050" s="13"/>
      <c r="EK1050" s="13"/>
      <c r="EL1050" s="13"/>
      <c r="EM1050" s="13"/>
      <c r="EN1050" s="13"/>
      <c r="EO1050" s="13"/>
      <c r="EP1050" s="13"/>
      <c r="EQ1050" s="13"/>
      <c r="ER1050" s="13"/>
      <c r="ES1050" s="13"/>
      <c r="ET1050" s="13"/>
      <c r="EU1050" s="13"/>
      <c r="EV1050" s="13"/>
      <c r="EW1050" s="13"/>
      <c r="EX1050" s="13"/>
      <c r="EY1050" s="13"/>
      <c r="EZ1050" s="13"/>
      <c r="FA1050" s="13"/>
      <c r="FB1050" s="13"/>
      <c r="FC1050" s="13"/>
      <c r="FD1050" s="13"/>
      <c r="FE1050" s="13"/>
      <c r="FF1050" s="13"/>
      <c r="FG1050" s="13"/>
      <c r="FH1050" s="13"/>
      <c r="FI1050" s="13"/>
      <c r="FJ1050" s="13"/>
      <c r="FK1050" s="13"/>
      <c r="FL1050" s="13"/>
      <c r="FM1050" s="13"/>
      <c r="FN1050" s="13"/>
      <c r="FO1050" s="13"/>
      <c r="FP1050" s="13"/>
      <c r="FQ1050" s="13"/>
      <c r="FR1050" s="13"/>
      <c r="FS1050" s="13"/>
      <c r="FT1050" s="13"/>
      <c r="FU1050" s="13"/>
      <c r="FV1050" s="13"/>
      <c r="FW1050" s="13"/>
      <c r="FX1050" s="13"/>
      <c r="FY1050" s="13"/>
      <c r="FZ1050" s="13"/>
      <c r="GA1050" s="13"/>
    </row>
    <row r="1051" spans="1:183" s="43" customFormat="1" x14ac:dyDescent="0.25">
      <c r="A1051" s="2"/>
      <c r="B1051" s="2"/>
      <c r="C1051" s="9">
        <v>5</v>
      </c>
      <c r="D1051" s="9">
        <v>30</v>
      </c>
      <c r="E1051" s="9">
        <v>46</v>
      </c>
      <c r="F1051" s="9">
        <v>60</v>
      </c>
      <c r="G1051" s="9">
        <v>69</v>
      </c>
      <c r="H1051" s="9">
        <v>84</v>
      </c>
      <c r="J1051" s="9">
        <v>84</v>
      </c>
      <c r="L1051" s="39">
        <v>44256</v>
      </c>
      <c r="N1051"/>
      <c r="O1051"/>
      <c r="P1051"/>
      <c r="Q1051"/>
      <c r="R1051"/>
      <c r="S1051"/>
      <c r="T1051"/>
      <c r="U1051"/>
      <c r="V1051"/>
      <c r="W1051" s="52"/>
      <c r="Y1051"/>
      <c r="Z1051"/>
      <c r="AA1051"/>
      <c r="AB1051"/>
      <c r="AC1051"/>
      <c r="AD1051"/>
      <c r="AE1051"/>
      <c r="AF1051"/>
      <c r="AG1051"/>
      <c r="AH1051" s="52"/>
      <c r="AI1051" s="148"/>
      <c r="AJ1051" s="19"/>
      <c r="AK1051" s="19"/>
      <c r="AL1051" s="19"/>
      <c r="AM1051" s="19"/>
      <c r="AN1051" s="42"/>
      <c r="AO1051" s="54"/>
      <c r="AP1051" s="19"/>
      <c r="AQ1051" s="1"/>
      <c r="AR1051" s="74"/>
      <c r="AS1051" s="42"/>
      <c r="AT1051" s="54"/>
      <c r="AU1051" s="54"/>
      <c r="AV1051" s="19"/>
      <c r="AW1051" s="54"/>
      <c r="AX1051" s="57"/>
      <c r="AY1051" s="54"/>
      <c r="AZ1051" s="54"/>
      <c r="BA1051" s="54"/>
      <c r="BB1051" s="54"/>
      <c r="BC1051" s="57"/>
      <c r="BD1051" s="19"/>
      <c r="BE1051" s="19"/>
      <c r="BF1051" s="19"/>
      <c r="BG1051" s="54"/>
      <c r="BI1051" s="54"/>
      <c r="BJ1051" s="55"/>
      <c r="BK1051" s="55"/>
      <c r="BL1051" s="54"/>
      <c r="BM1051" s="56"/>
      <c r="BN1051" s="56"/>
      <c r="BO1051" s="52"/>
      <c r="BP1051" s="52"/>
      <c r="BQ1051" s="52"/>
      <c r="BR1051" s="52"/>
      <c r="BS1051" s="52"/>
      <c r="BT1051" s="52"/>
      <c r="BU1051" s="52"/>
      <c r="BV1051" s="52"/>
      <c r="BW1051" s="52"/>
      <c r="BX1051" s="52"/>
      <c r="BY1051" s="52"/>
      <c r="BZ1051" s="52"/>
      <c r="CA1051" s="52"/>
      <c r="CB1051" s="52"/>
      <c r="CC1051" s="52"/>
      <c r="CD1051" s="52"/>
      <c r="CE1051" s="52"/>
      <c r="CF1051" s="52"/>
      <c r="CG1051" s="52"/>
      <c r="CH1051" s="52"/>
      <c r="CI1051" s="52"/>
      <c r="CJ1051" s="52"/>
      <c r="CK1051" s="52"/>
      <c r="CL1051" s="52"/>
      <c r="CM1051" s="52"/>
      <c r="CN1051" s="52"/>
      <c r="CO1051" s="52"/>
      <c r="CP1051" s="52"/>
      <c r="CQ1051" s="52"/>
      <c r="CR1051" s="52"/>
      <c r="CS1051" s="52"/>
      <c r="CT1051" s="52"/>
      <c r="CU1051" s="52"/>
      <c r="CV1051" s="52"/>
      <c r="CW1051" s="52"/>
      <c r="CX1051" s="52"/>
      <c r="CY1051" s="52"/>
      <c r="CZ1051" s="52"/>
      <c r="DA1051" s="52"/>
      <c r="DB1051" s="52"/>
      <c r="DC1051" s="52"/>
      <c r="DD1051" s="52"/>
      <c r="DE1051" s="52"/>
      <c r="DF1051" s="52"/>
      <c r="DG1051" s="52"/>
      <c r="DH1051" s="52"/>
      <c r="DI1051" s="52"/>
      <c r="DJ1051" s="52"/>
      <c r="DK1051" s="52"/>
      <c r="DL1051" s="52"/>
      <c r="DM1051" s="52"/>
      <c r="DN1051" s="52"/>
      <c r="DO1051" s="52"/>
      <c r="DP1051" s="52"/>
      <c r="DQ1051" s="52"/>
      <c r="DR1051" s="52"/>
      <c r="DS1051" s="52"/>
      <c r="DT1051" s="52"/>
      <c r="DU1051" s="52"/>
      <c r="DV1051" s="52"/>
      <c r="DW1051" s="52"/>
      <c r="DX1051" s="52"/>
      <c r="DZ1051"/>
      <c r="EA1051" s="19"/>
      <c r="EB1051" s="19"/>
      <c r="EC1051" s="9"/>
      <c r="ED1051" s="9"/>
      <c r="EE1051" s="9"/>
      <c r="EF1051" s="9"/>
      <c r="EG1051" s="9"/>
      <c r="EH1051" s="13"/>
      <c r="EI1051" s="13"/>
      <c r="EJ1051" s="13"/>
      <c r="EK1051" s="13"/>
      <c r="EL1051" s="13"/>
      <c r="EM1051" s="13"/>
      <c r="EN1051" s="13"/>
      <c r="EO1051" s="13"/>
      <c r="EP1051" s="13"/>
      <c r="EQ1051" s="13"/>
      <c r="ER1051" s="13"/>
      <c r="ES1051" s="13"/>
      <c r="ET1051" s="13"/>
      <c r="EU1051" s="13"/>
      <c r="EV1051" s="13"/>
      <c r="EW1051" s="13"/>
      <c r="EX1051" s="13"/>
      <c r="EY1051" s="13"/>
      <c r="EZ1051" s="13"/>
      <c r="FA1051" s="13"/>
      <c r="FB1051" s="13"/>
      <c r="FC1051" s="13"/>
      <c r="FD1051" s="13"/>
      <c r="FE1051" s="13"/>
      <c r="FF1051" s="13"/>
      <c r="FG1051" s="13"/>
      <c r="FH1051" s="13"/>
      <c r="FI1051" s="13"/>
      <c r="FJ1051" s="13"/>
      <c r="FK1051" s="13"/>
      <c r="FL1051" s="13"/>
      <c r="FM1051" s="13"/>
      <c r="FN1051" s="13"/>
      <c r="FO1051" s="13"/>
      <c r="FP1051" s="13"/>
      <c r="FQ1051" s="13"/>
      <c r="FR1051" s="13"/>
      <c r="FS1051" s="13"/>
      <c r="FT1051" s="13"/>
      <c r="FU1051" s="13"/>
      <c r="FV1051" s="13"/>
      <c r="FW1051" s="13"/>
      <c r="FX1051" s="13"/>
      <c r="FY1051" s="13"/>
      <c r="FZ1051" s="13"/>
      <c r="GA1051" s="13"/>
    </row>
    <row r="1052" spans="1:183" s="43" customFormat="1" x14ac:dyDescent="0.25">
      <c r="A1052" s="2"/>
      <c r="B1052" s="2"/>
      <c r="C1052" s="9">
        <v>2</v>
      </c>
      <c r="D1052" s="9">
        <v>14</v>
      </c>
      <c r="E1052" s="9">
        <v>29</v>
      </c>
      <c r="F1052" s="9">
        <v>30</v>
      </c>
      <c r="G1052" s="9">
        <v>69</v>
      </c>
      <c r="H1052" s="9">
        <v>80</v>
      </c>
      <c r="J1052" s="9">
        <v>80</v>
      </c>
      <c r="L1052" s="39">
        <v>44254</v>
      </c>
      <c r="N1052"/>
      <c r="O1052"/>
      <c r="P1052"/>
      <c r="Q1052"/>
      <c r="R1052"/>
      <c r="S1052"/>
      <c r="T1052"/>
      <c r="U1052"/>
      <c r="V1052"/>
      <c r="W1052" s="52"/>
      <c r="Y1052"/>
      <c r="Z1052"/>
      <c r="AA1052"/>
      <c r="AB1052"/>
      <c r="AC1052"/>
      <c r="AD1052"/>
      <c r="AE1052"/>
      <c r="AF1052"/>
      <c r="AG1052"/>
      <c r="AH1052" s="52"/>
      <c r="AI1052" s="148"/>
      <c r="AJ1052" s="19"/>
      <c r="AK1052" s="19"/>
      <c r="AL1052" s="19"/>
      <c r="AM1052" s="19"/>
      <c r="AN1052" s="42"/>
      <c r="AO1052" s="54"/>
      <c r="AP1052" s="19"/>
      <c r="AQ1052" s="1"/>
      <c r="AR1052" s="74"/>
      <c r="AS1052" s="42"/>
      <c r="AT1052" s="54"/>
      <c r="AU1052" s="54"/>
      <c r="AV1052" s="19"/>
      <c r="AW1052" s="54"/>
      <c r="AX1052" s="57"/>
      <c r="AY1052" s="54"/>
      <c r="AZ1052" s="54"/>
      <c r="BA1052" s="54"/>
      <c r="BB1052" s="54"/>
      <c r="BC1052" s="57"/>
      <c r="BD1052" s="19"/>
      <c r="BE1052" s="19"/>
      <c r="BF1052" s="19"/>
      <c r="BG1052" s="54"/>
      <c r="BI1052" s="54"/>
      <c r="BJ1052" s="55"/>
      <c r="BK1052" s="55"/>
      <c r="BL1052" s="54"/>
      <c r="BM1052" s="56"/>
      <c r="BN1052" s="56"/>
      <c r="BO1052" s="52"/>
      <c r="BP1052" s="52"/>
      <c r="BQ1052" s="52"/>
      <c r="BR1052" s="52"/>
      <c r="BS1052" s="52"/>
      <c r="BT1052" s="52"/>
      <c r="BU1052" s="52"/>
      <c r="BV1052" s="52"/>
      <c r="BW1052" s="52"/>
      <c r="BX1052" s="52"/>
      <c r="BY1052" s="52"/>
      <c r="BZ1052" s="52"/>
      <c r="CA1052" s="52"/>
      <c r="CB1052" s="52"/>
      <c r="CC1052" s="52"/>
      <c r="CD1052" s="52"/>
      <c r="CE1052" s="52"/>
      <c r="CF1052" s="52"/>
      <c r="CG1052" s="52"/>
      <c r="CH1052" s="52"/>
      <c r="CI1052" s="52"/>
      <c r="CJ1052" s="52"/>
      <c r="CK1052" s="52"/>
      <c r="CL1052" s="52"/>
      <c r="CM1052" s="52"/>
      <c r="CN1052" s="52"/>
      <c r="CO1052" s="52"/>
      <c r="CP1052" s="52"/>
      <c r="CQ1052" s="52"/>
      <c r="CR1052" s="52"/>
      <c r="CS1052" s="52"/>
      <c r="CT1052" s="52"/>
      <c r="CU1052" s="52"/>
      <c r="CV1052" s="52"/>
      <c r="CW1052" s="52"/>
      <c r="CX1052" s="52"/>
      <c r="CY1052" s="52"/>
      <c r="CZ1052" s="52"/>
      <c r="DA1052" s="52"/>
      <c r="DB1052" s="52"/>
      <c r="DC1052" s="52"/>
      <c r="DD1052" s="52"/>
      <c r="DE1052" s="52"/>
      <c r="DF1052" s="52"/>
      <c r="DG1052" s="52"/>
      <c r="DH1052" s="52"/>
      <c r="DI1052" s="52"/>
      <c r="DJ1052" s="52"/>
      <c r="DK1052" s="52"/>
      <c r="DL1052" s="52"/>
      <c r="DM1052" s="52"/>
      <c r="DN1052" s="52"/>
      <c r="DO1052" s="52"/>
      <c r="DP1052" s="52"/>
      <c r="DQ1052" s="52"/>
      <c r="DR1052" s="52"/>
      <c r="DS1052" s="52"/>
      <c r="DT1052" s="52"/>
      <c r="DU1052" s="52"/>
      <c r="DV1052" s="52"/>
      <c r="DW1052" s="52"/>
      <c r="DX1052" s="52"/>
      <c r="DZ1052"/>
      <c r="EA1052" s="19"/>
      <c r="EB1052" s="19"/>
      <c r="EC1052" s="9"/>
      <c r="ED1052" s="9"/>
      <c r="EE1052" s="9"/>
      <c r="EF1052" s="9"/>
      <c r="EG1052" s="9"/>
      <c r="EH1052" s="13"/>
      <c r="EI1052" s="13"/>
      <c r="EJ1052" s="13"/>
      <c r="EK1052" s="13"/>
      <c r="EL1052" s="13"/>
      <c r="EM1052" s="13"/>
      <c r="EN1052" s="13"/>
      <c r="EO1052" s="13"/>
      <c r="EP1052" s="13"/>
      <c r="EQ1052" s="13"/>
      <c r="ER1052" s="13"/>
      <c r="ES1052" s="13"/>
      <c r="ET1052" s="13"/>
      <c r="EU1052" s="13"/>
      <c r="EV1052" s="13"/>
      <c r="EW1052" s="13"/>
      <c r="EX1052" s="13"/>
      <c r="EY1052" s="13"/>
      <c r="EZ1052" s="13"/>
      <c r="FA1052" s="13"/>
      <c r="FB1052" s="13"/>
      <c r="FC1052" s="13"/>
      <c r="FD1052" s="13"/>
      <c r="FE1052" s="13"/>
      <c r="FF1052" s="13"/>
      <c r="FG1052" s="13"/>
      <c r="FH1052" s="13"/>
      <c r="FI1052" s="13"/>
      <c r="FJ1052" s="13"/>
      <c r="FK1052" s="13"/>
      <c r="FL1052" s="13"/>
      <c r="FM1052" s="13"/>
      <c r="FN1052" s="13"/>
      <c r="FO1052" s="13"/>
      <c r="FP1052" s="13"/>
      <c r="FQ1052" s="13"/>
      <c r="FR1052" s="13"/>
      <c r="FS1052" s="13"/>
      <c r="FT1052" s="13"/>
      <c r="FU1052" s="13"/>
      <c r="FV1052" s="13"/>
      <c r="FW1052" s="13"/>
      <c r="FX1052" s="13"/>
      <c r="FY1052" s="13"/>
      <c r="FZ1052" s="13"/>
      <c r="GA1052" s="13"/>
    </row>
    <row r="1053" spans="1:183" s="43" customFormat="1" x14ac:dyDescent="0.25">
      <c r="A1053" s="2"/>
      <c r="B1053" s="2"/>
      <c r="C1053" s="9">
        <v>9</v>
      </c>
      <c r="D1053" s="9">
        <v>26</v>
      </c>
      <c r="E1053" s="9">
        <v>30</v>
      </c>
      <c r="F1053" s="9">
        <v>43</v>
      </c>
      <c r="G1053" s="9">
        <v>54</v>
      </c>
      <c r="H1053" s="9">
        <v>73</v>
      </c>
      <c r="J1053" s="9">
        <v>73</v>
      </c>
      <c r="L1053" s="39">
        <v>44251</v>
      </c>
      <c r="N1053"/>
      <c r="O1053"/>
      <c r="P1053"/>
      <c r="Q1053"/>
      <c r="R1053"/>
      <c r="S1053"/>
      <c r="T1053"/>
      <c r="U1053"/>
      <c r="V1053"/>
      <c r="W1053" s="52"/>
      <c r="Y1053"/>
      <c r="Z1053"/>
      <c r="AA1053"/>
      <c r="AB1053"/>
      <c r="AC1053"/>
      <c r="AD1053"/>
      <c r="AE1053"/>
      <c r="AF1053"/>
      <c r="AG1053"/>
      <c r="AH1053" s="52"/>
      <c r="AI1053" s="148"/>
      <c r="AJ1053" s="19"/>
      <c r="AK1053" s="19"/>
      <c r="AL1053" s="19"/>
      <c r="AM1053" s="19"/>
      <c r="AN1053" s="42"/>
      <c r="AO1053" s="54"/>
      <c r="AP1053" s="19"/>
      <c r="AQ1053" s="1"/>
      <c r="AR1053" s="74"/>
      <c r="AS1053" s="42"/>
      <c r="AT1053" s="54"/>
      <c r="AU1053" s="54"/>
      <c r="AV1053" s="19"/>
      <c r="AW1053" s="54"/>
      <c r="AX1053" s="57"/>
      <c r="AY1053" s="54"/>
      <c r="AZ1053" s="54"/>
      <c r="BA1053" s="54"/>
      <c r="BB1053" s="54"/>
      <c r="BC1053" s="57"/>
      <c r="BD1053" s="19"/>
      <c r="BE1053" s="19"/>
      <c r="BF1053" s="19"/>
      <c r="BG1053" s="54"/>
      <c r="BI1053" s="54"/>
      <c r="BJ1053" s="55"/>
      <c r="BK1053" s="55"/>
      <c r="BL1053" s="54"/>
      <c r="BM1053" s="56"/>
      <c r="BN1053" s="56"/>
      <c r="BO1053" s="52"/>
      <c r="BP1053" s="52"/>
      <c r="BQ1053" s="52"/>
      <c r="BR1053" s="52"/>
      <c r="BS1053" s="52"/>
      <c r="BT1053" s="52"/>
      <c r="BU1053" s="52"/>
      <c r="BV1053" s="52"/>
      <c r="BW1053" s="52"/>
      <c r="BX1053" s="52"/>
      <c r="BY1053" s="52"/>
      <c r="BZ1053" s="52"/>
      <c r="CA1053" s="52"/>
      <c r="CB1053" s="52"/>
      <c r="CC1053" s="52"/>
      <c r="CD1053" s="52"/>
      <c r="CE1053" s="52"/>
      <c r="CF1053" s="52"/>
      <c r="CG1053" s="52"/>
      <c r="CH1053" s="52"/>
      <c r="CI1053" s="52"/>
      <c r="CJ1053" s="52"/>
      <c r="CK1053" s="52"/>
      <c r="CL1053" s="52"/>
      <c r="CM1053" s="52"/>
      <c r="CN1053" s="52"/>
      <c r="CO1053" s="52"/>
      <c r="CP1053" s="52"/>
      <c r="CQ1053" s="52"/>
      <c r="CR1053" s="52"/>
      <c r="CS1053" s="52"/>
      <c r="CT1053" s="52"/>
      <c r="CU1053" s="52"/>
      <c r="CV1053" s="52"/>
      <c r="CW1053" s="52"/>
      <c r="CX1053" s="52"/>
      <c r="CY1053" s="52"/>
      <c r="CZ1053" s="52"/>
      <c r="DA1053" s="52"/>
      <c r="DB1053" s="52"/>
      <c r="DC1053" s="52"/>
      <c r="DD1053" s="52"/>
      <c r="DE1053" s="52"/>
      <c r="DF1053" s="52"/>
      <c r="DG1053" s="52"/>
      <c r="DH1053" s="52"/>
      <c r="DI1053" s="52"/>
      <c r="DJ1053" s="52"/>
      <c r="DK1053" s="52"/>
      <c r="DL1053" s="52"/>
      <c r="DM1053" s="52"/>
      <c r="DN1053" s="52"/>
      <c r="DO1053" s="52"/>
      <c r="DP1053" s="52"/>
      <c r="DQ1053" s="52"/>
      <c r="DR1053" s="52"/>
      <c r="DS1053" s="52"/>
      <c r="DT1053" s="52"/>
      <c r="DU1053" s="52"/>
      <c r="DV1053" s="52"/>
      <c r="DW1053" s="52"/>
      <c r="DX1053" s="52"/>
      <c r="DZ1053"/>
      <c r="EA1053" s="19"/>
      <c r="EB1053" s="19"/>
      <c r="EC1053" s="9"/>
      <c r="ED1053" s="9"/>
      <c r="EE1053" s="9"/>
      <c r="EF1053" s="9"/>
      <c r="EG1053" s="9"/>
      <c r="EH1053" s="13"/>
      <c r="EI1053" s="13"/>
      <c r="EJ1053" s="13"/>
      <c r="EK1053" s="13"/>
      <c r="EL1053" s="13"/>
      <c r="EM1053" s="13"/>
      <c r="EN1053" s="13"/>
      <c r="EO1053" s="13"/>
      <c r="EP1053" s="13"/>
      <c r="EQ1053" s="13"/>
      <c r="ER1053" s="13"/>
      <c r="ES1053" s="13"/>
      <c r="ET1053" s="13"/>
      <c r="EU1053" s="13"/>
      <c r="EV1053" s="13"/>
      <c r="EW1053" s="13"/>
      <c r="EX1053" s="13"/>
      <c r="EY1053" s="13"/>
      <c r="EZ1053" s="13"/>
      <c r="FA1053" s="13"/>
      <c r="FB1053" s="13"/>
      <c r="FC1053" s="13"/>
      <c r="FD1053" s="13"/>
      <c r="FE1053" s="13"/>
      <c r="FF1053" s="13"/>
      <c r="FG1053" s="13"/>
      <c r="FH1053" s="13"/>
      <c r="FI1053" s="13"/>
      <c r="FJ1053" s="13"/>
      <c r="FK1053" s="13"/>
      <c r="FL1053" s="13"/>
      <c r="FM1053" s="13"/>
      <c r="FN1053" s="13"/>
      <c r="FO1053" s="13"/>
      <c r="FP1053" s="13"/>
      <c r="FQ1053" s="13"/>
      <c r="FR1053" s="13"/>
      <c r="FS1053" s="13"/>
      <c r="FT1053" s="13"/>
      <c r="FU1053" s="13"/>
      <c r="FV1053" s="13"/>
      <c r="FW1053" s="13"/>
      <c r="FX1053" s="13"/>
      <c r="FY1053" s="13"/>
      <c r="FZ1053" s="13"/>
      <c r="GA1053" s="13"/>
    </row>
    <row r="1054" spans="1:183" s="43" customFormat="1" x14ac:dyDescent="0.25">
      <c r="A1054" s="2"/>
      <c r="B1054" s="2"/>
      <c r="C1054" s="9">
        <v>23</v>
      </c>
      <c r="D1054" s="9">
        <v>35</v>
      </c>
      <c r="E1054" s="9">
        <v>59</v>
      </c>
      <c r="F1054" s="9">
        <v>64</v>
      </c>
      <c r="G1054" s="9">
        <v>75</v>
      </c>
      <c r="H1054" s="9">
        <v>81</v>
      </c>
      <c r="J1054" s="9">
        <v>81</v>
      </c>
      <c r="L1054" s="39">
        <v>44249</v>
      </c>
      <c r="N1054"/>
      <c r="O1054"/>
      <c r="P1054"/>
      <c r="Q1054"/>
      <c r="R1054"/>
      <c r="S1054"/>
      <c r="T1054"/>
      <c r="U1054"/>
      <c r="V1054"/>
      <c r="W1054" s="52"/>
      <c r="Y1054"/>
      <c r="Z1054"/>
      <c r="AA1054"/>
      <c r="AB1054"/>
      <c r="AC1054"/>
      <c r="AD1054"/>
      <c r="AE1054"/>
      <c r="AF1054"/>
      <c r="AG1054"/>
      <c r="AH1054" s="52"/>
      <c r="AI1054" s="148"/>
      <c r="AJ1054" s="19"/>
      <c r="AK1054" s="19"/>
      <c r="AL1054" s="19"/>
      <c r="AM1054" s="19"/>
      <c r="AN1054" s="42"/>
      <c r="AO1054" s="54"/>
      <c r="AP1054" s="19"/>
      <c r="AQ1054" s="1"/>
      <c r="AR1054" s="74"/>
      <c r="AS1054" s="42"/>
      <c r="AT1054" s="54"/>
      <c r="AU1054" s="54"/>
      <c r="AV1054" s="19"/>
      <c r="AW1054" s="54"/>
      <c r="AX1054" s="57"/>
      <c r="AY1054" s="54"/>
      <c r="AZ1054" s="54"/>
      <c r="BA1054" s="54"/>
      <c r="BB1054" s="54"/>
      <c r="BC1054" s="57"/>
      <c r="BD1054" s="19"/>
      <c r="BE1054" s="19"/>
      <c r="BF1054" s="19"/>
      <c r="BG1054" s="54"/>
      <c r="BI1054" s="54"/>
      <c r="BJ1054" s="55"/>
      <c r="BK1054" s="55"/>
      <c r="BL1054" s="54"/>
      <c r="BM1054" s="56"/>
      <c r="BN1054" s="56"/>
      <c r="BO1054" s="52"/>
      <c r="BP1054" s="52"/>
      <c r="BQ1054" s="52"/>
      <c r="BR1054" s="52"/>
      <c r="BS1054" s="52"/>
      <c r="BT1054" s="52"/>
      <c r="BU1054" s="52"/>
      <c r="BV1054" s="52"/>
      <c r="BW1054" s="52"/>
      <c r="BX1054" s="52"/>
      <c r="BY1054" s="52"/>
      <c r="BZ1054" s="52"/>
      <c r="CA1054" s="52"/>
      <c r="CB1054" s="52"/>
      <c r="CC1054" s="52"/>
      <c r="CD1054" s="52"/>
      <c r="CE1054" s="52"/>
      <c r="CF1054" s="52"/>
      <c r="CG1054" s="52"/>
      <c r="CH1054" s="52"/>
      <c r="CI1054" s="52"/>
      <c r="CJ1054" s="52"/>
      <c r="CK1054" s="52"/>
      <c r="CL1054" s="52"/>
      <c r="CM1054" s="52"/>
      <c r="CN1054" s="52"/>
      <c r="CO1054" s="52"/>
      <c r="CP1054" s="52"/>
      <c r="CQ1054" s="52"/>
      <c r="CR1054" s="52"/>
      <c r="CS1054" s="52"/>
      <c r="CT1054" s="52"/>
      <c r="CU1054" s="52"/>
      <c r="CV1054" s="52"/>
      <c r="CW1054" s="52"/>
      <c r="CX1054" s="52"/>
      <c r="CY1054" s="52"/>
      <c r="CZ1054" s="52"/>
      <c r="DA1054" s="52"/>
      <c r="DB1054" s="52"/>
      <c r="DC1054" s="52"/>
      <c r="DD1054" s="52"/>
      <c r="DE1054" s="52"/>
      <c r="DF1054" s="52"/>
      <c r="DG1054" s="52"/>
      <c r="DH1054" s="52"/>
      <c r="DI1054" s="52"/>
      <c r="DJ1054" s="52"/>
      <c r="DK1054" s="52"/>
      <c r="DL1054" s="52"/>
      <c r="DM1054" s="52"/>
      <c r="DN1054" s="52"/>
      <c r="DO1054" s="52"/>
      <c r="DP1054" s="52"/>
      <c r="DQ1054" s="52"/>
      <c r="DR1054" s="52"/>
      <c r="DS1054" s="52"/>
      <c r="DT1054" s="52"/>
      <c r="DU1054" s="52"/>
      <c r="DV1054" s="52"/>
      <c r="DW1054" s="52"/>
      <c r="DX1054" s="52"/>
      <c r="DZ1054"/>
      <c r="EA1054" s="19"/>
      <c r="EB1054" s="19"/>
      <c r="EC1054" s="9"/>
      <c r="ED1054" s="9"/>
      <c r="EE1054" s="9"/>
      <c r="EF1054" s="9"/>
      <c r="EG1054" s="9"/>
      <c r="EH1054" s="13"/>
      <c r="EI1054" s="13"/>
      <c r="EJ1054" s="13"/>
      <c r="EK1054" s="13"/>
      <c r="EL1054" s="13"/>
      <c r="EM1054" s="13"/>
      <c r="EN1054" s="13"/>
      <c r="EO1054" s="13"/>
      <c r="EP1054" s="13"/>
      <c r="EQ1054" s="13"/>
      <c r="ER1054" s="13"/>
      <c r="ES1054" s="13"/>
      <c r="ET1054" s="13"/>
      <c r="EU1054" s="13"/>
      <c r="EV1054" s="13"/>
      <c r="EW1054" s="13"/>
      <c r="EX1054" s="13"/>
      <c r="EY1054" s="13"/>
      <c r="EZ1054" s="13"/>
      <c r="FA1054" s="13"/>
      <c r="FB1054" s="13"/>
      <c r="FC1054" s="13"/>
      <c r="FD1054" s="13"/>
      <c r="FE1054" s="13"/>
      <c r="FF1054" s="13"/>
      <c r="FG1054" s="13"/>
      <c r="FH1054" s="13"/>
      <c r="FI1054" s="13"/>
      <c r="FJ1054" s="13"/>
      <c r="FK1054" s="13"/>
      <c r="FL1054" s="13"/>
      <c r="FM1054" s="13"/>
      <c r="FN1054" s="13"/>
      <c r="FO1054" s="13"/>
      <c r="FP1054" s="13"/>
      <c r="FQ1054" s="13"/>
      <c r="FR1054" s="13"/>
      <c r="FS1054" s="13"/>
      <c r="FT1054" s="13"/>
      <c r="FU1054" s="13"/>
      <c r="FV1054" s="13"/>
      <c r="FW1054" s="13"/>
      <c r="FX1054" s="13"/>
      <c r="FY1054" s="13"/>
      <c r="FZ1054" s="13"/>
      <c r="GA1054" s="13"/>
    </row>
    <row r="1055" spans="1:183" x14ac:dyDescent="0.25">
      <c r="C1055" s="9">
        <v>11</v>
      </c>
      <c r="D1055" s="9">
        <v>26</v>
      </c>
      <c r="E1055" s="9">
        <v>33</v>
      </c>
      <c r="F1055" s="9">
        <v>63</v>
      </c>
      <c r="G1055" s="9">
        <v>69</v>
      </c>
      <c r="H1055" s="9">
        <v>83</v>
      </c>
      <c r="J1055" s="9">
        <v>83</v>
      </c>
      <c r="L1055" s="39">
        <v>44247</v>
      </c>
    </row>
    <row r="1056" spans="1:183" x14ac:dyDescent="0.25">
      <c r="C1056" s="9">
        <v>10</v>
      </c>
      <c r="D1056" s="9">
        <v>12</v>
      </c>
      <c r="E1056" s="9">
        <v>57</v>
      </c>
      <c r="F1056" s="9">
        <v>75</v>
      </c>
      <c r="G1056" s="9">
        <v>80</v>
      </c>
      <c r="H1056" s="9">
        <v>83</v>
      </c>
      <c r="J1056" s="9">
        <v>83</v>
      </c>
      <c r="L1056" s="39">
        <v>44244</v>
      </c>
    </row>
    <row r="1057" spans="1:183" x14ac:dyDescent="0.25">
      <c r="C1057" s="9">
        <v>8</v>
      </c>
      <c r="D1057" s="9">
        <v>11</v>
      </c>
      <c r="E1057" s="9">
        <v>16</v>
      </c>
      <c r="F1057" s="9">
        <v>47</v>
      </c>
      <c r="G1057" s="9">
        <v>64</v>
      </c>
      <c r="H1057" s="9">
        <v>87</v>
      </c>
      <c r="J1057" s="9">
        <v>87</v>
      </c>
      <c r="L1057" s="39">
        <v>44242</v>
      </c>
    </row>
    <row r="1058" spans="1:183" x14ac:dyDescent="0.25">
      <c r="C1058" s="9">
        <v>3</v>
      </c>
      <c r="D1058" s="9">
        <v>20</v>
      </c>
      <c r="E1058" s="9">
        <v>24</v>
      </c>
      <c r="F1058" s="9">
        <v>47</v>
      </c>
      <c r="G1058" s="9">
        <v>63</v>
      </c>
      <c r="H1058" s="9">
        <v>69</v>
      </c>
      <c r="J1058" s="9">
        <v>69</v>
      </c>
      <c r="L1058" s="39">
        <v>44240</v>
      </c>
    </row>
    <row r="1059" spans="1:183" x14ac:dyDescent="0.25">
      <c r="C1059" s="9">
        <v>21</v>
      </c>
      <c r="D1059" s="9">
        <v>24</v>
      </c>
      <c r="E1059" s="9">
        <v>31</v>
      </c>
      <c r="F1059" s="9">
        <v>38</v>
      </c>
      <c r="G1059" s="9">
        <v>46</v>
      </c>
      <c r="H1059" s="9">
        <v>71</v>
      </c>
      <c r="J1059" s="9">
        <v>71</v>
      </c>
      <c r="L1059" s="39">
        <v>44237</v>
      </c>
    </row>
    <row r="1060" spans="1:183" x14ac:dyDescent="0.25">
      <c r="C1060" s="9">
        <v>1</v>
      </c>
      <c r="D1060" s="9">
        <v>5</v>
      </c>
      <c r="E1060" s="9">
        <v>13</v>
      </c>
      <c r="F1060" s="9">
        <v>33</v>
      </c>
      <c r="G1060" s="9">
        <v>40</v>
      </c>
      <c r="H1060" s="9">
        <v>52</v>
      </c>
      <c r="J1060" s="9">
        <v>52</v>
      </c>
      <c r="L1060" s="39">
        <v>44235</v>
      </c>
    </row>
    <row r="1061" spans="1:183" x14ac:dyDescent="0.25">
      <c r="C1061" s="9">
        <v>24</v>
      </c>
      <c r="D1061" s="9">
        <v>32</v>
      </c>
      <c r="E1061" s="9">
        <v>33</v>
      </c>
      <c r="F1061" s="9">
        <v>34</v>
      </c>
      <c r="G1061" s="9">
        <v>45</v>
      </c>
      <c r="H1061" s="9">
        <v>61</v>
      </c>
      <c r="J1061" s="9">
        <v>61</v>
      </c>
      <c r="L1061" s="39">
        <v>44233</v>
      </c>
    </row>
    <row r="1062" spans="1:183" x14ac:dyDescent="0.25">
      <c r="C1062" s="9">
        <v>5</v>
      </c>
      <c r="D1062" s="9">
        <v>41</v>
      </c>
      <c r="E1062" s="9">
        <v>45</v>
      </c>
      <c r="F1062" s="9">
        <v>52</v>
      </c>
      <c r="G1062" s="9">
        <v>65</v>
      </c>
      <c r="H1062" s="9">
        <v>89</v>
      </c>
      <c r="J1062" s="9">
        <v>89</v>
      </c>
      <c r="L1062" s="39">
        <v>44230</v>
      </c>
    </row>
    <row r="1063" spans="1:183" x14ac:dyDescent="0.25">
      <c r="C1063" s="9">
        <v>15</v>
      </c>
      <c r="D1063" s="9">
        <v>51</v>
      </c>
      <c r="E1063" s="9">
        <v>55</v>
      </c>
      <c r="F1063" s="9">
        <v>60</v>
      </c>
      <c r="G1063" s="9">
        <v>62</v>
      </c>
      <c r="H1063" s="9">
        <v>90</v>
      </c>
      <c r="J1063" s="9">
        <v>90</v>
      </c>
      <c r="L1063" s="39">
        <v>44228</v>
      </c>
    </row>
    <row r="1064" spans="1:183" x14ac:dyDescent="0.25">
      <c r="C1064" s="9">
        <v>4</v>
      </c>
      <c r="D1064" s="9">
        <v>12</v>
      </c>
      <c r="E1064" s="9">
        <v>21</v>
      </c>
      <c r="F1064" s="9">
        <v>29</v>
      </c>
      <c r="G1064" s="9">
        <v>42</v>
      </c>
      <c r="H1064" s="9">
        <v>90</v>
      </c>
      <c r="J1064" s="9">
        <v>90</v>
      </c>
      <c r="L1064" s="39">
        <v>44226</v>
      </c>
    </row>
    <row r="1065" spans="1:183" x14ac:dyDescent="0.25">
      <c r="C1065" s="9">
        <v>20</v>
      </c>
      <c r="D1065" s="9">
        <v>62</v>
      </c>
      <c r="E1065" s="9">
        <v>64</v>
      </c>
      <c r="F1065" s="9">
        <v>71</v>
      </c>
      <c r="G1065" s="9">
        <v>73</v>
      </c>
      <c r="H1065" s="9">
        <v>78</v>
      </c>
      <c r="J1065" s="9">
        <v>78</v>
      </c>
      <c r="L1065" s="39">
        <v>44223</v>
      </c>
    </row>
    <row r="1066" spans="1:183" s="56" customFormat="1" x14ac:dyDescent="0.25">
      <c r="A1066" s="2"/>
      <c r="B1066" s="2"/>
      <c r="C1066" s="9">
        <v>15</v>
      </c>
      <c r="D1066" s="9">
        <v>18</v>
      </c>
      <c r="E1066" s="9">
        <v>61</v>
      </c>
      <c r="F1066" s="9">
        <v>70</v>
      </c>
      <c r="G1066" s="9">
        <v>74</v>
      </c>
      <c r="H1066" s="9">
        <v>90</v>
      </c>
      <c r="I1066" s="43"/>
      <c r="J1066" s="9">
        <v>90</v>
      </c>
      <c r="K1066" s="43"/>
      <c r="L1066" s="39">
        <v>44221</v>
      </c>
      <c r="M1066" s="43"/>
      <c r="N1066"/>
      <c r="O1066"/>
      <c r="P1066"/>
      <c r="Q1066"/>
      <c r="R1066"/>
      <c r="S1066"/>
      <c r="T1066"/>
      <c r="U1066"/>
      <c r="V1066"/>
      <c r="W1066" s="52"/>
      <c r="X1066" s="43"/>
      <c r="Y1066"/>
      <c r="Z1066"/>
      <c r="AA1066"/>
      <c r="AB1066"/>
      <c r="AC1066"/>
      <c r="AD1066"/>
      <c r="AE1066"/>
      <c r="AF1066"/>
      <c r="AG1066"/>
      <c r="AH1066" s="52"/>
      <c r="AI1066" s="148"/>
      <c r="AJ1066" s="19"/>
      <c r="AK1066" s="19"/>
      <c r="AL1066" s="19"/>
      <c r="AM1066" s="19"/>
      <c r="AN1066" s="42"/>
      <c r="AO1066" s="54"/>
      <c r="AP1066" s="19"/>
      <c r="AR1066" s="74"/>
      <c r="AS1066" s="42"/>
      <c r="AT1066" s="54"/>
      <c r="AU1066" s="54"/>
      <c r="AV1066" s="19"/>
      <c r="AW1066" s="54"/>
      <c r="AX1066" s="57"/>
      <c r="AY1066" s="54"/>
      <c r="AZ1066" s="54"/>
      <c r="BA1066" s="54"/>
      <c r="BB1066" s="54"/>
      <c r="BC1066" s="57"/>
      <c r="BD1066" s="19"/>
      <c r="BE1066" s="19"/>
      <c r="BF1066" s="19"/>
      <c r="BG1066" s="54"/>
      <c r="BH1066" s="43"/>
      <c r="BI1066" s="54"/>
      <c r="BJ1066" s="55"/>
      <c r="BK1066" s="55"/>
      <c r="BL1066" s="54"/>
      <c r="BO1066" s="52"/>
      <c r="BP1066" s="52"/>
      <c r="BQ1066" s="52"/>
      <c r="BR1066" s="52"/>
      <c r="BS1066" s="52"/>
      <c r="BT1066" s="52"/>
      <c r="BU1066" s="52"/>
      <c r="BV1066" s="52"/>
      <c r="BW1066" s="52"/>
      <c r="BX1066" s="52"/>
      <c r="BY1066" s="52"/>
      <c r="BZ1066" s="52"/>
      <c r="CA1066" s="52"/>
      <c r="CB1066" s="52"/>
      <c r="CC1066" s="52"/>
      <c r="CD1066" s="52"/>
      <c r="CE1066" s="52"/>
      <c r="CF1066" s="52"/>
      <c r="CG1066" s="52"/>
      <c r="CH1066" s="52"/>
      <c r="CI1066" s="52"/>
      <c r="CJ1066" s="52"/>
      <c r="CK1066" s="52"/>
      <c r="CL1066" s="52"/>
      <c r="CM1066" s="52"/>
      <c r="CN1066" s="52"/>
      <c r="CO1066" s="52"/>
      <c r="CP1066" s="52"/>
      <c r="CQ1066" s="52"/>
      <c r="CR1066" s="52"/>
      <c r="CS1066" s="52"/>
      <c r="CT1066" s="52"/>
      <c r="CU1066" s="52"/>
      <c r="CV1066" s="52"/>
      <c r="CW1066" s="52"/>
      <c r="CX1066" s="52"/>
      <c r="CY1066" s="52"/>
      <c r="CZ1066" s="52"/>
      <c r="DA1066" s="52"/>
      <c r="DB1066" s="52"/>
      <c r="DC1066" s="52"/>
      <c r="DD1066" s="52"/>
      <c r="DE1066" s="52"/>
      <c r="DF1066" s="52"/>
      <c r="DG1066" s="52"/>
      <c r="DH1066" s="52"/>
      <c r="DI1066" s="52"/>
      <c r="DJ1066" s="52"/>
      <c r="DK1066" s="52"/>
      <c r="DL1066" s="52"/>
      <c r="DM1066" s="52"/>
      <c r="DN1066" s="52"/>
      <c r="DO1066" s="52"/>
      <c r="DP1066" s="52"/>
      <c r="DQ1066" s="52"/>
      <c r="DR1066" s="52"/>
      <c r="DS1066" s="52"/>
      <c r="DT1066" s="52"/>
      <c r="DU1066" s="52"/>
      <c r="DV1066" s="52"/>
      <c r="DW1066" s="52"/>
      <c r="DX1066" s="52"/>
      <c r="DY1066" s="43"/>
      <c r="DZ1066"/>
      <c r="EA1066" s="19"/>
      <c r="EB1066" s="19"/>
      <c r="EC1066" s="9"/>
      <c r="ED1066" s="9"/>
      <c r="EE1066" s="9"/>
      <c r="EF1066" s="9"/>
      <c r="EG1066" s="9"/>
      <c r="EH1066" s="13"/>
      <c r="EI1066" s="13"/>
      <c r="EJ1066" s="13"/>
      <c r="EK1066" s="13"/>
      <c r="EL1066" s="13"/>
      <c r="EM1066" s="13"/>
      <c r="EN1066" s="13"/>
      <c r="EO1066" s="13"/>
      <c r="EP1066" s="13"/>
      <c r="EQ1066" s="13"/>
      <c r="ER1066" s="13"/>
      <c r="ES1066" s="13"/>
      <c r="ET1066" s="13"/>
      <c r="EU1066" s="13"/>
      <c r="EV1066" s="13"/>
      <c r="EW1066" s="13"/>
      <c r="EX1066" s="13"/>
      <c r="EY1066" s="13"/>
      <c r="EZ1066" s="13"/>
      <c r="FA1066" s="13"/>
      <c r="FB1066" s="13"/>
      <c r="FC1066" s="13"/>
      <c r="FD1066" s="13"/>
      <c r="FE1066" s="13"/>
      <c r="FF1066" s="13"/>
      <c r="FG1066" s="13"/>
      <c r="FH1066" s="13"/>
      <c r="FI1066" s="13"/>
      <c r="FJ1066" s="13"/>
      <c r="FK1066" s="13"/>
      <c r="FL1066" s="13"/>
      <c r="FM1066" s="13"/>
      <c r="FN1066" s="13"/>
      <c r="FO1066" s="13"/>
      <c r="FP1066" s="13"/>
      <c r="FQ1066" s="13"/>
      <c r="FR1066" s="13"/>
      <c r="FS1066" s="13"/>
      <c r="FT1066" s="13"/>
      <c r="FU1066" s="13"/>
      <c r="FV1066" s="13"/>
      <c r="FW1066" s="13"/>
      <c r="FX1066" s="13"/>
      <c r="FY1066" s="13"/>
      <c r="FZ1066" s="13"/>
      <c r="GA1066" s="13"/>
    </row>
    <row r="1067" spans="1:183" s="56" customFormat="1" x14ac:dyDescent="0.25">
      <c r="A1067" s="2"/>
      <c r="B1067" s="2"/>
      <c r="C1067" s="9">
        <v>4</v>
      </c>
      <c r="D1067" s="9">
        <v>5</v>
      </c>
      <c r="E1067" s="9">
        <v>18</v>
      </c>
      <c r="F1067" s="9">
        <v>37</v>
      </c>
      <c r="G1067" s="9">
        <v>41</v>
      </c>
      <c r="H1067" s="9">
        <v>60</v>
      </c>
      <c r="I1067" s="43"/>
      <c r="J1067" s="9">
        <v>60</v>
      </c>
      <c r="K1067" s="43"/>
      <c r="L1067" s="39">
        <v>44219</v>
      </c>
      <c r="M1067" s="43"/>
      <c r="N1067"/>
      <c r="O1067"/>
      <c r="P1067"/>
      <c r="Q1067"/>
      <c r="R1067"/>
      <c r="S1067"/>
      <c r="T1067"/>
      <c r="U1067"/>
      <c r="V1067"/>
      <c r="W1067" s="52"/>
      <c r="X1067" s="43"/>
      <c r="Y1067"/>
      <c r="Z1067"/>
      <c r="AA1067"/>
      <c r="AB1067"/>
      <c r="AC1067"/>
      <c r="AD1067"/>
      <c r="AE1067"/>
      <c r="AF1067"/>
      <c r="AG1067"/>
      <c r="AH1067" s="52"/>
      <c r="AI1067" s="148"/>
      <c r="AJ1067" s="19"/>
      <c r="AK1067" s="19"/>
      <c r="AL1067" s="19"/>
      <c r="AM1067" s="19"/>
      <c r="AN1067" s="42"/>
      <c r="AO1067" s="54"/>
      <c r="AP1067" s="19"/>
      <c r="AR1067" s="74"/>
      <c r="AS1067" s="42"/>
      <c r="AT1067" s="54"/>
      <c r="AU1067" s="54"/>
      <c r="AV1067" s="19"/>
      <c r="AW1067" s="54"/>
      <c r="AX1067" s="57"/>
      <c r="AY1067" s="54"/>
      <c r="AZ1067" s="54"/>
      <c r="BA1067" s="54"/>
      <c r="BB1067" s="54"/>
      <c r="BC1067" s="57"/>
      <c r="BD1067" s="19"/>
      <c r="BE1067" s="19"/>
      <c r="BF1067" s="19"/>
      <c r="BG1067" s="54"/>
      <c r="BH1067" s="43"/>
      <c r="BI1067" s="54"/>
      <c r="BJ1067" s="55"/>
      <c r="BK1067" s="55"/>
      <c r="BL1067" s="54"/>
      <c r="BO1067" s="52"/>
      <c r="BP1067" s="52"/>
      <c r="BQ1067" s="52"/>
      <c r="BR1067" s="52"/>
      <c r="BS1067" s="52"/>
      <c r="BT1067" s="52"/>
      <c r="BU1067" s="52"/>
      <c r="BV1067" s="52"/>
      <c r="BW1067" s="52"/>
      <c r="BX1067" s="52"/>
      <c r="BY1067" s="52"/>
      <c r="BZ1067" s="52"/>
      <c r="CA1067" s="52"/>
      <c r="CB1067" s="52"/>
      <c r="CC1067" s="52"/>
      <c r="CD1067" s="52"/>
      <c r="CE1067" s="52"/>
      <c r="CF1067" s="52"/>
      <c r="CG1067" s="52"/>
      <c r="CH1067" s="52"/>
      <c r="CI1067" s="52"/>
      <c r="CJ1067" s="52"/>
      <c r="CK1067" s="52"/>
      <c r="CL1067" s="52"/>
      <c r="CM1067" s="52"/>
      <c r="CN1067" s="52"/>
      <c r="CO1067" s="52"/>
      <c r="CP1067" s="52"/>
      <c r="CQ1067" s="52"/>
      <c r="CR1067" s="52"/>
      <c r="CS1067" s="52"/>
      <c r="CT1067" s="52"/>
      <c r="CU1067" s="52"/>
      <c r="CV1067" s="52"/>
      <c r="CW1067" s="52"/>
      <c r="CX1067" s="52"/>
      <c r="CY1067" s="52"/>
      <c r="CZ1067" s="52"/>
      <c r="DA1067" s="52"/>
      <c r="DB1067" s="52"/>
      <c r="DC1067" s="52"/>
      <c r="DD1067" s="52"/>
      <c r="DE1067" s="52"/>
      <c r="DF1067" s="52"/>
      <c r="DG1067" s="52"/>
      <c r="DH1067" s="52"/>
      <c r="DI1067" s="52"/>
      <c r="DJ1067" s="52"/>
      <c r="DK1067" s="52"/>
      <c r="DL1067" s="52"/>
      <c r="DM1067" s="52"/>
      <c r="DN1067" s="52"/>
      <c r="DO1067" s="52"/>
      <c r="DP1067" s="52"/>
      <c r="DQ1067" s="52"/>
      <c r="DR1067" s="52"/>
      <c r="DS1067" s="52"/>
      <c r="DT1067" s="52"/>
      <c r="DU1067" s="52"/>
      <c r="DV1067" s="52"/>
      <c r="DW1067" s="52"/>
      <c r="DX1067" s="52"/>
      <c r="DY1067" s="43"/>
      <c r="DZ1067"/>
      <c r="EA1067" s="19"/>
      <c r="EB1067" s="19"/>
      <c r="EC1067" s="9"/>
      <c r="ED1067" s="9"/>
      <c r="EE1067" s="9"/>
      <c r="EF1067" s="9"/>
      <c r="EG1067" s="9"/>
      <c r="EH1067" s="13"/>
      <c r="EI1067" s="13"/>
      <c r="EJ1067" s="13"/>
      <c r="EK1067" s="13"/>
      <c r="EL1067" s="13"/>
      <c r="EM1067" s="13"/>
      <c r="EN1067" s="13"/>
      <c r="EO1067" s="13"/>
      <c r="EP1067" s="13"/>
      <c r="EQ1067" s="13"/>
      <c r="ER1067" s="13"/>
      <c r="ES1067" s="13"/>
      <c r="ET1067" s="13"/>
      <c r="EU1067" s="13"/>
      <c r="EV1067" s="13"/>
      <c r="EW1067" s="13"/>
      <c r="EX1067" s="13"/>
      <c r="EY1067" s="13"/>
      <c r="EZ1067" s="13"/>
      <c r="FA1067" s="13"/>
      <c r="FB1067" s="13"/>
      <c r="FC1067" s="13"/>
      <c r="FD1067" s="13"/>
      <c r="FE1067" s="13"/>
      <c r="FF1067" s="13"/>
      <c r="FG1067" s="13"/>
      <c r="FH1067" s="13"/>
      <c r="FI1067" s="13"/>
      <c r="FJ1067" s="13"/>
      <c r="FK1067" s="13"/>
      <c r="FL1067" s="13"/>
      <c r="FM1067" s="13"/>
      <c r="FN1067" s="13"/>
      <c r="FO1067" s="13"/>
      <c r="FP1067" s="13"/>
      <c r="FQ1067" s="13"/>
      <c r="FR1067" s="13"/>
      <c r="FS1067" s="13"/>
      <c r="FT1067" s="13"/>
      <c r="FU1067" s="13"/>
      <c r="FV1067" s="13"/>
      <c r="FW1067" s="13"/>
      <c r="FX1067" s="13"/>
      <c r="FY1067" s="13"/>
      <c r="FZ1067" s="13"/>
      <c r="GA1067" s="13"/>
    </row>
    <row r="1068" spans="1:183" s="56" customFormat="1" x14ac:dyDescent="0.25">
      <c r="A1068" s="2"/>
      <c r="B1068" s="2"/>
      <c r="C1068" s="9">
        <v>19</v>
      </c>
      <c r="D1068" s="9">
        <v>24</v>
      </c>
      <c r="E1068" s="9">
        <v>39</v>
      </c>
      <c r="F1068" s="9">
        <v>61</v>
      </c>
      <c r="G1068" s="9">
        <v>63</v>
      </c>
      <c r="H1068" s="9">
        <v>73</v>
      </c>
      <c r="I1068" s="43"/>
      <c r="J1068" s="9">
        <v>73</v>
      </c>
      <c r="K1068" s="43"/>
      <c r="L1068" s="39">
        <v>44216</v>
      </c>
      <c r="M1068" s="43"/>
      <c r="N1068"/>
      <c r="O1068"/>
      <c r="P1068"/>
      <c r="Q1068"/>
      <c r="R1068"/>
      <c r="S1068"/>
      <c r="T1068"/>
      <c r="U1068"/>
      <c r="V1068"/>
      <c r="W1068" s="52"/>
      <c r="X1068" s="43"/>
      <c r="Y1068"/>
      <c r="Z1068"/>
      <c r="AA1068"/>
      <c r="AB1068"/>
      <c r="AC1068"/>
      <c r="AD1068"/>
      <c r="AE1068"/>
      <c r="AF1068"/>
      <c r="AG1068"/>
      <c r="AH1068" s="52"/>
      <c r="AI1068" s="148"/>
      <c r="AJ1068" s="19"/>
      <c r="AK1068" s="19"/>
      <c r="AL1068" s="19"/>
      <c r="AM1068" s="19"/>
      <c r="AN1068" s="42"/>
      <c r="AO1068" s="54"/>
      <c r="AP1068" s="19"/>
      <c r="AR1068" s="74"/>
      <c r="AS1068" s="42"/>
      <c r="AT1068" s="54"/>
      <c r="AU1068" s="54"/>
      <c r="AV1068" s="19"/>
      <c r="AW1068" s="54"/>
      <c r="AX1068" s="57"/>
      <c r="AY1068" s="54"/>
      <c r="AZ1068" s="54"/>
      <c r="BA1068" s="54"/>
      <c r="BB1068" s="54"/>
      <c r="BC1068" s="57"/>
      <c r="BD1068" s="19"/>
      <c r="BE1068" s="19"/>
      <c r="BF1068" s="19"/>
      <c r="BG1068" s="54"/>
      <c r="BH1068" s="43"/>
      <c r="BI1068" s="54"/>
      <c r="BJ1068" s="55"/>
      <c r="BK1068" s="55"/>
      <c r="BL1068" s="54"/>
      <c r="BO1068" s="52"/>
      <c r="BP1068" s="52"/>
      <c r="BQ1068" s="52"/>
      <c r="BR1068" s="52"/>
      <c r="BS1068" s="52"/>
      <c r="BT1068" s="52"/>
      <c r="BU1068" s="52"/>
      <c r="BV1068" s="52"/>
      <c r="BW1068" s="52"/>
      <c r="BX1068" s="52"/>
      <c r="BY1068" s="52"/>
      <c r="BZ1068" s="52"/>
      <c r="CA1068" s="52"/>
      <c r="CB1068" s="52"/>
      <c r="CC1068" s="52"/>
      <c r="CD1068" s="52"/>
      <c r="CE1068" s="52"/>
      <c r="CF1068" s="52"/>
      <c r="CG1068" s="52"/>
      <c r="CH1068" s="52"/>
      <c r="CI1068" s="52"/>
      <c r="CJ1068" s="52"/>
      <c r="CK1068" s="52"/>
      <c r="CL1068" s="52"/>
      <c r="CM1068" s="52"/>
      <c r="CN1068" s="52"/>
      <c r="CO1068" s="52"/>
      <c r="CP1068" s="52"/>
      <c r="CQ1068" s="52"/>
      <c r="CR1068" s="52"/>
      <c r="CS1068" s="52"/>
      <c r="CT1068" s="52"/>
      <c r="CU1068" s="52"/>
      <c r="CV1068" s="52"/>
      <c r="CW1068" s="52"/>
      <c r="CX1068" s="52"/>
      <c r="CY1068" s="52"/>
      <c r="CZ1068" s="52"/>
      <c r="DA1068" s="52"/>
      <c r="DB1068" s="52"/>
      <c r="DC1068" s="52"/>
      <c r="DD1068" s="52"/>
      <c r="DE1068" s="52"/>
      <c r="DF1068" s="52"/>
      <c r="DG1068" s="52"/>
      <c r="DH1068" s="52"/>
      <c r="DI1068" s="52"/>
      <c r="DJ1068" s="52"/>
      <c r="DK1068" s="52"/>
      <c r="DL1068" s="52"/>
      <c r="DM1068" s="52"/>
      <c r="DN1068" s="52"/>
      <c r="DO1068" s="52"/>
      <c r="DP1068" s="52"/>
      <c r="DQ1068" s="52"/>
      <c r="DR1068" s="52"/>
      <c r="DS1068" s="52"/>
      <c r="DT1068" s="52"/>
      <c r="DU1068" s="52"/>
      <c r="DV1068" s="52"/>
      <c r="DW1068" s="52"/>
      <c r="DX1068" s="52"/>
      <c r="DY1068" s="43"/>
      <c r="DZ1068"/>
      <c r="EA1068" s="19"/>
      <c r="EB1068" s="19"/>
      <c r="EC1068" s="9"/>
      <c r="ED1068" s="9"/>
      <c r="EE1068" s="9"/>
      <c r="EF1068" s="9"/>
      <c r="EG1068" s="9"/>
      <c r="EH1068" s="13"/>
      <c r="EI1068" s="13"/>
      <c r="EJ1068" s="13"/>
      <c r="EK1068" s="13"/>
      <c r="EL1068" s="13"/>
      <c r="EM1068" s="13"/>
      <c r="EN1068" s="13"/>
      <c r="EO1068" s="13"/>
      <c r="EP1068" s="13"/>
      <c r="EQ1068" s="13"/>
      <c r="ER1068" s="13"/>
      <c r="ES1068" s="13"/>
      <c r="ET1068" s="13"/>
      <c r="EU1068" s="13"/>
      <c r="EV1068" s="13"/>
      <c r="EW1068" s="13"/>
      <c r="EX1068" s="13"/>
      <c r="EY1068" s="13"/>
      <c r="EZ1068" s="13"/>
      <c r="FA1068" s="13"/>
      <c r="FB1068" s="13"/>
      <c r="FC1068" s="13"/>
      <c r="FD1068" s="13"/>
      <c r="FE1068" s="13"/>
      <c r="FF1068" s="13"/>
      <c r="FG1068" s="13"/>
      <c r="FH1068" s="13"/>
      <c r="FI1068" s="13"/>
      <c r="FJ1068" s="13"/>
      <c r="FK1068" s="13"/>
      <c r="FL1068" s="13"/>
      <c r="FM1068" s="13"/>
      <c r="FN1068" s="13"/>
      <c r="FO1068" s="13"/>
      <c r="FP1068" s="13"/>
      <c r="FQ1068" s="13"/>
      <c r="FR1068" s="13"/>
      <c r="FS1068" s="13"/>
      <c r="FT1068" s="13"/>
      <c r="FU1068" s="13"/>
      <c r="FV1068" s="13"/>
      <c r="FW1068" s="13"/>
      <c r="FX1068" s="13"/>
      <c r="FY1068" s="13"/>
      <c r="FZ1068" s="13"/>
      <c r="GA1068" s="13"/>
    </row>
    <row r="1069" spans="1:183" s="56" customFormat="1" x14ac:dyDescent="0.25">
      <c r="A1069" s="2"/>
      <c r="B1069" s="2"/>
      <c r="C1069" s="9">
        <v>23</v>
      </c>
      <c r="D1069" s="9">
        <v>29</v>
      </c>
      <c r="E1069" s="9">
        <v>43</v>
      </c>
      <c r="F1069" s="9">
        <v>68</v>
      </c>
      <c r="G1069" s="9">
        <v>88</v>
      </c>
      <c r="H1069" s="9">
        <v>90</v>
      </c>
      <c r="I1069" s="43"/>
      <c r="J1069" s="9">
        <v>90</v>
      </c>
      <c r="K1069" s="43"/>
      <c r="L1069" s="39">
        <v>44214</v>
      </c>
      <c r="M1069" s="43"/>
      <c r="N1069"/>
      <c r="O1069"/>
      <c r="P1069"/>
      <c r="Q1069"/>
      <c r="R1069"/>
      <c r="S1069"/>
      <c r="T1069"/>
      <c r="U1069"/>
      <c r="V1069"/>
      <c r="W1069" s="52"/>
      <c r="X1069" s="43"/>
      <c r="Y1069"/>
      <c r="Z1069"/>
      <c r="AA1069"/>
      <c r="AB1069"/>
      <c r="AC1069"/>
      <c r="AD1069"/>
      <c r="AE1069"/>
      <c r="AF1069"/>
      <c r="AG1069"/>
      <c r="AH1069" s="52"/>
      <c r="AI1069" s="148"/>
      <c r="AJ1069" s="19"/>
      <c r="AK1069" s="19"/>
      <c r="AL1069" s="19"/>
      <c r="AM1069" s="19"/>
      <c r="AN1069" s="42"/>
      <c r="AO1069" s="54"/>
      <c r="AP1069" s="19"/>
      <c r="AR1069" s="74"/>
      <c r="AS1069" s="42"/>
      <c r="AT1069" s="54"/>
      <c r="AU1069" s="54"/>
      <c r="AV1069" s="19"/>
      <c r="AW1069" s="54"/>
      <c r="AX1069" s="57"/>
      <c r="AY1069" s="54"/>
      <c r="AZ1069" s="54"/>
      <c r="BA1069" s="54"/>
      <c r="BB1069" s="54"/>
      <c r="BC1069" s="57"/>
      <c r="BD1069" s="19"/>
      <c r="BE1069" s="19"/>
      <c r="BF1069" s="19"/>
      <c r="BG1069" s="54"/>
      <c r="BH1069" s="43"/>
      <c r="BI1069" s="54"/>
      <c r="BJ1069" s="55"/>
      <c r="BK1069" s="55"/>
      <c r="BL1069" s="54"/>
      <c r="BO1069" s="52"/>
      <c r="BP1069" s="52"/>
      <c r="BQ1069" s="52"/>
      <c r="BR1069" s="52"/>
      <c r="BS1069" s="52"/>
      <c r="BT1069" s="52"/>
      <c r="BU1069" s="52"/>
      <c r="BV1069" s="52"/>
      <c r="BW1069" s="52"/>
      <c r="BX1069" s="52"/>
      <c r="BY1069" s="52"/>
      <c r="BZ1069" s="52"/>
      <c r="CA1069" s="52"/>
      <c r="CB1069" s="52"/>
      <c r="CC1069" s="52"/>
      <c r="CD1069" s="52"/>
      <c r="CE1069" s="52"/>
      <c r="CF1069" s="52"/>
      <c r="CG1069" s="52"/>
      <c r="CH1069" s="52"/>
      <c r="CI1069" s="52"/>
      <c r="CJ1069" s="52"/>
      <c r="CK1069" s="52"/>
      <c r="CL1069" s="52"/>
      <c r="CM1069" s="52"/>
      <c r="CN1069" s="52"/>
      <c r="CO1069" s="52"/>
      <c r="CP1069" s="52"/>
      <c r="CQ1069" s="52"/>
      <c r="CR1069" s="52"/>
      <c r="CS1069" s="52"/>
      <c r="CT1069" s="52"/>
      <c r="CU1069" s="52"/>
      <c r="CV1069" s="52"/>
      <c r="CW1069" s="52"/>
      <c r="CX1069" s="52"/>
      <c r="CY1069" s="52"/>
      <c r="CZ1069" s="52"/>
      <c r="DA1069" s="52"/>
      <c r="DB1069" s="52"/>
      <c r="DC1069" s="52"/>
      <c r="DD1069" s="52"/>
      <c r="DE1069" s="52"/>
      <c r="DF1069" s="52"/>
      <c r="DG1069" s="52"/>
      <c r="DH1069" s="52"/>
      <c r="DI1069" s="52"/>
      <c r="DJ1069" s="52"/>
      <c r="DK1069" s="52"/>
      <c r="DL1069" s="52"/>
      <c r="DM1069" s="52"/>
      <c r="DN1069" s="52"/>
      <c r="DO1069" s="52"/>
      <c r="DP1069" s="52"/>
      <c r="DQ1069" s="52"/>
      <c r="DR1069" s="52"/>
      <c r="DS1069" s="52"/>
      <c r="DT1069" s="52"/>
      <c r="DU1069" s="52"/>
      <c r="DV1069" s="52"/>
      <c r="DW1069" s="52"/>
      <c r="DX1069" s="52"/>
      <c r="DY1069" s="43"/>
      <c r="DZ1069"/>
      <c r="EA1069" s="19"/>
      <c r="EB1069" s="19"/>
      <c r="EC1069" s="9"/>
      <c r="ED1069" s="9"/>
      <c r="EE1069" s="9"/>
      <c r="EF1069" s="9"/>
      <c r="EG1069" s="9"/>
      <c r="EH1069" s="13"/>
      <c r="EI1069" s="13"/>
      <c r="EJ1069" s="13"/>
      <c r="EK1069" s="13"/>
      <c r="EL1069" s="13"/>
      <c r="EM1069" s="13"/>
      <c r="EN1069" s="13"/>
      <c r="EO1069" s="13"/>
      <c r="EP1069" s="13"/>
      <c r="EQ1069" s="13"/>
      <c r="ER1069" s="13"/>
      <c r="ES1069" s="13"/>
      <c r="ET1069" s="13"/>
      <c r="EU1069" s="13"/>
      <c r="EV1069" s="13"/>
      <c r="EW1069" s="13"/>
      <c r="EX1069" s="13"/>
      <c r="EY1069" s="13"/>
      <c r="EZ1069" s="13"/>
      <c r="FA1069" s="13"/>
      <c r="FB1069" s="13"/>
      <c r="FC1069" s="13"/>
      <c r="FD1069" s="13"/>
      <c r="FE1069" s="13"/>
      <c r="FF1069" s="13"/>
      <c r="FG1069" s="13"/>
      <c r="FH1069" s="13"/>
      <c r="FI1069" s="13"/>
      <c r="FJ1069" s="13"/>
      <c r="FK1069" s="13"/>
      <c r="FL1069" s="13"/>
      <c r="FM1069" s="13"/>
      <c r="FN1069" s="13"/>
      <c r="FO1069" s="13"/>
      <c r="FP1069" s="13"/>
      <c r="FQ1069" s="13"/>
      <c r="FR1069" s="13"/>
      <c r="FS1069" s="13"/>
      <c r="FT1069" s="13"/>
      <c r="FU1069" s="13"/>
      <c r="FV1069" s="13"/>
      <c r="FW1069" s="13"/>
      <c r="FX1069" s="13"/>
      <c r="FY1069" s="13"/>
      <c r="FZ1069" s="13"/>
      <c r="GA1069" s="13"/>
    </row>
    <row r="1070" spans="1:183" s="56" customFormat="1" x14ac:dyDescent="0.25">
      <c r="A1070" s="2"/>
      <c r="B1070" s="2"/>
      <c r="C1070" s="9">
        <v>43</v>
      </c>
      <c r="D1070" s="9">
        <v>71</v>
      </c>
      <c r="E1070" s="9">
        <v>73</v>
      </c>
      <c r="F1070" s="9">
        <v>75</v>
      </c>
      <c r="G1070" s="9">
        <v>86</v>
      </c>
      <c r="H1070" s="9">
        <v>88</v>
      </c>
      <c r="I1070" s="43"/>
      <c r="J1070" s="9">
        <v>88</v>
      </c>
      <c r="K1070" s="43"/>
      <c r="L1070" s="39">
        <v>44212</v>
      </c>
      <c r="M1070" s="43"/>
      <c r="N1070"/>
      <c r="O1070"/>
      <c r="P1070"/>
      <c r="Q1070"/>
      <c r="R1070"/>
      <c r="S1070"/>
      <c r="T1070"/>
      <c r="U1070"/>
      <c r="V1070"/>
      <c r="W1070" s="52"/>
      <c r="X1070" s="43"/>
      <c r="Y1070"/>
      <c r="Z1070"/>
      <c r="AA1070"/>
      <c r="AB1070"/>
      <c r="AC1070"/>
      <c r="AD1070"/>
      <c r="AE1070"/>
      <c r="AF1070"/>
      <c r="AG1070"/>
      <c r="AH1070" s="52"/>
      <c r="AI1070" s="148"/>
      <c r="AJ1070" s="19"/>
      <c r="AK1070" s="19"/>
      <c r="AL1070" s="19"/>
      <c r="AM1070" s="19"/>
      <c r="AN1070" s="42"/>
      <c r="AO1070" s="54"/>
      <c r="AP1070" s="19"/>
      <c r="AR1070" s="74"/>
      <c r="AS1070" s="42"/>
      <c r="AT1070" s="54"/>
      <c r="AU1070" s="54"/>
      <c r="AV1070" s="19"/>
      <c r="AW1070" s="54"/>
      <c r="AX1070" s="57"/>
      <c r="AY1070" s="54"/>
      <c r="AZ1070" s="54"/>
      <c r="BA1070" s="54"/>
      <c r="BB1070" s="54"/>
      <c r="BC1070" s="57"/>
      <c r="BD1070" s="19"/>
      <c r="BE1070" s="19"/>
      <c r="BF1070" s="19"/>
      <c r="BG1070" s="54"/>
      <c r="BH1070" s="43"/>
      <c r="BI1070" s="54"/>
      <c r="BJ1070" s="55"/>
      <c r="BK1070" s="55"/>
      <c r="BL1070" s="54"/>
      <c r="BO1070" s="52"/>
      <c r="BP1070" s="52"/>
      <c r="BQ1070" s="52"/>
      <c r="BR1070" s="52"/>
      <c r="BS1070" s="52"/>
      <c r="BT1070" s="52"/>
      <c r="BU1070" s="52"/>
      <c r="BV1070" s="52"/>
      <c r="BW1070" s="52"/>
      <c r="BX1070" s="52"/>
      <c r="BY1070" s="52"/>
      <c r="BZ1070" s="52"/>
      <c r="CA1070" s="52"/>
      <c r="CB1070" s="52"/>
      <c r="CC1070" s="52"/>
      <c r="CD1070" s="52"/>
      <c r="CE1070" s="52"/>
      <c r="CF1070" s="52"/>
      <c r="CG1070" s="52"/>
      <c r="CH1070" s="52"/>
      <c r="CI1070" s="52"/>
      <c r="CJ1070" s="52"/>
      <c r="CK1070" s="52"/>
      <c r="CL1070" s="52"/>
      <c r="CM1070" s="52"/>
      <c r="CN1070" s="52"/>
      <c r="CO1070" s="52"/>
      <c r="CP1070" s="52"/>
      <c r="CQ1070" s="52"/>
      <c r="CR1070" s="52"/>
      <c r="CS1070" s="52"/>
      <c r="CT1070" s="52"/>
      <c r="CU1070" s="52"/>
      <c r="CV1070" s="52"/>
      <c r="CW1070" s="52"/>
      <c r="CX1070" s="52"/>
      <c r="CY1070" s="52"/>
      <c r="CZ1070" s="52"/>
      <c r="DA1070" s="52"/>
      <c r="DB1070" s="52"/>
      <c r="DC1070" s="52"/>
      <c r="DD1070" s="52"/>
      <c r="DE1070" s="52"/>
      <c r="DF1070" s="52"/>
      <c r="DG1070" s="52"/>
      <c r="DH1070" s="52"/>
      <c r="DI1070" s="52"/>
      <c r="DJ1070" s="52"/>
      <c r="DK1070" s="52"/>
      <c r="DL1070" s="52"/>
      <c r="DM1070" s="52"/>
      <c r="DN1070" s="52"/>
      <c r="DO1070" s="52"/>
      <c r="DP1070" s="52"/>
      <c r="DQ1070" s="52"/>
      <c r="DR1070" s="52"/>
      <c r="DS1070" s="52"/>
      <c r="DT1070" s="52"/>
      <c r="DU1070" s="52"/>
      <c r="DV1070" s="52"/>
      <c r="DW1070" s="52"/>
      <c r="DX1070" s="52"/>
      <c r="DY1070" s="43"/>
      <c r="DZ1070"/>
      <c r="EA1070" s="19"/>
      <c r="EB1070" s="19"/>
      <c r="EC1070" s="9"/>
      <c r="ED1070" s="9"/>
      <c r="EE1070" s="9"/>
      <c r="EF1070" s="9"/>
      <c r="EG1070" s="9"/>
      <c r="EH1070" s="13"/>
      <c r="EI1070" s="13"/>
      <c r="EJ1070" s="13"/>
      <c r="EK1070" s="13"/>
      <c r="EL1070" s="13"/>
      <c r="EM1070" s="13"/>
      <c r="EN1070" s="13"/>
      <c r="EO1070" s="13"/>
      <c r="EP1070" s="13"/>
      <c r="EQ1070" s="13"/>
      <c r="ER1070" s="13"/>
      <c r="ES1070" s="13"/>
      <c r="ET1070" s="13"/>
      <c r="EU1070" s="13"/>
      <c r="EV1070" s="13"/>
      <c r="EW1070" s="13"/>
      <c r="EX1070" s="13"/>
      <c r="EY1070" s="13"/>
      <c r="EZ1070" s="13"/>
      <c r="FA1070" s="13"/>
      <c r="FB1070" s="13"/>
      <c r="FC1070" s="13"/>
      <c r="FD1070" s="13"/>
      <c r="FE1070" s="13"/>
      <c r="FF1070" s="13"/>
      <c r="FG1070" s="13"/>
      <c r="FH1070" s="13"/>
      <c r="FI1070" s="13"/>
      <c r="FJ1070" s="13"/>
      <c r="FK1070" s="13"/>
      <c r="FL1070" s="13"/>
      <c r="FM1070" s="13"/>
      <c r="FN1070" s="13"/>
      <c r="FO1070" s="13"/>
      <c r="FP1070" s="13"/>
      <c r="FQ1070" s="13"/>
      <c r="FR1070" s="13"/>
      <c r="FS1070" s="13"/>
      <c r="FT1070" s="13"/>
      <c r="FU1070" s="13"/>
      <c r="FV1070" s="13"/>
      <c r="FW1070" s="13"/>
      <c r="FX1070" s="13"/>
      <c r="FY1070" s="13"/>
      <c r="FZ1070" s="13"/>
      <c r="GA1070" s="13"/>
    </row>
    <row r="1071" spans="1:183" s="56" customFormat="1" x14ac:dyDescent="0.25">
      <c r="A1071" s="2"/>
      <c r="B1071" s="2"/>
      <c r="C1071" s="9">
        <v>18</v>
      </c>
      <c r="D1071" s="9">
        <v>28</v>
      </c>
      <c r="E1071" s="9">
        <v>41</v>
      </c>
      <c r="F1071" s="9">
        <v>57</v>
      </c>
      <c r="G1071" s="9">
        <v>71</v>
      </c>
      <c r="H1071" s="9">
        <v>88</v>
      </c>
      <c r="I1071" s="43"/>
      <c r="J1071" s="9">
        <v>88</v>
      </c>
      <c r="K1071" s="43"/>
      <c r="L1071" s="39">
        <v>44209</v>
      </c>
      <c r="M1071" s="43"/>
      <c r="N1071"/>
      <c r="O1071"/>
      <c r="P1071"/>
      <c r="Q1071"/>
      <c r="R1071"/>
      <c r="S1071"/>
      <c r="T1071"/>
      <c r="U1071"/>
      <c r="V1071"/>
      <c r="W1071" s="52"/>
      <c r="X1071" s="43"/>
      <c r="Y1071"/>
      <c r="Z1071"/>
      <c r="AA1071"/>
      <c r="AB1071"/>
      <c r="AC1071"/>
      <c r="AD1071"/>
      <c r="AE1071"/>
      <c r="AF1071"/>
      <c r="AG1071"/>
      <c r="AH1071" s="52"/>
      <c r="AI1071" s="148"/>
      <c r="AJ1071" s="19"/>
      <c r="AK1071" s="19"/>
      <c r="AL1071" s="19"/>
      <c r="AM1071" s="19"/>
      <c r="AN1071" s="42"/>
      <c r="AO1071" s="54"/>
      <c r="AP1071" s="19"/>
      <c r="AR1071" s="74"/>
      <c r="AS1071" s="42"/>
      <c r="AT1071" s="54"/>
      <c r="AU1071" s="54"/>
      <c r="AV1071" s="19"/>
      <c r="AW1071" s="54"/>
      <c r="AX1071" s="57"/>
      <c r="AY1071" s="54"/>
      <c r="AZ1071" s="54"/>
      <c r="BA1071" s="54"/>
      <c r="BB1071" s="54"/>
      <c r="BC1071" s="57"/>
      <c r="BD1071" s="19"/>
      <c r="BE1071" s="19"/>
      <c r="BF1071" s="19"/>
      <c r="BG1071" s="54"/>
      <c r="BH1071" s="43"/>
      <c r="BI1071" s="54"/>
      <c r="BJ1071" s="55"/>
      <c r="BK1071" s="55"/>
      <c r="BL1071" s="54"/>
      <c r="BO1071" s="52"/>
      <c r="BP1071" s="52"/>
      <c r="BQ1071" s="52"/>
      <c r="BR1071" s="52"/>
      <c r="BS1071" s="52"/>
      <c r="BT1071" s="52"/>
      <c r="BU1071" s="52"/>
      <c r="BV1071" s="52"/>
      <c r="BW1071" s="52"/>
      <c r="BX1071" s="52"/>
      <c r="BY1071" s="52"/>
      <c r="BZ1071" s="52"/>
      <c r="CA1071" s="52"/>
      <c r="CB1071" s="52"/>
      <c r="CC1071" s="52"/>
      <c r="CD1071" s="52"/>
      <c r="CE1071" s="52"/>
      <c r="CF1071" s="52"/>
      <c r="CG1071" s="52"/>
      <c r="CH1071" s="52"/>
      <c r="CI1071" s="52"/>
      <c r="CJ1071" s="52"/>
      <c r="CK1071" s="52"/>
      <c r="CL1071" s="52"/>
      <c r="CM1071" s="52"/>
      <c r="CN1071" s="52"/>
      <c r="CO1071" s="52"/>
      <c r="CP1071" s="52"/>
      <c r="CQ1071" s="52"/>
      <c r="CR1071" s="52"/>
      <c r="CS1071" s="52"/>
      <c r="CT1071" s="52"/>
      <c r="CU1071" s="52"/>
      <c r="CV1071" s="52"/>
      <c r="CW1071" s="52"/>
      <c r="CX1071" s="52"/>
      <c r="CY1071" s="52"/>
      <c r="CZ1071" s="52"/>
      <c r="DA1071" s="52"/>
      <c r="DB1071" s="52"/>
      <c r="DC1071" s="52"/>
      <c r="DD1071" s="52"/>
      <c r="DE1071" s="52"/>
      <c r="DF1071" s="52"/>
      <c r="DG1071" s="52"/>
      <c r="DH1071" s="52"/>
      <c r="DI1071" s="52"/>
      <c r="DJ1071" s="52"/>
      <c r="DK1071" s="52"/>
      <c r="DL1071" s="52"/>
      <c r="DM1071" s="52"/>
      <c r="DN1071" s="52"/>
      <c r="DO1071" s="52"/>
      <c r="DP1071" s="52"/>
      <c r="DQ1071" s="52"/>
      <c r="DR1071" s="52"/>
      <c r="DS1071" s="52"/>
      <c r="DT1071" s="52"/>
      <c r="DU1071" s="52"/>
      <c r="DV1071" s="52"/>
      <c r="DW1071" s="52"/>
      <c r="DX1071" s="52"/>
      <c r="DY1071" s="43"/>
      <c r="DZ1071"/>
      <c r="EA1071" s="19"/>
      <c r="EB1071" s="19"/>
      <c r="EC1071" s="9"/>
      <c r="ED1071" s="9"/>
      <c r="EE1071" s="9"/>
      <c r="EF1071" s="9"/>
      <c r="EG1071" s="9"/>
      <c r="EH1071" s="13"/>
      <c r="EI1071" s="13"/>
      <c r="EJ1071" s="13"/>
      <c r="EK1071" s="13"/>
      <c r="EL1071" s="13"/>
      <c r="EM1071" s="13"/>
      <c r="EN1071" s="13"/>
      <c r="EO1071" s="13"/>
      <c r="EP1071" s="13"/>
      <c r="EQ1071" s="13"/>
      <c r="ER1071" s="13"/>
      <c r="ES1071" s="13"/>
      <c r="ET1071" s="13"/>
      <c r="EU1071" s="13"/>
      <c r="EV1071" s="13"/>
      <c r="EW1071" s="13"/>
      <c r="EX1071" s="13"/>
      <c r="EY1071" s="13"/>
      <c r="EZ1071" s="13"/>
      <c r="FA1071" s="13"/>
      <c r="FB1071" s="13"/>
      <c r="FC1071" s="13"/>
      <c r="FD1071" s="13"/>
      <c r="FE1071" s="13"/>
      <c r="FF1071" s="13"/>
      <c r="FG1071" s="13"/>
      <c r="FH1071" s="13"/>
      <c r="FI1071" s="13"/>
      <c r="FJ1071" s="13"/>
      <c r="FK1071" s="13"/>
      <c r="FL1071" s="13"/>
      <c r="FM1071" s="13"/>
      <c r="FN1071" s="13"/>
      <c r="FO1071" s="13"/>
      <c r="FP1071" s="13"/>
      <c r="FQ1071" s="13"/>
      <c r="FR1071" s="13"/>
      <c r="FS1071" s="13"/>
      <c r="FT1071" s="13"/>
      <c r="FU1071" s="13"/>
      <c r="FV1071" s="13"/>
      <c r="FW1071" s="13"/>
      <c r="FX1071" s="13"/>
      <c r="FY1071" s="13"/>
      <c r="FZ1071" s="13"/>
      <c r="GA1071" s="13"/>
    </row>
    <row r="1072" spans="1:183" s="56" customFormat="1" x14ac:dyDescent="0.25">
      <c r="A1072" s="2"/>
      <c r="B1072" s="2"/>
      <c r="C1072" s="9">
        <v>6</v>
      </c>
      <c r="D1072" s="9">
        <v>20</v>
      </c>
      <c r="E1072" s="9">
        <v>32</v>
      </c>
      <c r="F1072" s="9">
        <v>54</v>
      </c>
      <c r="G1072" s="9">
        <v>73</v>
      </c>
      <c r="H1072" s="9">
        <v>88</v>
      </c>
      <c r="I1072" s="43"/>
      <c r="J1072" s="9">
        <v>88</v>
      </c>
      <c r="K1072" s="43"/>
      <c r="L1072" s="39">
        <v>44207</v>
      </c>
      <c r="M1072" s="43"/>
      <c r="N1072"/>
      <c r="O1072"/>
      <c r="P1072"/>
      <c r="Q1072"/>
      <c r="R1072"/>
      <c r="S1072"/>
      <c r="T1072"/>
      <c r="U1072"/>
      <c r="V1072"/>
      <c r="W1072" s="52"/>
      <c r="X1072" s="43"/>
      <c r="Y1072"/>
      <c r="Z1072"/>
      <c r="AA1072"/>
      <c r="AB1072"/>
      <c r="AC1072"/>
      <c r="AD1072"/>
      <c r="AE1072"/>
      <c r="AF1072"/>
      <c r="AG1072"/>
      <c r="AH1072" s="52"/>
      <c r="AI1072" s="148"/>
      <c r="AJ1072" s="19"/>
      <c r="AK1072" s="19"/>
      <c r="AL1072" s="19"/>
      <c r="AM1072" s="19"/>
      <c r="AN1072" s="42"/>
      <c r="AO1072" s="54"/>
      <c r="AP1072" s="19"/>
      <c r="AR1072" s="74"/>
      <c r="AS1072" s="42"/>
      <c r="AT1072" s="54"/>
      <c r="AU1072" s="54"/>
      <c r="AV1072" s="19"/>
      <c r="AW1072" s="54"/>
      <c r="AX1072" s="57"/>
      <c r="AY1072" s="54"/>
      <c r="AZ1072" s="54"/>
      <c r="BA1072" s="54"/>
      <c r="BB1072" s="54"/>
      <c r="BC1072" s="57"/>
      <c r="BD1072" s="19"/>
      <c r="BE1072" s="19"/>
      <c r="BF1072" s="19"/>
      <c r="BG1072" s="54"/>
      <c r="BH1072" s="43"/>
      <c r="BI1072" s="54"/>
      <c r="BJ1072" s="55"/>
      <c r="BK1072" s="55"/>
      <c r="BL1072" s="54"/>
      <c r="BM1072" s="56">
        <v>2</v>
      </c>
      <c r="BO1072" s="52"/>
      <c r="BP1072" s="52"/>
      <c r="BQ1072" s="52"/>
      <c r="BR1072" s="52"/>
      <c r="BS1072" s="52"/>
      <c r="BT1072" s="52"/>
      <c r="BU1072" s="52"/>
      <c r="BV1072" s="52"/>
      <c r="BW1072" s="52"/>
      <c r="BX1072" s="52"/>
      <c r="BY1072" s="52"/>
      <c r="BZ1072" s="52"/>
      <c r="CA1072" s="52"/>
      <c r="CB1072" s="52"/>
      <c r="CC1072" s="52"/>
      <c r="CD1072" s="52"/>
      <c r="CE1072" s="52"/>
      <c r="CF1072" s="52"/>
      <c r="CG1072" s="52"/>
      <c r="CH1072" s="52"/>
      <c r="CI1072" s="52"/>
      <c r="CJ1072" s="52"/>
      <c r="CK1072" s="52"/>
      <c r="CL1072" s="52"/>
      <c r="CM1072" s="52"/>
      <c r="CN1072" s="52"/>
      <c r="CO1072" s="52"/>
      <c r="CP1072" s="52"/>
      <c r="CQ1072" s="52"/>
      <c r="CR1072" s="52"/>
      <c r="CS1072" s="52"/>
      <c r="CT1072" s="52"/>
      <c r="CU1072" s="52"/>
      <c r="CV1072" s="52"/>
      <c r="CW1072" s="52"/>
      <c r="CX1072" s="52"/>
      <c r="CY1072" s="52"/>
      <c r="CZ1072" s="52"/>
      <c r="DA1072" s="52"/>
      <c r="DB1072" s="52"/>
      <c r="DC1072" s="52"/>
      <c r="DD1072" s="52"/>
      <c r="DE1072" s="52"/>
      <c r="DF1072" s="52"/>
      <c r="DG1072" s="52"/>
      <c r="DH1072" s="52"/>
      <c r="DI1072" s="52"/>
      <c r="DJ1072" s="52"/>
      <c r="DK1072" s="52"/>
      <c r="DL1072" s="52"/>
      <c r="DM1072" s="52"/>
      <c r="DN1072" s="52"/>
      <c r="DO1072" s="52"/>
      <c r="DP1072" s="52"/>
      <c r="DQ1072" s="52"/>
      <c r="DR1072" s="52"/>
      <c r="DS1072" s="52"/>
      <c r="DT1072" s="52"/>
      <c r="DU1072" s="52"/>
      <c r="DV1072" s="52"/>
      <c r="DW1072" s="52"/>
      <c r="DX1072" s="52"/>
      <c r="DY1072" s="43"/>
      <c r="DZ1072"/>
      <c r="EA1072" s="19"/>
      <c r="EB1072" s="19"/>
      <c r="EC1072" s="9"/>
      <c r="ED1072" s="9"/>
      <c r="EE1072" s="9"/>
      <c r="EF1072" s="9"/>
      <c r="EG1072" s="9"/>
      <c r="EH1072" s="13"/>
      <c r="EI1072" s="13"/>
      <c r="EJ1072" s="13"/>
      <c r="EK1072" s="13"/>
      <c r="EL1072" s="13"/>
      <c r="EM1072" s="13"/>
      <c r="EN1072" s="13"/>
      <c r="EO1072" s="13"/>
      <c r="EP1072" s="13"/>
      <c r="EQ1072" s="13"/>
      <c r="ER1072" s="13"/>
      <c r="ES1072" s="13"/>
      <c r="ET1072" s="13"/>
      <c r="EU1072" s="13"/>
      <c r="EV1072" s="13"/>
      <c r="EW1072" s="13"/>
      <c r="EX1072" s="13"/>
      <c r="EY1072" s="13"/>
      <c r="EZ1072" s="13"/>
      <c r="FA1072" s="13"/>
      <c r="FB1072" s="13"/>
      <c r="FC1072" s="13"/>
      <c r="FD1072" s="13"/>
      <c r="FE1072" s="13"/>
      <c r="FF1072" s="13"/>
      <c r="FG1072" s="13"/>
      <c r="FH1072" s="13"/>
      <c r="FI1072" s="13"/>
      <c r="FJ1072" s="13"/>
      <c r="FK1072" s="13"/>
      <c r="FL1072" s="13"/>
      <c r="FM1072" s="13"/>
      <c r="FN1072" s="13"/>
      <c r="FO1072" s="13"/>
      <c r="FP1072" s="13"/>
      <c r="FQ1072" s="13"/>
      <c r="FR1072" s="13"/>
      <c r="FS1072" s="13"/>
      <c r="FT1072" s="13"/>
      <c r="FU1072" s="13"/>
      <c r="FV1072" s="13"/>
      <c r="FW1072" s="13"/>
      <c r="FX1072" s="13"/>
      <c r="FY1072" s="13"/>
      <c r="FZ1072" s="13"/>
      <c r="GA1072" s="13"/>
    </row>
    <row r="1073" spans="1:183" s="56" customFormat="1" x14ac:dyDescent="0.25">
      <c r="A1073" s="2"/>
      <c r="B1073" s="2"/>
      <c r="C1073" s="9">
        <v>8</v>
      </c>
      <c r="D1073" s="9">
        <v>32</v>
      </c>
      <c r="E1073" s="9">
        <v>33</v>
      </c>
      <c r="F1073" s="9">
        <v>62</v>
      </c>
      <c r="G1073" s="9">
        <v>82</v>
      </c>
      <c r="H1073" s="9">
        <v>83</v>
      </c>
      <c r="I1073" s="43"/>
      <c r="J1073" s="9">
        <v>83</v>
      </c>
      <c r="K1073" s="43"/>
      <c r="L1073" s="39">
        <v>44205</v>
      </c>
      <c r="M1073" s="43"/>
      <c r="N1073"/>
      <c r="O1073"/>
      <c r="P1073"/>
      <c r="Q1073"/>
      <c r="R1073"/>
      <c r="S1073"/>
      <c r="T1073"/>
      <c r="U1073"/>
      <c r="V1073"/>
      <c r="W1073" s="52"/>
      <c r="X1073" s="43"/>
      <c r="Y1073"/>
      <c r="Z1073"/>
      <c r="AA1073"/>
      <c r="AB1073"/>
      <c r="AC1073"/>
      <c r="AD1073"/>
      <c r="AE1073"/>
      <c r="AF1073"/>
      <c r="AG1073"/>
      <c r="AH1073" s="52"/>
      <c r="AI1073" s="148"/>
      <c r="AJ1073" s="19"/>
      <c r="AK1073" s="19"/>
      <c r="AL1073" s="19"/>
      <c r="AM1073" s="19"/>
      <c r="AN1073" s="42"/>
      <c r="AO1073" s="54"/>
      <c r="AP1073" s="19"/>
      <c r="AR1073" s="74"/>
      <c r="AS1073" s="42"/>
      <c r="AT1073" s="54"/>
      <c r="AU1073" s="54"/>
      <c r="AV1073" s="19"/>
      <c r="AW1073" s="54"/>
      <c r="AX1073" s="57"/>
      <c r="AY1073" s="54"/>
      <c r="AZ1073" s="54"/>
      <c r="BA1073" s="54"/>
      <c r="BB1073" s="54"/>
      <c r="BC1073" s="57"/>
      <c r="BD1073" s="19"/>
      <c r="BE1073" s="19"/>
      <c r="BF1073" s="19"/>
      <c r="BG1073" s="54"/>
      <c r="BH1073" s="43"/>
      <c r="BI1073" s="54"/>
      <c r="BJ1073" s="55"/>
      <c r="BK1073" s="55"/>
      <c r="BL1073" s="54"/>
      <c r="BM1073" s="56">
        <v>4</v>
      </c>
      <c r="BO1073" s="52"/>
      <c r="BP1073" s="52"/>
      <c r="BQ1073" s="52"/>
      <c r="BR1073" s="52"/>
      <c r="BS1073" s="52"/>
      <c r="BT1073" s="52"/>
      <c r="BU1073" s="52"/>
      <c r="BV1073" s="52"/>
      <c r="BW1073" s="52"/>
      <c r="BX1073" s="52"/>
      <c r="BY1073" s="52"/>
      <c r="BZ1073" s="52"/>
      <c r="CA1073" s="52"/>
      <c r="CB1073" s="52"/>
      <c r="CC1073" s="52"/>
      <c r="CD1073" s="52"/>
      <c r="CE1073" s="52"/>
      <c r="CF1073" s="52"/>
      <c r="CG1073" s="52"/>
      <c r="CH1073" s="52"/>
      <c r="CI1073" s="52"/>
      <c r="CJ1073" s="52"/>
      <c r="CK1073" s="52"/>
      <c r="CL1073" s="52"/>
      <c r="CM1073" s="52"/>
      <c r="CN1073" s="52"/>
      <c r="CO1073" s="52"/>
      <c r="CP1073" s="52"/>
      <c r="CQ1073" s="52"/>
      <c r="CR1073" s="52"/>
      <c r="CS1073" s="52"/>
      <c r="CT1073" s="52"/>
      <c r="CU1073" s="52"/>
      <c r="CV1073" s="52"/>
      <c r="CW1073" s="52"/>
      <c r="CX1073" s="52"/>
      <c r="CY1073" s="52"/>
      <c r="CZ1073" s="52"/>
      <c r="DA1073" s="52"/>
      <c r="DB1073" s="52"/>
      <c r="DC1073" s="52"/>
      <c r="DD1073" s="52"/>
      <c r="DE1073" s="52"/>
      <c r="DF1073" s="52"/>
      <c r="DG1073" s="52"/>
      <c r="DH1073" s="52"/>
      <c r="DI1073" s="52"/>
      <c r="DJ1073" s="52"/>
      <c r="DK1073" s="52"/>
      <c r="DL1073" s="52"/>
      <c r="DM1073" s="52"/>
      <c r="DN1073" s="52"/>
      <c r="DO1073" s="52"/>
      <c r="DP1073" s="52"/>
      <c r="DQ1073" s="52"/>
      <c r="DR1073" s="52"/>
      <c r="DS1073" s="52"/>
      <c r="DT1073" s="52"/>
      <c r="DU1073" s="52"/>
      <c r="DV1073" s="52"/>
      <c r="DW1073" s="52"/>
      <c r="DX1073" s="52"/>
      <c r="DY1073" s="43"/>
      <c r="DZ1073"/>
      <c r="EA1073" s="19"/>
      <c r="EB1073" s="19"/>
      <c r="EC1073" s="9"/>
      <c r="ED1073" s="9"/>
      <c r="EE1073" s="9"/>
      <c r="EF1073" s="9"/>
      <c r="EG1073" s="9"/>
      <c r="EH1073" s="13"/>
      <c r="EI1073" s="13"/>
      <c r="EJ1073" s="13"/>
      <c r="EK1073" s="13"/>
      <c r="EL1073" s="13"/>
      <c r="EM1073" s="13"/>
      <c r="EN1073" s="13"/>
      <c r="EO1073" s="13"/>
      <c r="EP1073" s="13"/>
      <c r="EQ1073" s="13"/>
      <c r="ER1073" s="13"/>
      <c r="ES1073" s="13"/>
      <c r="ET1073" s="13"/>
      <c r="EU1073" s="13"/>
      <c r="EV1073" s="13"/>
      <c r="EW1073" s="13"/>
      <c r="EX1073" s="13"/>
      <c r="EY1073" s="13"/>
      <c r="EZ1073" s="13"/>
      <c r="FA1073" s="13"/>
      <c r="FB1073" s="13"/>
      <c r="FC1073" s="13"/>
      <c r="FD1073" s="13"/>
      <c r="FE1073" s="13"/>
      <c r="FF1073" s="13"/>
      <c r="FG1073" s="13"/>
      <c r="FH1073" s="13"/>
      <c r="FI1073" s="13"/>
      <c r="FJ1073" s="13"/>
      <c r="FK1073" s="13"/>
      <c r="FL1073" s="13"/>
      <c r="FM1073" s="13"/>
      <c r="FN1073" s="13"/>
      <c r="FO1073" s="13"/>
      <c r="FP1073" s="13"/>
      <c r="FQ1073" s="13"/>
      <c r="FR1073" s="13"/>
      <c r="FS1073" s="13"/>
      <c r="FT1073" s="13"/>
      <c r="FU1073" s="13"/>
      <c r="FV1073" s="13"/>
      <c r="FW1073" s="13"/>
      <c r="FX1073" s="13"/>
      <c r="FY1073" s="13"/>
      <c r="FZ1073" s="13"/>
      <c r="GA1073" s="13"/>
    </row>
    <row r="1074" spans="1:183" s="56" customFormat="1" x14ac:dyDescent="0.25">
      <c r="A1074" s="2"/>
      <c r="B1074" s="2"/>
      <c r="C1074" s="9">
        <v>1</v>
      </c>
      <c r="D1074" s="9">
        <v>32</v>
      </c>
      <c r="E1074" s="9">
        <v>60</v>
      </c>
      <c r="F1074" s="9">
        <v>62</v>
      </c>
      <c r="G1074" s="9">
        <v>63</v>
      </c>
      <c r="H1074" s="9">
        <v>74</v>
      </c>
      <c r="I1074" s="43"/>
      <c r="J1074" s="9">
        <v>74</v>
      </c>
      <c r="K1074" s="43"/>
      <c r="L1074" s="39">
        <v>44202</v>
      </c>
      <c r="M1074" s="43"/>
      <c r="N1074"/>
      <c r="O1074"/>
      <c r="P1074"/>
      <c r="Q1074"/>
      <c r="R1074"/>
      <c r="S1074"/>
      <c r="T1074"/>
      <c r="U1074"/>
      <c r="V1074"/>
      <c r="W1074" s="52"/>
      <c r="X1074" s="43"/>
      <c r="Y1074"/>
      <c r="Z1074"/>
      <c r="AA1074"/>
      <c r="AB1074"/>
      <c r="AC1074"/>
      <c r="AD1074"/>
      <c r="AE1074"/>
      <c r="AF1074"/>
      <c r="AG1074"/>
      <c r="AH1074" s="52"/>
      <c r="AI1074" s="148"/>
      <c r="AJ1074" s="19"/>
      <c r="AK1074" s="19"/>
      <c r="AL1074" s="19"/>
      <c r="AM1074" s="19"/>
      <c r="AN1074" s="42"/>
      <c r="AO1074" s="54"/>
      <c r="AP1074" s="19"/>
      <c r="AR1074" s="74"/>
      <c r="AS1074" s="42"/>
      <c r="AT1074" s="54"/>
      <c r="AU1074" s="54"/>
      <c r="AV1074" s="19"/>
      <c r="AW1074" s="54"/>
      <c r="AX1074" s="57"/>
      <c r="AY1074" s="54"/>
      <c r="AZ1074" s="54"/>
      <c r="BA1074" s="54"/>
      <c r="BB1074" s="54"/>
      <c r="BC1074" s="57"/>
      <c r="BD1074" s="19"/>
      <c r="BE1074" s="19"/>
      <c r="BF1074" s="19"/>
      <c r="BG1074" s="54"/>
      <c r="BH1074" s="43"/>
      <c r="BI1074" s="54"/>
      <c r="BJ1074" s="55"/>
      <c r="BK1074" s="55"/>
      <c r="BL1074" s="54"/>
      <c r="BM1074" s="56">
        <v>7</v>
      </c>
      <c r="BO1074" s="52"/>
      <c r="BP1074" s="52"/>
      <c r="BQ1074" s="52"/>
      <c r="BR1074" s="52"/>
      <c r="BS1074" s="52"/>
      <c r="BT1074" s="52"/>
      <c r="BU1074" s="52"/>
      <c r="BV1074" s="52"/>
      <c r="BW1074" s="52"/>
      <c r="BX1074" s="52"/>
      <c r="BY1074" s="52"/>
      <c r="BZ1074" s="52"/>
      <c r="CA1074" s="52"/>
      <c r="CB1074" s="52"/>
      <c r="CC1074" s="52"/>
      <c r="CD1074" s="52"/>
      <c r="CE1074" s="52"/>
      <c r="CF1074" s="52"/>
      <c r="CG1074" s="52"/>
      <c r="CH1074" s="52"/>
      <c r="CI1074" s="52"/>
      <c r="CJ1074" s="52"/>
      <c r="CK1074" s="52"/>
      <c r="CL1074" s="52"/>
      <c r="CM1074" s="52"/>
      <c r="CN1074" s="52"/>
      <c r="CO1074" s="52"/>
      <c r="CP1074" s="52"/>
      <c r="CQ1074" s="52"/>
      <c r="CR1074" s="52"/>
      <c r="CS1074" s="52"/>
      <c r="CT1074" s="52"/>
      <c r="CU1074" s="52"/>
      <c r="CV1074" s="52"/>
      <c r="CW1074" s="52"/>
      <c r="CX1074" s="52"/>
      <c r="CY1074" s="52"/>
      <c r="CZ1074" s="52"/>
      <c r="DA1074" s="52"/>
      <c r="DB1074" s="52"/>
      <c r="DC1074" s="52"/>
      <c r="DD1074" s="52"/>
      <c r="DE1074" s="52"/>
      <c r="DF1074" s="52"/>
      <c r="DG1074" s="52"/>
      <c r="DH1074" s="52"/>
      <c r="DI1074" s="52"/>
      <c r="DJ1074" s="52"/>
      <c r="DK1074" s="52"/>
      <c r="DL1074" s="52"/>
      <c r="DM1074" s="52"/>
      <c r="DN1074" s="52"/>
      <c r="DO1074" s="52"/>
      <c r="DP1074" s="52"/>
      <c r="DQ1074" s="52"/>
      <c r="DR1074" s="52"/>
      <c r="DS1074" s="52"/>
      <c r="DT1074" s="52"/>
      <c r="DU1074" s="52"/>
      <c r="DV1074" s="52"/>
      <c r="DW1074" s="52"/>
      <c r="DX1074" s="52"/>
      <c r="DY1074" s="43"/>
      <c r="DZ1074"/>
      <c r="EA1074" s="19"/>
      <c r="EB1074" s="19"/>
      <c r="EC1074" s="9"/>
      <c r="ED1074" s="9"/>
      <c r="EE1074" s="9"/>
      <c r="EF1074" s="9"/>
      <c r="EG1074" s="9"/>
      <c r="EH1074" s="13"/>
      <c r="EI1074" s="13"/>
      <c r="EJ1074" s="13"/>
      <c r="EK1074" s="13"/>
      <c r="EL1074" s="13"/>
      <c r="EM1074" s="13"/>
      <c r="EN1074" s="13"/>
      <c r="EO1074" s="13"/>
      <c r="EP1074" s="13"/>
      <c r="EQ1074" s="13"/>
      <c r="ER1074" s="13"/>
      <c r="ES1074" s="13"/>
      <c r="ET1074" s="13"/>
      <c r="EU1074" s="13"/>
      <c r="EV1074" s="13"/>
      <c r="EW1074" s="13"/>
      <c r="EX1074" s="13"/>
      <c r="EY1074" s="13"/>
      <c r="EZ1074" s="13"/>
      <c r="FA1074" s="13"/>
      <c r="FB1074" s="13"/>
      <c r="FC1074" s="13"/>
      <c r="FD1074" s="13"/>
      <c r="FE1074" s="13"/>
      <c r="FF1074" s="13"/>
      <c r="FG1074" s="13"/>
      <c r="FH1074" s="13"/>
      <c r="FI1074" s="13"/>
      <c r="FJ1074" s="13"/>
      <c r="FK1074" s="13"/>
      <c r="FL1074" s="13"/>
      <c r="FM1074" s="13"/>
      <c r="FN1074" s="13"/>
      <c r="FO1074" s="13"/>
      <c r="FP1074" s="13"/>
      <c r="FQ1074" s="13"/>
      <c r="FR1074" s="13"/>
      <c r="FS1074" s="13"/>
      <c r="FT1074" s="13"/>
      <c r="FU1074" s="13"/>
      <c r="FV1074" s="13"/>
      <c r="FW1074" s="13"/>
      <c r="FX1074" s="13"/>
      <c r="FY1074" s="13"/>
      <c r="FZ1074" s="13"/>
      <c r="GA1074" s="13"/>
    </row>
    <row r="1075" spans="1:183" s="56" customFormat="1" x14ac:dyDescent="0.25">
      <c r="A1075" s="2"/>
      <c r="B1075" s="2"/>
      <c r="C1075" s="9">
        <v>6</v>
      </c>
      <c r="D1075" s="9">
        <v>7</v>
      </c>
      <c r="E1075" s="9">
        <v>41</v>
      </c>
      <c r="F1075" s="9">
        <v>63</v>
      </c>
      <c r="G1075" s="9">
        <v>81</v>
      </c>
      <c r="H1075" s="9">
        <v>83</v>
      </c>
      <c r="I1075" s="43"/>
      <c r="J1075" s="9">
        <v>83</v>
      </c>
      <c r="K1075" s="43"/>
      <c r="L1075" s="39">
        <v>44200</v>
      </c>
      <c r="M1075" s="43"/>
      <c r="N1075"/>
      <c r="O1075"/>
      <c r="P1075"/>
      <c r="Q1075"/>
      <c r="R1075"/>
      <c r="S1075"/>
      <c r="T1075"/>
      <c r="U1075"/>
      <c r="V1075"/>
      <c r="W1075" s="52"/>
      <c r="X1075" s="43"/>
      <c r="Y1075"/>
      <c r="Z1075"/>
      <c r="AA1075"/>
      <c r="AB1075"/>
      <c r="AC1075"/>
      <c r="AD1075"/>
      <c r="AE1075"/>
      <c r="AF1075"/>
      <c r="AG1075"/>
      <c r="AH1075" s="52"/>
      <c r="AI1075" s="148"/>
      <c r="AJ1075" s="19"/>
      <c r="AK1075" s="19"/>
      <c r="AL1075" s="19"/>
      <c r="AM1075" s="19"/>
      <c r="AN1075" s="42"/>
      <c r="AO1075" s="54"/>
      <c r="AP1075" s="19"/>
      <c r="AR1075" s="74"/>
      <c r="AS1075" s="42"/>
      <c r="AT1075" s="54"/>
      <c r="AU1075" s="54"/>
      <c r="AV1075" s="19"/>
      <c r="AW1075" s="54"/>
      <c r="AX1075" s="57"/>
      <c r="AY1075" s="54"/>
      <c r="AZ1075" s="54"/>
      <c r="BA1075" s="54"/>
      <c r="BB1075" s="54"/>
      <c r="BC1075" s="57"/>
      <c r="BD1075" s="19"/>
      <c r="BE1075" s="19"/>
      <c r="BF1075" s="19"/>
      <c r="BG1075" s="54"/>
      <c r="BH1075" s="43"/>
      <c r="BI1075" s="54"/>
      <c r="BJ1075" s="55"/>
      <c r="BK1075" s="55"/>
      <c r="BL1075" s="54"/>
      <c r="BM1075" s="56">
        <v>10</v>
      </c>
      <c r="BO1075" s="52"/>
      <c r="BP1075" s="52"/>
      <c r="BQ1075" s="52"/>
      <c r="BR1075" s="52"/>
      <c r="BS1075" s="52"/>
      <c r="BT1075" s="52"/>
      <c r="BU1075" s="52"/>
      <c r="BV1075" s="52"/>
      <c r="BW1075" s="52"/>
      <c r="BX1075" s="52"/>
      <c r="BY1075" s="52"/>
      <c r="BZ1075" s="52"/>
      <c r="CA1075" s="52"/>
      <c r="CB1075" s="52"/>
      <c r="CC1075" s="52"/>
      <c r="CD1075" s="52"/>
      <c r="CE1075" s="52"/>
      <c r="CF1075" s="52"/>
      <c r="CG1075" s="52"/>
      <c r="CH1075" s="52"/>
      <c r="CI1075" s="52"/>
      <c r="CJ1075" s="52"/>
      <c r="CK1075" s="52"/>
      <c r="CL1075" s="52"/>
      <c r="CM1075" s="52"/>
      <c r="CN1075" s="52"/>
      <c r="CO1075" s="52"/>
      <c r="CP1075" s="52"/>
      <c r="CQ1075" s="52"/>
      <c r="CR1075" s="52"/>
      <c r="CS1075" s="52"/>
      <c r="CT1075" s="52"/>
      <c r="CU1075" s="52"/>
      <c r="CV1075" s="52"/>
      <c r="CW1075" s="52"/>
      <c r="CX1075" s="52"/>
      <c r="CY1075" s="52"/>
      <c r="CZ1075" s="52"/>
      <c r="DA1075" s="52"/>
      <c r="DB1075" s="52"/>
      <c r="DC1075" s="52"/>
      <c r="DD1075" s="52"/>
      <c r="DE1075" s="52"/>
      <c r="DF1075" s="52"/>
      <c r="DG1075" s="52"/>
      <c r="DH1075" s="52"/>
      <c r="DI1075" s="52"/>
      <c r="DJ1075" s="52"/>
      <c r="DK1075" s="52"/>
      <c r="DL1075" s="52"/>
      <c r="DM1075" s="52"/>
      <c r="DN1075" s="52"/>
      <c r="DO1075" s="52"/>
      <c r="DP1075" s="52"/>
      <c r="DQ1075" s="52"/>
      <c r="DR1075" s="52"/>
      <c r="DS1075" s="52"/>
      <c r="DT1075" s="52"/>
      <c r="DU1075" s="52"/>
      <c r="DV1075" s="52"/>
      <c r="DW1075" s="52"/>
      <c r="DX1075" s="52"/>
      <c r="DY1075" s="43"/>
      <c r="DZ1075"/>
      <c r="EA1075" s="19"/>
      <c r="EB1075" s="19"/>
      <c r="EC1075" s="9"/>
      <c r="ED1075" s="9"/>
      <c r="EE1075" s="9"/>
      <c r="EF1075" s="9"/>
      <c r="EG1075" s="9"/>
      <c r="EH1075" s="13"/>
      <c r="EI1075" s="13"/>
      <c r="EJ1075" s="13"/>
      <c r="EK1075" s="13"/>
      <c r="EL1075" s="13"/>
      <c r="EM1075" s="13"/>
      <c r="EN1075" s="13"/>
      <c r="EO1075" s="13"/>
      <c r="EP1075" s="13"/>
      <c r="EQ1075" s="13"/>
      <c r="ER1075" s="13"/>
      <c r="ES1075" s="13"/>
      <c r="ET1075" s="13"/>
      <c r="EU1075" s="13"/>
      <c r="EV1075" s="13"/>
      <c r="EW1075" s="13"/>
      <c r="EX1075" s="13"/>
      <c r="EY1075" s="13"/>
      <c r="EZ1075" s="13"/>
      <c r="FA1075" s="13"/>
      <c r="FB1075" s="13"/>
      <c r="FC1075" s="13"/>
      <c r="FD1075" s="13"/>
      <c r="FE1075" s="13"/>
      <c r="FF1075" s="13"/>
      <c r="FG1075" s="13"/>
      <c r="FH1075" s="13"/>
      <c r="FI1075" s="13"/>
      <c r="FJ1075" s="13"/>
      <c r="FK1075" s="13"/>
      <c r="FL1075" s="13"/>
      <c r="FM1075" s="13"/>
      <c r="FN1075" s="13"/>
      <c r="FO1075" s="13"/>
      <c r="FP1075" s="13"/>
      <c r="FQ1075" s="13"/>
      <c r="FR1075" s="13"/>
      <c r="FS1075" s="13"/>
      <c r="FT1075" s="13"/>
      <c r="FU1075" s="13"/>
      <c r="FV1075" s="13"/>
      <c r="FW1075" s="13"/>
      <c r="FX1075" s="13"/>
      <c r="FY1075" s="13"/>
      <c r="FZ1075" s="13"/>
      <c r="GA1075" s="13"/>
    </row>
    <row r="1076" spans="1:183" s="56" customFormat="1" x14ac:dyDescent="0.25">
      <c r="A1076" s="2"/>
      <c r="B1076" s="2"/>
      <c r="C1076" s="9">
        <v>3</v>
      </c>
      <c r="D1076" s="9">
        <v>7</v>
      </c>
      <c r="E1076" s="9">
        <v>9</v>
      </c>
      <c r="F1076" s="9">
        <v>22</v>
      </c>
      <c r="G1076" s="9">
        <v>27</v>
      </c>
      <c r="H1076" s="9">
        <v>70</v>
      </c>
      <c r="I1076" s="43"/>
      <c r="J1076" s="9">
        <v>70</v>
      </c>
      <c r="K1076" s="43"/>
      <c r="L1076" s="39">
        <v>44198</v>
      </c>
      <c r="M1076" s="43"/>
      <c r="N1076"/>
      <c r="O1076"/>
      <c r="P1076"/>
      <c r="Q1076"/>
      <c r="R1076"/>
      <c r="S1076"/>
      <c r="T1076"/>
      <c r="U1076"/>
      <c r="V1076"/>
      <c r="W1076" s="52"/>
      <c r="X1076" s="43"/>
      <c r="Y1076"/>
      <c r="Z1076"/>
      <c r="AA1076"/>
      <c r="AB1076"/>
      <c r="AC1076"/>
      <c r="AD1076"/>
      <c r="AE1076"/>
      <c r="AF1076"/>
      <c r="AG1076"/>
      <c r="AH1076" s="52"/>
      <c r="AI1076" s="148"/>
      <c r="AJ1076" s="19"/>
      <c r="AK1076" s="19"/>
      <c r="AL1076" s="19"/>
      <c r="AM1076" s="19"/>
      <c r="AN1076" s="42"/>
      <c r="AO1076" s="54"/>
      <c r="AP1076" s="19"/>
      <c r="AR1076" s="74"/>
      <c r="AS1076" s="42"/>
      <c r="AT1076" s="54"/>
      <c r="AU1076" s="54"/>
      <c r="AV1076" s="19"/>
      <c r="AW1076" s="54"/>
      <c r="AX1076" s="57"/>
      <c r="AY1076" s="54"/>
      <c r="AZ1076" s="54"/>
      <c r="BA1076" s="54"/>
      <c r="BB1076" s="54"/>
      <c r="BC1076" s="57"/>
      <c r="BD1076" s="19"/>
      <c r="BE1076" s="19"/>
      <c r="BF1076" s="19"/>
      <c r="BG1076" s="54"/>
      <c r="BH1076" s="43"/>
      <c r="BI1076" s="54"/>
      <c r="BJ1076" s="55"/>
      <c r="BK1076" s="55"/>
      <c r="BL1076" s="54"/>
      <c r="BM1076" s="56">
        <v>12</v>
      </c>
      <c r="BO1076" s="52"/>
      <c r="BP1076" s="52"/>
      <c r="BQ1076" s="52"/>
      <c r="BR1076" s="52"/>
      <c r="BS1076" s="52"/>
      <c r="BT1076" s="52"/>
      <c r="BU1076" s="52"/>
      <c r="BV1076" s="52"/>
      <c r="BW1076" s="52"/>
      <c r="BX1076" s="52"/>
      <c r="BY1076" s="52"/>
      <c r="BZ1076" s="52"/>
      <c r="CA1076" s="52"/>
      <c r="CB1076" s="52"/>
      <c r="CC1076" s="52"/>
      <c r="CD1076" s="52"/>
      <c r="CE1076" s="52"/>
      <c r="CF1076" s="52"/>
      <c r="CG1076" s="52"/>
      <c r="CH1076" s="52"/>
      <c r="CI1076" s="52"/>
      <c r="CJ1076" s="52"/>
      <c r="CK1076" s="52"/>
      <c r="CL1076" s="52"/>
      <c r="CM1076" s="52"/>
      <c r="CN1076" s="52"/>
      <c r="CO1076" s="52"/>
      <c r="CP1076" s="52"/>
      <c r="CQ1076" s="52"/>
      <c r="CR1076" s="52"/>
      <c r="CS1076" s="52"/>
      <c r="CT1076" s="52"/>
      <c r="CU1076" s="52"/>
      <c r="CV1076" s="52"/>
      <c r="CW1076" s="52"/>
      <c r="CX1076" s="52"/>
      <c r="CY1076" s="52"/>
      <c r="CZ1076" s="52"/>
      <c r="DA1076" s="52"/>
      <c r="DB1076" s="52"/>
      <c r="DC1076" s="52"/>
      <c r="DD1076" s="52"/>
      <c r="DE1076" s="52"/>
      <c r="DF1076" s="52"/>
      <c r="DG1076" s="52"/>
      <c r="DH1076" s="52"/>
      <c r="DI1076" s="52"/>
      <c r="DJ1076" s="52"/>
      <c r="DK1076" s="52"/>
      <c r="DL1076" s="52"/>
      <c r="DM1076" s="52"/>
      <c r="DN1076" s="52"/>
      <c r="DO1076" s="52"/>
      <c r="DP1076" s="52"/>
      <c r="DQ1076" s="52"/>
      <c r="DR1076" s="52"/>
      <c r="DS1076" s="52"/>
      <c r="DT1076" s="52"/>
      <c r="DU1076" s="52"/>
      <c r="DV1076" s="52"/>
      <c r="DW1076" s="52"/>
      <c r="DX1076" s="52"/>
      <c r="DY1076" s="43"/>
      <c r="DZ1076"/>
      <c r="EA1076" s="19"/>
      <c r="EB1076" s="19"/>
      <c r="EC1076" s="9"/>
      <c r="ED1076" s="9"/>
      <c r="EE1076" s="9"/>
      <c r="EF1076" s="9"/>
      <c r="EG1076" s="9"/>
      <c r="EH1076" s="13"/>
      <c r="EI1076" s="13"/>
      <c r="EJ1076" s="13"/>
      <c r="EK1076" s="13"/>
      <c r="EL1076" s="13"/>
      <c r="EM1076" s="13"/>
      <c r="EN1076" s="13"/>
      <c r="EO1076" s="13"/>
      <c r="EP1076" s="13"/>
      <c r="EQ1076" s="13"/>
      <c r="ER1076" s="13"/>
      <c r="ES1076" s="13"/>
      <c r="ET1076" s="13"/>
      <c r="EU1076" s="13"/>
      <c r="EV1076" s="13"/>
      <c r="EW1076" s="13"/>
      <c r="EX1076" s="13"/>
      <c r="EY1076" s="13"/>
      <c r="EZ1076" s="13"/>
      <c r="FA1076" s="13"/>
      <c r="FB1076" s="13"/>
      <c r="FC1076" s="13"/>
      <c r="FD1076" s="13"/>
      <c r="FE1076" s="13"/>
      <c r="FF1076" s="13"/>
      <c r="FG1076" s="13"/>
      <c r="FH1076" s="13"/>
      <c r="FI1076" s="13"/>
      <c r="FJ1076" s="13"/>
      <c r="FK1076" s="13"/>
      <c r="FL1076" s="13"/>
      <c r="FM1076" s="13"/>
      <c r="FN1076" s="13"/>
      <c r="FO1076" s="13"/>
      <c r="FP1076" s="13"/>
      <c r="FQ1076" s="13"/>
      <c r="FR1076" s="13"/>
      <c r="FS1076" s="13"/>
      <c r="FT1076" s="13"/>
      <c r="FU1076" s="13"/>
      <c r="FV1076" s="13"/>
      <c r="FW1076" s="13"/>
      <c r="FX1076" s="13"/>
      <c r="FY1076" s="13"/>
      <c r="FZ1076" s="13"/>
      <c r="GA1076" s="13"/>
    </row>
    <row r="1077" spans="1:183" s="56" customFormat="1" x14ac:dyDescent="0.25">
      <c r="A1077" s="2"/>
      <c r="B1077" s="2"/>
      <c r="C1077" s="9"/>
      <c r="D1077" s="9"/>
      <c r="E1077" s="9"/>
      <c r="F1077" s="9"/>
      <c r="G1077" s="9"/>
      <c r="H1077" s="9"/>
      <c r="I1077" s="43"/>
      <c r="J1077" s="9"/>
      <c r="K1077" s="43"/>
      <c r="L1077" s="39"/>
      <c r="M1077" s="43"/>
      <c r="N1077"/>
      <c r="O1077"/>
      <c r="P1077"/>
      <c r="Q1077"/>
      <c r="R1077"/>
      <c r="S1077"/>
      <c r="T1077"/>
      <c r="U1077"/>
      <c r="V1077"/>
      <c r="W1077" s="52"/>
      <c r="X1077" s="43"/>
      <c r="Y1077"/>
      <c r="Z1077"/>
      <c r="AA1077"/>
      <c r="AB1077"/>
      <c r="AC1077"/>
      <c r="AD1077"/>
      <c r="AE1077"/>
      <c r="AF1077"/>
      <c r="AG1077"/>
      <c r="AH1077" s="52"/>
      <c r="AI1077" s="148"/>
      <c r="AJ1077" s="19"/>
      <c r="AK1077" s="19"/>
      <c r="AL1077" s="19"/>
      <c r="AM1077" s="19"/>
      <c r="AN1077" s="42"/>
      <c r="AO1077" s="54"/>
      <c r="AP1077" s="19"/>
      <c r="AR1077" s="74"/>
      <c r="AS1077" s="42"/>
      <c r="AT1077" s="54"/>
      <c r="AU1077" s="54"/>
      <c r="AV1077" s="19"/>
      <c r="AW1077" s="54"/>
      <c r="AX1077" s="57"/>
      <c r="AY1077" s="54"/>
      <c r="AZ1077" s="54"/>
      <c r="BA1077" s="54"/>
      <c r="BB1077" s="54"/>
      <c r="BC1077" s="57"/>
      <c r="BD1077" s="19"/>
      <c r="BE1077" s="19"/>
      <c r="BF1077" s="19"/>
      <c r="BG1077" s="54"/>
      <c r="BH1077" s="43"/>
      <c r="BI1077" s="54"/>
      <c r="BJ1077" s="55"/>
      <c r="BK1077" s="55"/>
      <c r="BL1077" s="54"/>
      <c r="BM1077" s="56">
        <v>14</v>
      </c>
      <c r="BO1077" s="52"/>
      <c r="BP1077" s="52"/>
      <c r="BQ1077" s="52"/>
      <c r="BR1077" s="52"/>
      <c r="BS1077" s="52"/>
      <c r="BT1077" s="52"/>
      <c r="BU1077" s="52"/>
      <c r="BV1077" s="52"/>
      <c r="BW1077" s="52"/>
      <c r="BX1077" s="52"/>
      <c r="BY1077" s="52"/>
      <c r="BZ1077" s="52"/>
      <c r="CA1077" s="52"/>
      <c r="CB1077" s="52"/>
      <c r="CC1077" s="52"/>
      <c r="CD1077" s="52"/>
      <c r="CE1077" s="52"/>
      <c r="CF1077" s="52"/>
      <c r="CG1077" s="52"/>
      <c r="CH1077" s="52"/>
      <c r="CI1077" s="52"/>
      <c r="CJ1077" s="52"/>
      <c r="CK1077" s="52"/>
      <c r="CL1077" s="52"/>
      <c r="CM1077" s="52"/>
      <c r="CN1077" s="52"/>
      <c r="CO1077" s="52"/>
      <c r="CP1077" s="52"/>
      <c r="CQ1077" s="52"/>
      <c r="CR1077" s="52"/>
      <c r="CS1077" s="52"/>
      <c r="CT1077" s="52"/>
      <c r="CU1077" s="52"/>
      <c r="CV1077" s="52"/>
      <c r="CW1077" s="52"/>
      <c r="CX1077" s="52"/>
      <c r="CY1077" s="52"/>
      <c r="CZ1077" s="52"/>
      <c r="DA1077" s="52"/>
      <c r="DB1077" s="52"/>
      <c r="DC1077" s="52"/>
      <c r="DD1077" s="52"/>
      <c r="DE1077" s="52"/>
      <c r="DF1077" s="52"/>
      <c r="DG1077" s="52"/>
      <c r="DH1077" s="52"/>
      <c r="DI1077" s="52"/>
      <c r="DJ1077" s="52"/>
      <c r="DK1077" s="52"/>
      <c r="DL1077" s="52"/>
      <c r="DM1077" s="52"/>
      <c r="DN1077" s="52"/>
      <c r="DO1077" s="52"/>
      <c r="DP1077" s="52"/>
      <c r="DQ1077" s="52"/>
      <c r="DR1077" s="52"/>
      <c r="DS1077" s="52"/>
      <c r="DT1077" s="52"/>
      <c r="DU1077" s="52"/>
      <c r="DV1077" s="52"/>
      <c r="DW1077" s="52"/>
      <c r="DX1077" s="52"/>
      <c r="DY1077" s="43"/>
      <c r="DZ1077"/>
      <c r="EA1077" s="19"/>
      <c r="EB1077" s="19"/>
      <c r="EC1077" s="9"/>
      <c r="ED1077" s="9"/>
      <c r="EE1077" s="9"/>
      <c r="EF1077" s="9"/>
      <c r="EG1077" s="9"/>
      <c r="EH1077" s="13"/>
      <c r="EI1077" s="13"/>
      <c r="EJ1077" s="13"/>
      <c r="EK1077" s="13"/>
      <c r="EL1077" s="13"/>
      <c r="EM1077" s="13"/>
      <c r="EN1077" s="13"/>
      <c r="EO1077" s="13"/>
      <c r="EP1077" s="13"/>
      <c r="EQ1077" s="13"/>
      <c r="ER1077" s="13"/>
      <c r="ES1077" s="13"/>
      <c r="ET1077" s="13"/>
      <c r="EU1077" s="13"/>
      <c r="EV1077" s="13"/>
      <c r="EW1077" s="13"/>
      <c r="EX1077" s="13"/>
      <c r="EY1077" s="13"/>
      <c r="EZ1077" s="13"/>
      <c r="FA1077" s="13"/>
      <c r="FB1077" s="13"/>
      <c r="FC1077" s="13"/>
      <c r="FD1077" s="13"/>
      <c r="FE1077" s="13"/>
      <c r="FF1077" s="13"/>
      <c r="FG1077" s="13"/>
      <c r="FH1077" s="13"/>
      <c r="FI1077" s="13"/>
      <c r="FJ1077" s="13"/>
      <c r="FK1077" s="13"/>
      <c r="FL1077" s="13"/>
      <c r="FM1077" s="13"/>
      <c r="FN1077" s="13"/>
      <c r="FO1077" s="13"/>
      <c r="FP1077" s="13"/>
      <c r="FQ1077" s="13"/>
      <c r="FR1077" s="13"/>
      <c r="FS1077" s="13"/>
      <c r="FT1077" s="13"/>
      <c r="FU1077" s="13"/>
      <c r="FV1077" s="13"/>
      <c r="FW1077" s="13"/>
      <c r="FX1077" s="13"/>
      <c r="FY1077" s="13"/>
      <c r="FZ1077" s="13"/>
      <c r="GA1077" s="13"/>
    </row>
    <row r="1078" spans="1:183" s="56" customFormat="1" x14ac:dyDescent="0.25">
      <c r="A1078" s="2"/>
      <c r="B1078" s="2"/>
      <c r="C1078" s="9"/>
      <c r="D1078" s="9"/>
      <c r="E1078" s="9"/>
      <c r="F1078" s="9"/>
      <c r="G1078" s="9"/>
      <c r="H1078" s="9"/>
      <c r="I1078" s="43"/>
      <c r="J1078" s="9"/>
      <c r="K1078" s="43"/>
      <c r="L1078" s="39"/>
      <c r="M1078" s="43"/>
      <c r="N1078"/>
      <c r="O1078"/>
      <c r="P1078"/>
      <c r="Q1078"/>
      <c r="R1078"/>
      <c r="S1078"/>
      <c r="T1078"/>
      <c r="U1078"/>
      <c r="V1078"/>
      <c r="W1078" s="52"/>
      <c r="X1078" s="43"/>
      <c r="Y1078"/>
      <c r="Z1078"/>
      <c r="AA1078"/>
      <c r="AB1078"/>
      <c r="AC1078"/>
      <c r="AD1078"/>
      <c r="AE1078"/>
      <c r="AF1078"/>
      <c r="AG1078"/>
      <c r="AH1078" s="52"/>
      <c r="AI1078" s="148"/>
      <c r="AJ1078" s="19"/>
      <c r="AK1078" s="19"/>
      <c r="AL1078" s="19"/>
      <c r="AM1078" s="19"/>
      <c r="AN1078" s="42"/>
      <c r="AO1078" s="54"/>
      <c r="AP1078" s="19"/>
      <c r="AR1078" s="74"/>
      <c r="AS1078" s="42"/>
      <c r="AT1078" s="54"/>
      <c r="AU1078" s="54"/>
      <c r="AV1078" s="19"/>
      <c r="AW1078" s="54"/>
      <c r="AX1078" s="57"/>
      <c r="AY1078" s="54"/>
      <c r="AZ1078" s="54"/>
      <c r="BA1078" s="54"/>
      <c r="BB1078" s="54"/>
      <c r="BC1078" s="57"/>
      <c r="BD1078" s="19"/>
      <c r="BE1078" s="19"/>
      <c r="BF1078" s="19"/>
      <c r="BG1078" s="54"/>
      <c r="BH1078" s="43"/>
      <c r="BI1078" s="54"/>
      <c r="BJ1078" s="55"/>
      <c r="BK1078" s="55"/>
      <c r="BL1078" s="54"/>
      <c r="BM1078" s="56">
        <v>18</v>
      </c>
      <c r="BO1078" s="52"/>
      <c r="BP1078" s="52"/>
      <c r="BQ1078" s="52"/>
      <c r="BR1078" s="52"/>
      <c r="BS1078" s="52"/>
      <c r="BT1078" s="52"/>
      <c r="BU1078" s="52"/>
      <c r="BV1078" s="52"/>
      <c r="BW1078" s="52"/>
      <c r="BX1078" s="52"/>
      <c r="BY1078" s="52"/>
      <c r="BZ1078" s="52"/>
      <c r="CA1078" s="52"/>
      <c r="CB1078" s="52"/>
      <c r="CC1078" s="52"/>
      <c r="CD1078" s="52"/>
      <c r="CE1078" s="52"/>
      <c r="CF1078" s="52"/>
      <c r="CG1078" s="52"/>
      <c r="CH1078" s="52"/>
      <c r="CI1078" s="52"/>
      <c r="CJ1078" s="52"/>
      <c r="CK1078" s="52"/>
      <c r="CL1078" s="52"/>
      <c r="CM1078" s="52"/>
      <c r="CN1078" s="52"/>
      <c r="CO1078" s="52"/>
      <c r="CP1078" s="52"/>
      <c r="CQ1078" s="52"/>
      <c r="CR1078" s="52"/>
      <c r="CS1078" s="52"/>
      <c r="CT1078" s="52"/>
      <c r="CU1078" s="52"/>
      <c r="CV1078" s="52"/>
      <c r="CW1078" s="52"/>
      <c r="CX1078" s="52"/>
      <c r="CY1078" s="52"/>
      <c r="CZ1078" s="52"/>
      <c r="DA1078" s="52"/>
      <c r="DB1078" s="52"/>
      <c r="DC1078" s="52"/>
      <c r="DD1078" s="52"/>
      <c r="DE1078" s="52"/>
      <c r="DF1078" s="52"/>
      <c r="DG1078" s="52"/>
      <c r="DH1078" s="52"/>
      <c r="DI1078" s="52"/>
      <c r="DJ1078" s="52"/>
      <c r="DK1078" s="52"/>
      <c r="DL1078" s="52"/>
      <c r="DM1078" s="52"/>
      <c r="DN1078" s="52"/>
      <c r="DO1078" s="52"/>
      <c r="DP1078" s="52"/>
      <c r="DQ1078" s="52"/>
      <c r="DR1078" s="52"/>
      <c r="DS1078" s="52"/>
      <c r="DT1078" s="52"/>
      <c r="DU1078" s="52"/>
      <c r="DV1078" s="52"/>
      <c r="DW1078" s="52"/>
      <c r="DX1078" s="52"/>
      <c r="DY1078" s="43"/>
      <c r="DZ1078"/>
      <c r="EA1078" s="19"/>
      <c r="EB1078" s="19"/>
      <c r="EC1078" s="9"/>
      <c r="ED1078" s="9"/>
      <c r="EE1078" s="9"/>
      <c r="EF1078" s="9"/>
      <c r="EG1078" s="9"/>
      <c r="EH1078" s="13"/>
      <c r="EI1078" s="13"/>
      <c r="EJ1078" s="13"/>
      <c r="EK1078" s="13"/>
      <c r="EL1078" s="13"/>
      <c r="EM1078" s="13"/>
      <c r="EN1078" s="13"/>
      <c r="EO1078" s="13"/>
      <c r="EP1078" s="13"/>
      <c r="EQ1078" s="13"/>
      <c r="ER1078" s="13"/>
      <c r="ES1078" s="13"/>
      <c r="ET1078" s="13"/>
      <c r="EU1078" s="13"/>
      <c r="EV1078" s="13"/>
      <c r="EW1078" s="13"/>
      <c r="EX1078" s="13"/>
      <c r="EY1078" s="13"/>
      <c r="EZ1078" s="13"/>
      <c r="FA1078" s="13"/>
      <c r="FB1078" s="13"/>
      <c r="FC1078" s="13"/>
      <c r="FD1078" s="13"/>
      <c r="FE1078" s="13"/>
      <c r="FF1078" s="13"/>
      <c r="FG1078" s="13"/>
      <c r="FH1078" s="13"/>
      <c r="FI1078" s="13"/>
      <c r="FJ1078" s="13"/>
      <c r="FK1078" s="13"/>
      <c r="FL1078" s="13"/>
      <c r="FM1078" s="13"/>
      <c r="FN1078" s="13"/>
      <c r="FO1078" s="13"/>
      <c r="FP1078" s="13"/>
      <c r="FQ1078" s="13"/>
      <c r="FR1078" s="13"/>
      <c r="FS1078" s="13"/>
      <c r="FT1078" s="13"/>
      <c r="FU1078" s="13"/>
      <c r="FV1078" s="13"/>
      <c r="FW1078" s="13"/>
      <c r="FX1078" s="13"/>
      <c r="FY1078" s="13"/>
      <c r="FZ1078" s="13"/>
      <c r="GA1078" s="13"/>
    </row>
    <row r="1079" spans="1:183" s="56" customFormat="1" x14ac:dyDescent="0.25">
      <c r="A1079" s="2"/>
      <c r="B1079" s="2"/>
      <c r="C1079" s="9"/>
      <c r="D1079" s="9"/>
      <c r="E1079" s="9"/>
      <c r="F1079" s="9"/>
      <c r="G1079" s="9"/>
      <c r="H1079" s="9"/>
      <c r="I1079" s="43"/>
      <c r="J1079" s="9"/>
      <c r="K1079" s="43"/>
      <c r="L1079" s="39"/>
      <c r="M1079" s="43"/>
      <c r="N1079"/>
      <c r="O1079"/>
      <c r="P1079"/>
      <c r="Q1079"/>
      <c r="R1079"/>
      <c r="S1079"/>
      <c r="T1079"/>
      <c r="U1079"/>
      <c r="V1079"/>
      <c r="W1079" s="52"/>
      <c r="X1079" s="43"/>
      <c r="Y1079"/>
      <c r="Z1079"/>
      <c r="AA1079"/>
      <c r="AB1079"/>
      <c r="AC1079"/>
      <c r="AD1079"/>
      <c r="AE1079"/>
      <c r="AF1079"/>
      <c r="AG1079"/>
      <c r="AH1079" s="52"/>
      <c r="AI1079" s="148"/>
      <c r="AJ1079" s="19"/>
      <c r="AK1079" s="19"/>
      <c r="AL1079" s="19"/>
      <c r="AM1079" s="19"/>
      <c r="AN1079" s="42"/>
      <c r="AO1079" s="54"/>
      <c r="AP1079" s="19"/>
      <c r="AR1079" s="74"/>
      <c r="AS1079" s="42"/>
      <c r="AT1079" s="54"/>
      <c r="AU1079" s="54"/>
      <c r="AV1079" s="19"/>
      <c r="AW1079" s="54"/>
      <c r="AX1079" s="57"/>
      <c r="AY1079" s="54"/>
      <c r="AZ1079" s="54"/>
      <c r="BA1079" s="54"/>
      <c r="BB1079" s="54"/>
      <c r="BC1079" s="57"/>
      <c r="BD1079" s="19"/>
      <c r="BE1079" s="19"/>
      <c r="BF1079" s="19"/>
      <c r="BG1079" s="54"/>
      <c r="BH1079" s="43"/>
      <c r="BI1079" s="54"/>
      <c r="BJ1079" s="55"/>
      <c r="BK1079" s="55"/>
      <c r="BL1079" s="54"/>
      <c r="BM1079" s="56">
        <v>21</v>
      </c>
      <c r="BO1079" s="52"/>
      <c r="BP1079" s="52"/>
      <c r="BQ1079" s="52"/>
      <c r="BR1079" s="52"/>
      <c r="BS1079" s="52"/>
      <c r="BT1079" s="52"/>
      <c r="BU1079" s="52"/>
      <c r="BV1079" s="52"/>
      <c r="BW1079" s="52"/>
      <c r="BX1079" s="52"/>
      <c r="BY1079" s="52"/>
      <c r="BZ1079" s="52"/>
      <c r="CA1079" s="52"/>
      <c r="CB1079" s="52"/>
      <c r="CC1079" s="52"/>
      <c r="CD1079" s="52"/>
      <c r="CE1079" s="52"/>
      <c r="CF1079" s="52"/>
      <c r="CG1079" s="52"/>
      <c r="CH1079" s="52"/>
      <c r="CI1079" s="52"/>
      <c r="CJ1079" s="52"/>
      <c r="CK1079" s="52"/>
      <c r="CL1079" s="52"/>
      <c r="CM1079" s="52"/>
      <c r="CN1079" s="52"/>
      <c r="CO1079" s="52"/>
      <c r="CP1079" s="52"/>
      <c r="CQ1079" s="52"/>
      <c r="CR1079" s="52"/>
      <c r="CS1079" s="52"/>
      <c r="CT1079" s="52"/>
      <c r="CU1079" s="52"/>
      <c r="CV1079" s="52"/>
      <c r="CW1079" s="52"/>
      <c r="CX1079" s="52"/>
      <c r="CY1079" s="52"/>
      <c r="CZ1079" s="52"/>
      <c r="DA1079" s="52"/>
      <c r="DB1079" s="52"/>
      <c r="DC1079" s="52"/>
      <c r="DD1079" s="52"/>
      <c r="DE1079" s="52"/>
      <c r="DF1079" s="52"/>
      <c r="DG1079" s="52"/>
      <c r="DH1079" s="52"/>
      <c r="DI1079" s="52"/>
      <c r="DJ1079" s="52"/>
      <c r="DK1079" s="52"/>
      <c r="DL1079" s="52"/>
      <c r="DM1079" s="52"/>
      <c r="DN1079" s="52"/>
      <c r="DO1079" s="52"/>
      <c r="DP1079" s="52"/>
      <c r="DQ1079" s="52"/>
      <c r="DR1079" s="52"/>
      <c r="DS1079" s="52"/>
      <c r="DT1079" s="52"/>
      <c r="DU1079" s="52"/>
      <c r="DV1079" s="52"/>
      <c r="DW1079" s="52"/>
      <c r="DX1079" s="52"/>
      <c r="DY1079" s="43"/>
      <c r="DZ1079"/>
      <c r="EA1079" s="19"/>
      <c r="EB1079" s="19"/>
      <c r="EC1079" s="9"/>
      <c r="ED1079" s="9"/>
      <c r="EE1079" s="9"/>
      <c r="EF1079" s="9"/>
      <c r="EG1079" s="9"/>
      <c r="EH1079" s="13"/>
      <c r="EI1079" s="13"/>
      <c r="EJ1079" s="13"/>
      <c r="EK1079" s="13"/>
      <c r="EL1079" s="13"/>
      <c r="EM1079" s="13"/>
      <c r="EN1079" s="13"/>
      <c r="EO1079" s="13"/>
      <c r="EP1079" s="13"/>
      <c r="EQ1079" s="13"/>
      <c r="ER1079" s="13"/>
      <c r="ES1079" s="13"/>
      <c r="ET1079" s="13"/>
      <c r="EU1079" s="13"/>
      <c r="EV1079" s="13"/>
      <c r="EW1079" s="13"/>
      <c r="EX1079" s="13"/>
      <c r="EY1079" s="13"/>
      <c r="EZ1079" s="13"/>
      <c r="FA1079" s="13"/>
      <c r="FB1079" s="13"/>
      <c r="FC1079" s="13"/>
      <c r="FD1079" s="13"/>
      <c r="FE1079" s="13"/>
      <c r="FF1079" s="13"/>
      <c r="FG1079" s="13"/>
      <c r="FH1079" s="13"/>
      <c r="FI1079" s="13"/>
      <c r="FJ1079" s="13"/>
      <c r="FK1079" s="13"/>
      <c r="FL1079" s="13"/>
      <c r="FM1079" s="13"/>
      <c r="FN1079" s="13"/>
      <c r="FO1079" s="13"/>
      <c r="FP1079" s="13"/>
      <c r="FQ1079" s="13"/>
      <c r="FR1079" s="13"/>
      <c r="FS1079" s="13"/>
      <c r="FT1079" s="13"/>
      <c r="FU1079" s="13"/>
      <c r="FV1079" s="13"/>
      <c r="FW1079" s="13"/>
      <c r="FX1079" s="13"/>
      <c r="FY1079" s="13"/>
      <c r="FZ1079" s="13"/>
      <c r="GA1079" s="13"/>
    </row>
    <row r="1080" spans="1:183" s="56" customFormat="1" x14ac:dyDescent="0.25">
      <c r="A1080" s="2"/>
      <c r="B1080" s="2"/>
      <c r="C1080" s="9"/>
      <c r="D1080" s="9"/>
      <c r="E1080" s="9"/>
      <c r="F1080" s="9"/>
      <c r="G1080" s="9"/>
      <c r="H1080" s="9"/>
      <c r="I1080" s="43"/>
      <c r="J1080" s="9"/>
      <c r="K1080" s="43"/>
      <c r="L1080" s="39"/>
      <c r="M1080" s="43"/>
      <c r="N1080"/>
      <c r="O1080"/>
      <c r="P1080"/>
      <c r="Q1080"/>
      <c r="R1080"/>
      <c r="S1080"/>
      <c r="T1080"/>
      <c r="U1080"/>
      <c r="V1080"/>
      <c r="W1080" s="52"/>
      <c r="X1080" s="43"/>
      <c r="Y1080"/>
      <c r="Z1080"/>
      <c r="AA1080"/>
      <c r="AB1080"/>
      <c r="AC1080"/>
      <c r="AD1080"/>
      <c r="AE1080"/>
      <c r="AF1080"/>
      <c r="AG1080"/>
      <c r="AH1080" s="52"/>
      <c r="AI1080" s="148"/>
      <c r="AJ1080" s="19"/>
      <c r="AK1080" s="19"/>
      <c r="AL1080" s="19"/>
      <c r="AM1080" s="19"/>
      <c r="AN1080" s="42"/>
      <c r="AO1080" s="54"/>
      <c r="AP1080" s="19"/>
      <c r="AR1080" s="74"/>
      <c r="AS1080" s="42"/>
      <c r="AT1080" s="54"/>
      <c r="AU1080" s="54"/>
      <c r="AV1080" s="19"/>
      <c r="AW1080" s="54"/>
      <c r="AX1080" s="57"/>
      <c r="AY1080" s="54"/>
      <c r="AZ1080" s="54"/>
      <c r="BA1080" s="54"/>
      <c r="BB1080" s="54"/>
      <c r="BC1080" s="57"/>
      <c r="BD1080" s="19"/>
      <c r="BE1080" s="19"/>
      <c r="BF1080" s="19"/>
      <c r="BG1080" s="54"/>
      <c r="BH1080" s="43"/>
      <c r="BI1080" s="54"/>
      <c r="BJ1080" s="55"/>
      <c r="BK1080" s="55"/>
      <c r="BL1080" s="54"/>
      <c r="BM1080" s="56">
        <v>22</v>
      </c>
      <c r="BO1080" s="52"/>
      <c r="BP1080" s="52"/>
      <c r="BQ1080" s="52"/>
      <c r="BR1080" s="52"/>
      <c r="BS1080" s="52"/>
      <c r="BT1080" s="52"/>
      <c r="BU1080" s="52"/>
      <c r="BV1080" s="52"/>
      <c r="BW1080" s="52"/>
      <c r="BX1080" s="52"/>
      <c r="BY1080" s="52"/>
      <c r="BZ1080" s="52"/>
      <c r="CA1080" s="52"/>
      <c r="CB1080" s="52"/>
      <c r="CC1080" s="52"/>
      <c r="CD1080" s="52"/>
      <c r="CE1080" s="52"/>
      <c r="CF1080" s="52"/>
      <c r="CG1080" s="52"/>
      <c r="CH1080" s="52"/>
      <c r="CI1080" s="52"/>
      <c r="CJ1080" s="52"/>
      <c r="CK1080" s="52"/>
      <c r="CL1080" s="52"/>
      <c r="CM1080" s="52"/>
      <c r="CN1080" s="52"/>
      <c r="CO1080" s="52"/>
      <c r="CP1080" s="52"/>
      <c r="CQ1080" s="52"/>
      <c r="CR1080" s="52"/>
      <c r="CS1080" s="52"/>
      <c r="CT1080" s="52"/>
      <c r="CU1080" s="52"/>
      <c r="CV1080" s="52"/>
      <c r="CW1080" s="52"/>
      <c r="CX1080" s="52"/>
      <c r="CY1080" s="52"/>
      <c r="CZ1080" s="52"/>
      <c r="DA1080" s="52"/>
      <c r="DB1080" s="52"/>
      <c r="DC1080" s="52"/>
      <c r="DD1080" s="52"/>
      <c r="DE1080" s="52"/>
      <c r="DF1080" s="52"/>
      <c r="DG1080" s="52"/>
      <c r="DH1080" s="52"/>
      <c r="DI1080" s="52"/>
      <c r="DJ1080" s="52"/>
      <c r="DK1080" s="52"/>
      <c r="DL1080" s="52"/>
      <c r="DM1080" s="52"/>
      <c r="DN1080" s="52"/>
      <c r="DO1080" s="52"/>
      <c r="DP1080" s="52"/>
      <c r="DQ1080" s="52"/>
      <c r="DR1080" s="52"/>
      <c r="DS1080" s="52"/>
      <c r="DT1080" s="52"/>
      <c r="DU1080" s="52"/>
      <c r="DV1080" s="52"/>
      <c r="DW1080" s="52"/>
      <c r="DX1080" s="52"/>
      <c r="DY1080" s="43"/>
      <c r="DZ1080"/>
      <c r="EA1080" s="19"/>
      <c r="EB1080" s="19"/>
      <c r="EC1080" s="9"/>
      <c r="ED1080" s="9"/>
      <c r="EE1080" s="9"/>
      <c r="EF1080" s="9"/>
      <c r="EG1080" s="9"/>
      <c r="EH1080" s="13"/>
      <c r="EI1080" s="13"/>
      <c r="EJ1080" s="13"/>
      <c r="EK1080" s="13"/>
      <c r="EL1080" s="13"/>
      <c r="EM1080" s="13"/>
      <c r="EN1080" s="13"/>
      <c r="EO1080" s="13"/>
      <c r="EP1080" s="13"/>
      <c r="EQ1080" s="13"/>
      <c r="ER1080" s="13"/>
      <c r="ES1080" s="13"/>
      <c r="ET1080" s="13"/>
      <c r="EU1080" s="13"/>
      <c r="EV1080" s="13"/>
      <c r="EW1080" s="13"/>
      <c r="EX1080" s="13"/>
      <c r="EY1080" s="13"/>
      <c r="EZ1080" s="13"/>
      <c r="FA1080" s="13"/>
      <c r="FB1080" s="13"/>
      <c r="FC1080" s="13"/>
      <c r="FD1080" s="13"/>
      <c r="FE1080" s="13"/>
      <c r="FF1080" s="13"/>
      <c r="FG1080" s="13"/>
      <c r="FH1080" s="13"/>
      <c r="FI1080" s="13"/>
      <c r="FJ1080" s="13"/>
      <c r="FK1080" s="13"/>
      <c r="FL1080" s="13"/>
      <c r="FM1080" s="13"/>
      <c r="FN1080" s="13"/>
      <c r="FO1080" s="13"/>
      <c r="FP1080" s="13"/>
      <c r="FQ1080" s="13"/>
      <c r="FR1080" s="13"/>
      <c r="FS1080" s="13"/>
      <c r="FT1080" s="13"/>
      <c r="FU1080" s="13"/>
      <c r="FV1080" s="13"/>
      <c r="FW1080" s="13"/>
      <c r="FX1080" s="13"/>
      <c r="FY1080" s="13"/>
      <c r="FZ1080" s="13"/>
      <c r="GA1080" s="13"/>
    </row>
    <row r="1081" spans="1:183" s="56" customFormat="1" x14ac:dyDescent="0.25">
      <c r="A1081" s="2"/>
      <c r="B1081" s="2"/>
      <c r="C1081" s="9"/>
      <c r="D1081" s="9"/>
      <c r="E1081" s="9"/>
      <c r="F1081" s="9"/>
      <c r="G1081" s="9"/>
      <c r="H1081" s="9"/>
      <c r="I1081" s="43"/>
      <c r="J1081" s="9"/>
      <c r="K1081" s="43"/>
      <c r="L1081" s="39"/>
      <c r="M1081" s="43"/>
      <c r="N1081"/>
      <c r="O1081"/>
      <c r="P1081"/>
      <c r="Q1081"/>
      <c r="R1081"/>
      <c r="S1081"/>
      <c r="T1081"/>
      <c r="U1081"/>
      <c r="V1081"/>
      <c r="W1081" s="52"/>
      <c r="X1081" s="43"/>
      <c r="Y1081"/>
      <c r="Z1081"/>
      <c r="AA1081"/>
      <c r="AB1081"/>
      <c r="AC1081"/>
      <c r="AD1081"/>
      <c r="AE1081"/>
      <c r="AF1081"/>
      <c r="AG1081"/>
      <c r="AH1081" s="52"/>
      <c r="AI1081" s="148"/>
      <c r="AJ1081" s="19"/>
      <c r="AK1081" s="19"/>
      <c r="AL1081" s="19"/>
      <c r="AM1081" s="19"/>
      <c r="AN1081" s="42"/>
      <c r="AO1081" s="54"/>
      <c r="AP1081" s="19"/>
      <c r="AR1081" s="74"/>
      <c r="AS1081" s="42"/>
      <c r="AT1081" s="54"/>
      <c r="AU1081" s="54"/>
      <c r="AV1081" s="19"/>
      <c r="AW1081" s="54"/>
      <c r="AX1081" s="57"/>
      <c r="AY1081" s="54"/>
      <c r="AZ1081" s="54"/>
      <c r="BA1081" s="54"/>
      <c r="BB1081" s="54"/>
      <c r="BC1081" s="57"/>
      <c r="BD1081" s="19"/>
      <c r="BE1081" s="19"/>
      <c r="BF1081" s="19"/>
      <c r="BG1081" s="54"/>
      <c r="BH1081" s="43"/>
      <c r="BI1081" s="54"/>
      <c r="BJ1081" s="55"/>
      <c r="BK1081" s="55"/>
      <c r="BL1081" s="54"/>
      <c r="BM1081" s="56">
        <v>23</v>
      </c>
      <c r="BO1081" s="52"/>
      <c r="BP1081" s="52"/>
      <c r="BQ1081" s="52"/>
      <c r="BR1081" s="52"/>
      <c r="BS1081" s="52"/>
      <c r="BT1081" s="52"/>
      <c r="BU1081" s="52"/>
      <c r="BV1081" s="52"/>
      <c r="BW1081" s="52"/>
      <c r="BX1081" s="52"/>
      <c r="BY1081" s="52"/>
      <c r="BZ1081" s="52"/>
      <c r="CA1081" s="52"/>
      <c r="CB1081" s="52"/>
      <c r="CC1081" s="52"/>
      <c r="CD1081" s="52"/>
      <c r="CE1081" s="52"/>
      <c r="CF1081" s="52"/>
      <c r="CG1081" s="52"/>
      <c r="CH1081" s="52"/>
      <c r="CI1081" s="52"/>
      <c r="CJ1081" s="52"/>
      <c r="CK1081" s="52"/>
      <c r="CL1081" s="52"/>
      <c r="CM1081" s="52"/>
      <c r="CN1081" s="52"/>
      <c r="CO1081" s="52"/>
      <c r="CP1081" s="52"/>
      <c r="CQ1081" s="52"/>
      <c r="CR1081" s="52"/>
      <c r="CS1081" s="52"/>
      <c r="CT1081" s="52"/>
      <c r="CU1081" s="52"/>
      <c r="CV1081" s="52"/>
      <c r="CW1081" s="52"/>
      <c r="CX1081" s="52"/>
      <c r="CY1081" s="52"/>
      <c r="CZ1081" s="52"/>
      <c r="DA1081" s="52"/>
      <c r="DB1081" s="52"/>
      <c r="DC1081" s="52"/>
      <c r="DD1081" s="52"/>
      <c r="DE1081" s="52"/>
      <c r="DF1081" s="52"/>
      <c r="DG1081" s="52"/>
      <c r="DH1081" s="52"/>
      <c r="DI1081" s="52"/>
      <c r="DJ1081" s="52"/>
      <c r="DK1081" s="52"/>
      <c r="DL1081" s="52"/>
      <c r="DM1081" s="52"/>
      <c r="DN1081" s="52"/>
      <c r="DO1081" s="52"/>
      <c r="DP1081" s="52"/>
      <c r="DQ1081" s="52"/>
      <c r="DR1081" s="52"/>
      <c r="DS1081" s="52"/>
      <c r="DT1081" s="52"/>
      <c r="DU1081" s="52"/>
      <c r="DV1081" s="52"/>
      <c r="DW1081" s="52"/>
      <c r="DX1081" s="52"/>
      <c r="DY1081" s="43"/>
      <c r="DZ1081"/>
      <c r="EA1081" s="19"/>
      <c r="EB1081" s="19"/>
      <c r="EC1081" s="9"/>
      <c r="ED1081" s="9"/>
      <c r="EE1081" s="9"/>
      <c r="EF1081" s="9"/>
      <c r="EG1081" s="9"/>
      <c r="EH1081" s="13"/>
      <c r="EI1081" s="13"/>
      <c r="EJ1081" s="13"/>
      <c r="EK1081" s="13"/>
      <c r="EL1081" s="13"/>
      <c r="EM1081" s="13"/>
      <c r="EN1081" s="13"/>
      <c r="EO1081" s="13"/>
      <c r="EP1081" s="13"/>
      <c r="EQ1081" s="13"/>
      <c r="ER1081" s="13"/>
      <c r="ES1081" s="13"/>
      <c r="ET1081" s="13"/>
      <c r="EU1081" s="13"/>
      <c r="EV1081" s="13"/>
      <c r="EW1081" s="13"/>
      <c r="EX1081" s="13"/>
      <c r="EY1081" s="13"/>
      <c r="EZ1081" s="13"/>
      <c r="FA1081" s="13"/>
      <c r="FB1081" s="13"/>
      <c r="FC1081" s="13"/>
      <c r="FD1081" s="13"/>
      <c r="FE1081" s="13"/>
      <c r="FF1081" s="13"/>
      <c r="FG1081" s="13"/>
      <c r="FH1081" s="13"/>
      <c r="FI1081" s="13"/>
      <c r="FJ1081" s="13"/>
      <c r="FK1081" s="13"/>
      <c r="FL1081" s="13"/>
      <c r="FM1081" s="13"/>
      <c r="FN1081" s="13"/>
      <c r="FO1081" s="13"/>
      <c r="FP1081" s="13"/>
      <c r="FQ1081" s="13"/>
      <c r="FR1081" s="13"/>
      <c r="FS1081" s="13"/>
      <c r="FT1081" s="13"/>
      <c r="FU1081" s="13"/>
      <c r="FV1081" s="13"/>
      <c r="FW1081" s="13"/>
      <c r="FX1081" s="13"/>
      <c r="FY1081" s="13"/>
      <c r="FZ1081" s="13"/>
      <c r="GA1081" s="13"/>
    </row>
    <row r="1082" spans="1:183" s="56" customFormat="1" x14ac:dyDescent="0.25">
      <c r="A1082" s="2"/>
      <c r="B1082" s="2"/>
      <c r="C1082" s="9"/>
      <c r="D1082" s="9"/>
      <c r="E1082" s="9"/>
      <c r="F1082" s="9"/>
      <c r="G1082" s="9"/>
      <c r="H1082" s="9"/>
      <c r="I1082" s="43"/>
      <c r="J1082" s="9"/>
      <c r="K1082" s="43"/>
      <c r="L1082" s="39"/>
      <c r="M1082" s="43"/>
      <c r="N1082"/>
      <c r="O1082"/>
      <c r="P1082"/>
      <c r="Q1082"/>
      <c r="R1082"/>
      <c r="S1082"/>
      <c r="T1082"/>
      <c r="U1082"/>
      <c r="V1082"/>
      <c r="W1082" s="52"/>
      <c r="X1082" s="43"/>
      <c r="Y1082"/>
      <c r="Z1082"/>
      <c r="AA1082"/>
      <c r="AB1082"/>
      <c r="AC1082"/>
      <c r="AD1082"/>
      <c r="AE1082"/>
      <c r="AF1082"/>
      <c r="AG1082"/>
      <c r="AH1082" s="52"/>
      <c r="AI1082" s="148"/>
      <c r="AJ1082" s="19"/>
      <c r="AK1082" s="19"/>
      <c r="AL1082" s="19"/>
      <c r="AM1082" s="19"/>
      <c r="AN1082" s="42"/>
      <c r="AO1082" s="54"/>
      <c r="AP1082" s="19"/>
      <c r="AR1082" s="74"/>
      <c r="AS1082" s="42"/>
      <c r="AT1082" s="54"/>
      <c r="AU1082" s="54"/>
      <c r="AV1082" s="19"/>
      <c r="AW1082" s="54"/>
      <c r="AX1082" s="57"/>
      <c r="AY1082" s="54"/>
      <c r="AZ1082" s="54"/>
      <c r="BA1082" s="54"/>
      <c r="BB1082" s="54"/>
      <c r="BC1082" s="57"/>
      <c r="BD1082" s="19"/>
      <c r="BE1082" s="19"/>
      <c r="BF1082" s="19"/>
      <c r="BG1082" s="54"/>
      <c r="BH1082" s="43"/>
      <c r="BI1082" s="54"/>
      <c r="BJ1082" s="55"/>
      <c r="BK1082" s="55"/>
      <c r="BL1082" s="54"/>
      <c r="BM1082" s="56">
        <v>24</v>
      </c>
      <c r="BO1082" s="52"/>
      <c r="BP1082" s="52"/>
      <c r="BQ1082" s="52"/>
      <c r="BR1082" s="52"/>
      <c r="BS1082" s="52"/>
      <c r="BT1082" s="52"/>
      <c r="BU1082" s="52"/>
      <c r="BV1082" s="52"/>
      <c r="BW1082" s="52"/>
      <c r="BX1082" s="52"/>
      <c r="BY1082" s="52"/>
      <c r="BZ1082" s="52"/>
      <c r="CA1082" s="52"/>
      <c r="CB1082" s="52"/>
      <c r="CC1082" s="52"/>
      <c r="CD1082" s="52"/>
      <c r="CE1082" s="52"/>
      <c r="CF1082" s="52"/>
      <c r="CG1082" s="52"/>
      <c r="CH1082" s="52"/>
      <c r="CI1082" s="52"/>
      <c r="CJ1082" s="52"/>
      <c r="CK1082" s="52"/>
      <c r="CL1082" s="52"/>
      <c r="CM1082" s="52"/>
      <c r="CN1082" s="52"/>
      <c r="CO1082" s="52"/>
      <c r="CP1082" s="52"/>
      <c r="CQ1082" s="52"/>
      <c r="CR1082" s="52"/>
      <c r="CS1082" s="52"/>
      <c r="CT1082" s="52"/>
      <c r="CU1082" s="52"/>
      <c r="CV1082" s="52"/>
      <c r="CW1082" s="52"/>
      <c r="CX1082" s="52"/>
      <c r="CY1082" s="52"/>
      <c r="CZ1082" s="52"/>
      <c r="DA1082" s="52"/>
      <c r="DB1082" s="52"/>
      <c r="DC1082" s="52"/>
      <c r="DD1082" s="52"/>
      <c r="DE1082" s="52"/>
      <c r="DF1082" s="52"/>
      <c r="DG1082" s="52"/>
      <c r="DH1082" s="52"/>
      <c r="DI1082" s="52"/>
      <c r="DJ1082" s="52"/>
      <c r="DK1082" s="52"/>
      <c r="DL1082" s="52"/>
      <c r="DM1082" s="52"/>
      <c r="DN1082" s="52"/>
      <c r="DO1082" s="52"/>
      <c r="DP1082" s="52"/>
      <c r="DQ1082" s="52"/>
      <c r="DR1082" s="52"/>
      <c r="DS1082" s="52"/>
      <c r="DT1082" s="52"/>
      <c r="DU1082" s="52"/>
      <c r="DV1082" s="52"/>
      <c r="DW1082" s="52"/>
      <c r="DX1082" s="52"/>
      <c r="DY1082" s="43"/>
      <c r="DZ1082"/>
      <c r="EA1082" s="19"/>
      <c r="EB1082" s="19"/>
      <c r="EC1082" s="9"/>
      <c r="ED1082" s="9"/>
      <c r="EE1082" s="9"/>
      <c r="EF1082" s="9"/>
      <c r="EG1082" s="9"/>
      <c r="EH1082" s="13"/>
      <c r="EI1082" s="13"/>
      <c r="EJ1082" s="13"/>
      <c r="EK1082" s="13"/>
      <c r="EL1082" s="13"/>
      <c r="EM1082" s="13"/>
      <c r="EN1082" s="13"/>
      <c r="EO1082" s="13"/>
      <c r="EP1082" s="13"/>
      <c r="EQ1082" s="13"/>
      <c r="ER1082" s="13"/>
      <c r="ES1082" s="13"/>
      <c r="ET1082" s="13"/>
      <c r="EU1082" s="13"/>
      <c r="EV1082" s="13"/>
      <c r="EW1082" s="13"/>
      <c r="EX1082" s="13"/>
      <c r="EY1082" s="13"/>
      <c r="EZ1082" s="13"/>
      <c r="FA1082" s="13"/>
      <c r="FB1082" s="13"/>
      <c r="FC1082" s="13"/>
      <c r="FD1082" s="13"/>
      <c r="FE1082" s="13"/>
      <c r="FF1082" s="13"/>
      <c r="FG1082" s="13"/>
      <c r="FH1082" s="13"/>
      <c r="FI1082" s="13"/>
      <c r="FJ1082" s="13"/>
      <c r="FK1082" s="13"/>
      <c r="FL1082" s="13"/>
      <c r="FM1082" s="13"/>
      <c r="FN1082" s="13"/>
      <c r="FO1082" s="13"/>
      <c r="FP1082" s="13"/>
      <c r="FQ1082" s="13"/>
      <c r="FR1082" s="13"/>
      <c r="FS1082" s="13"/>
      <c r="FT1082" s="13"/>
      <c r="FU1082" s="13"/>
      <c r="FV1082" s="13"/>
      <c r="FW1082" s="13"/>
      <c r="FX1082" s="13"/>
      <c r="FY1082" s="13"/>
      <c r="FZ1082" s="13"/>
      <c r="GA1082" s="13"/>
    </row>
    <row r="1083" spans="1:183" s="56" customFormat="1" x14ac:dyDescent="0.25">
      <c r="A1083" s="2"/>
      <c r="B1083" s="2"/>
      <c r="C1083" s="9"/>
      <c r="D1083" s="9"/>
      <c r="E1083" s="9"/>
      <c r="F1083" s="9"/>
      <c r="G1083" s="9"/>
      <c r="H1083" s="9"/>
      <c r="I1083" s="43"/>
      <c r="J1083" s="9"/>
      <c r="K1083" s="43"/>
      <c r="L1083" s="39"/>
      <c r="M1083" s="43"/>
      <c r="N1083"/>
      <c r="O1083"/>
      <c r="P1083"/>
      <c r="Q1083"/>
      <c r="R1083"/>
      <c r="S1083"/>
      <c r="T1083"/>
      <c r="U1083"/>
      <c r="V1083"/>
      <c r="W1083" s="52"/>
      <c r="X1083" s="43"/>
      <c r="Y1083"/>
      <c r="Z1083"/>
      <c r="AA1083"/>
      <c r="AB1083"/>
      <c r="AC1083"/>
      <c r="AD1083"/>
      <c r="AE1083"/>
      <c r="AF1083"/>
      <c r="AG1083"/>
      <c r="AH1083" s="52"/>
      <c r="AI1083" s="148"/>
      <c r="AJ1083" s="19"/>
      <c r="AK1083" s="19"/>
      <c r="AL1083" s="19"/>
      <c r="AM1083" s="19"/>
      <c r="AN1083" s="42"/>
      <c r="AO1083" s="54"/>
      <c r="AP1083" s="19"/>
      <c r="AR1083" s="74"/>
      <c r="AS1083" s="42"/>
      <c r="AT1083" s="54"/>
      <c r="AU1083" s="54"/>
      <c r="AV1083" s="19"/>
      <c r="AW1083" s="54"/>
      <c r="AX1083" s="57"/>
      <c r="AY1083" s="54"/>
      <c r="AZ1083" s="54"/>
      <c r="BA1083" s="54"/>
      <c r="BB1083" s="54"/>
      <c r="BC1083" s="57"/>
      <c r="BD1083" s="19"/>
      <c r="BE1083" s="19"/>
      <c r="BF1083" s="19"/>
      <c r="BG1083" s="54"/>
      <c r="BH1083" s="43"/>
      <c r="BI1083" s="54"/>
      <c r="BJ1083" s="55"/>
      <c r="BK1083" s="55"/>
      <c r="BL1083" s="54"/>
      <c r="BM1083" s="56">
        <v>27</v>
      </c>
      <c r="BO1083" s="52"/>
      <c r="BP1083" s="52"/>
      <c r="BQ1083" s="52"/>
      <c r="BR1083" s="52"/>
      <c r="BS1083" s="52"/>
      <c r="BT1083" s="52"/>
      <c r="BU1083" s="52"/>
      <c r="BV1083" s="52"/>
      <c r="BW1083" s="52"/>
      <c r="BX1083" s="52"/>
      <c r="BY1083" s="52"/>
      <c r="BZ1083" s="52"/>
      <c r="CA1083" s="52"/>
      <c r="CB1083" s="52"/>
      <c r="CC1083" s="52"/>
      <c r="CD1083" s="52"/>
      <c r="CE1083" s="52"/>
      <c r="CF1083" s="52"/>
      <c r="CG1083" s="52"/>
      <c r="CH1083" s="52"/>
      <c r="CI1083" s="52"/>
      <c r="CJ1083" s="52"/>
      <c r="CK1083" s="52"/>
      <c r="CL1083" s="52"/>
      <c r="CM1083" s="52"/>
      <c r="CN1083" s="52"/>
      <c r="CO1083" s="52"/>
      <c r="CP1083" s="52"/>
      <c r="CQ1083" s="52"/>
      <c r="CR1083" s="52"/>
      <c r="CS1083" s="52"/>
      <c r="CT1083" s="52"/>
      <c r="CU1083" s="52"/>
      <c r="CV1083" s="52"/>
      <c r="CW1083" s="52"/>
      <c r="CX1083" s="52"/>
      <c r="CY1083" s="52"/>
      <c r="CZ1083" s="52"/>
      <c r="DA1083" s="52"/>
      <c r="DB1083" s="52"/>
      <c r="DC1083" s="52"/>
      <c r="DD1083" s="52"/>
      <c r="DE1083" s="52"/>
      <c r="DF1083" s="52"/>
      <c r="DG1083" s="52"/>
      <c r="DH1083" s="52"/>
      <c r="DI1083" s="52"/>
      <c r="DJ1083" s="52"/>
      <c r="DK1083" s="52"/>
      <c r="DL1083" s="52"/>
      <c r="DM1083" s="52"/>
      <c r="DN1083" s="52"/>
      <c r="DO1083" s="52"/>
      <c r="DP1083" s="52"/>
      <c r="DQ1083" s="52"/>
      <c r="DR1083" s="52"/>
      <c r="DS1083" s="52"/>
      <c r="DT1083" s="52"/>
      <c r="DU1083" s="52"/>
      <c r="DV1083" s="52"/>
      <c r="DW1083" s="52"/>
      <c r="DX1083" s="52"/>
      <c r="DY1083" s="43"/>
      <c r="DZ1083"/>
      <c r="EA1083" s="19"/>
      <c r="EB1083" s="19"/>
      <c r="EC1083" s="9"/>
      <c r="ED1083" s="9"/>
      <c r="EE1083" s="9"/>
      <c r="EF1083" s="9"/>
      <c r="EG1083" s="9"/>
      <c r="EH1083" s="13"/>
      <c r="EI1083" s="13"/>
      <c r="EJ1083" s="13"/>
      <c r="EK1083" s="13"/>
      <c r="EL1083" s="13"/>
      <c r="EM1083" s="13"/>
      <c r="EN1083" s="13"/>
      <c r="EO1083" s="13"/>
      <c r="EP1083" s="13"/>
      <c r="EQ1083" s="13"/>
      <c r="ER1083" s="13"/>
      <c r="ES1083" s="13"/>
      <c r="ET1083" s="13"/>
      <c r="EU1083" s="13"/>
      <c r="EV1083" s="13"/>
      <c r="EW1083" s="13"/>
      <c r="EX1083" s="13"/>
      <c r="EY1083" s="13"/>
      <c r="EZ1083" s="13"/>
      <c r="FA1083" s="13"/>
      <c r="FB1083" s="13"/>
      <c r="FC1083" s="13"/>
      <c r="FD1083" s="13"/>
      <c r="FE1083" s="13"/>
      <c r="FF1083" s="13"/>
      <c r="FG1083" s="13"/>
      <c r="FH1083" s="13"/>
      <c r="FI1083" s="13"/>
      <c r="FJ1083" s="13"/>
      <c r="FK1083" s="13"/>
      <c r="FL1083" s="13"/>
      <c r="FM1083" s="13"/>
      <c r="FN1083" s="13"/>
      <c r="FO1083" s="13"/>
      <c r="FP1083" s="13"/>
      <c r="FQ1083" s="13"/>
      <c r="FR1083" s="13"/>
      <c r="FS1083" s="13"/>
      <c r="FT1083" s="13"/>
      <c r="FU1083" s="13"/>
      <c r="FV1083" s="13"/>
      <c r="FW1083" s="13"/>
      <c r="FX1083" s="13"/>
      <c r="FY1083" s="13"/>
      <c r="FZ1083" s="13"/>
      <c r="GA1083" s="13"/>
    </row>
    <row r="1084" spans="1:183" s="56" customFormat="1" x14ac:dyDescent="0.25">
      <c r="A1084" s="2"/>
      <c r="B1084" s="2"/>
      <c r="C1084" s="9"/>
      <c r="D1084" s="9"/>
      <c r="E1084" s="9"/>
      <c r="F1084" s="9"/>
      <c r="G1084" s="9"/>
      <c r="H1084" s="9"/>
      <c r="I1084" s="43"/>
      <c r="J1084" s="9"/>
      <c r="K1084" s="43"/>
      <c r="L1084" s="39"/>
      <c r="M1084" s="43"/>
      <c r="N1084"/>
      <c r="O1084"/>
      <c r="P1084"/>
      <c r="Q1084"/>
      <c r="R1084"/>
      <c r="S1084"/>
      <c r="T1084"/>
      <c r="U1084"/>
      <c r="V1084"/>
      <c r="W1084" s="52"/>
      <c r="X1084" s="43"/>
      <c r="Y1084"/>
      <c r="Z1084"/>
      <c r="AA1084"/>
      <c r="AB1084"/>
      <c r="AC1084"/>
      <c r="AD1084"/>
      <c r="AE1084"/>
      <c r="AF1084"/>
      <c r="AG1084"/>
      <c r="AH1084" s="52"/>
      <c r="AI1084" s="148"/>
      <c r="AJ1084" s="19"/>
      <c r="AK1084" s="19"/>
      <c r="AL1084" s="19"/>
      <c r="AM1084" s="19"/>
      <c r="AN1084" s="42"/>
      <c r="AO1084" s="54"/>
      <c r="AP1084" s="19"/>
      <c r="AR1084" s="74"/>
      <c r="AS1084" s="42"/>
      <c r="AT1084" s="54"/>
      <c r="AU1084" s="54"/>
      <c r="AV1084" s="19"/>
      <c r="AW1084" s="54"/>
      <c r="AX1084" s="57"/>
      <c r="AY1084" s="54"/>
      <c r="AZ1084" s="54"/>
      <c r="BA1084" s="54"/>
      <c r="BB1084" s="54"/>
      <c r="BC1084" s="57"/>
      <c r="BD1084" s="19"/>
      <c r="BE1084" s="19"/>
      <c r="BF1084" s="19"/>
      <c r="BG1084" s="54"/>
      <c r="BH1084" s="43"/>
      <c r="BI1084" s="54"/>
      <c r="BJ1084" s="55"/>
      <c r="BK1084" s="55"/>
      <c r="BL1084" s="54"/>
      <c r="BM1084" s="56">
        <v>29</v>
      </c>
      <c r="BO1084" s="52"/>
      <c r="BP1084" s="52"/>
      <c r="BQ1084" s="52"/>
      <c r="BR1084" s="52"/>
      <c r="BS1084" s="52"/>
      <c r="BT1084" s="52"/>
      <c r="BU1084" s="52"/>
      <c r="BV1084" s="52"/>
      <c r="BW1084" s="52"/>
      <c r="BX1084" s="52"/>
      <c r="BY1084" s="52"/>
      <c r="BZ1084" s="52"/>
      <c r="CA1084" s="52"/>
      <c r="CB1084" s="52"/>
      <c r="CC1084" s="52"/>
      <c r="CD1084" s="52"/>
      <c r="CE1084" s="52"/>
      <c r="CF1084" s="52"/>
      <c r="CG1084" s="52"/>
      <c r="CH1084" s="52"/>
      <c r="CI1084" s="52"/>
      <c r="CJ1084" s="52"/>
      <c r="CK1084" s="52"/>
      <c r="CL1084" s="52"/>
      <c r="CM1084" s="52"/>
      <c r="CN1084" s="52"/>
      <c r="CO1084" s="52"/>
      <c r="CP1084" s="52"/>
      <c r="CQ1084" s="52"/>
      <c r="CR1084" s="52"/>
      <c r="CS1084" s="52"/>
      <c r="CT1084" s="52"/>
      <c r="CU1084" s="52"/>
      <c r="CV1084" s="52"/>
      <c r="CW1084" s="52"/>
      <c r="CX1084" s="52"/>
      <c r="CY1084" s="52"/>
      <c r="CZ1084" s="52"/>
      <c r="DA1084" s="52"/>
      <c r="DB1084" s="52"/>
      <c r="DC1084" s="52"/>
      <c r="DD1084" s="52"/>
      <c r="DE1084" s="52"/>
      <c r="DF1084" s="52"/>
      <c r="DG1084" s="52"/>
      <c r="DH1084" s="52"/>
      <c r="DI1084" s="52"/>
      <c r="DJ1084" s="52"/>
      <c r="DK1084" s="52"/>
      <c r="DL1084" s="52"/>
      <c r="DM1084" s="52"/>
      <c r="DN1084" s="52"/>
      <c r="DO1084" s="52"/>
      <c r="DP1084" s="52"/>
      <c r="DQ1084" s="52"/>
      <c r="DR1084" s="52"/>
      <c r="DS1084" s="52"/>
      <c r="DT1084" s="52"/>
      <c r="DU1084" s="52"/>
      <c r="DV1084" s="52"/>
      <c r="DW1084" s="52"/>
      <c r="DX1084" s="52"/>
      <c r="DY1084" s="43"/>
      <c r="DZ1084"/>
      <c r="EA1084" s="19"/>
      <c r="EB1084" s="19"/>
      <c r="EC1084" s="9"/>
      <c r="ED1084" s="9"/>
      <c r="EE1084" s="9"/>
      <c r="EF1084" s="9"/>
      <c r="EG1084" s="9"/>
      <c r="EH1084" s="13"/>
      <c r="EI1084" s="13"/>
      <c r="EJ1084" s="13"/>
      <c r="EK1084" s="13"/>
      <c r="EL1084" s="13"/>
      <c r="EM1084" s="13"/>
      <c r="EN1084" s="13"/>
      <c r="EO1084" s="13"/>
      <c r="EP1084" s="13"/>
      <c r="EQ1084" s="13"/>
      <c r="ER1084" s="13"/>
      <c r="ES1084" s="13"/>
      <c r="ET1084" s="13"/>
      <c r="EU1084" s="13"/>
      <c r="EV1084" s="13"/>
      <c r="EW1084" s="13"/>
      <c r="EX1084" s="13"/>
      <c r="EY1084" s="13"/>
      <c r="EZ1084" s="13"/>
      <c r="FA1084" s="13"/>
      <c r="FB1084" s="13"/>
      <c r="FC1084" s="13"/>
      <c r="FD1084" s="13"/>
      <c r="FE1084" s="13"/>
      <c r="FF1084" s="13"/>
      <c r="FG1084" s="13"/>
      <c r="FH1084" s="13"/>
      <c r="FI1084" s="13"/>
      <c r="FJ1084" s="13"/>
      <c r="FK1084" s="13"/>
      <c r="FL1084" s="13"/>
      <c r="FM1084" s="13"/>
      <c r="FN1084" s="13"/>
      <c r="FO1084" s="13"/>
      <c r="FP1084" s="13"/>
      <c r="FQ1084" s="13"/>
      <c r="FR1084" s="13"/>
      <c r="FS1084" s="13"/>
      <c r="FT1084" s="13"/>
      <c r="FU1084" s="13"/>
      <c r="FV1084" s="13"/>
      <c r="FW1084" s="13"/>
      <c r="FX1084" s="13"/>
      <c r="FY1084" s="13"/>
      <c r="FZ1084" s="13"/>
      <c r="GA1084" s="13"/>
    </row>
    <row r="1085" spans="1:183" s="56" customFormat="1" x14ac:dyDescent="0.25">
      <c r="A1085" s="2"/>
      <c r="B1085" s="2"/>
      <c r="C1085" s="9"/>
      <c r="D1085" s="9"/>
      <c r="E1085" s="9"/>
      <c r="F1085" s="9"/>
      <c r="G1085" s="9"/>
      <c r="H1085" s="9"/>
      <c r="I1085" s="43"/>
      <c r="J1085" s="9"/>
      <c r="K1085" s="43"/>
      <c r="L1085" s="39"/>
      <c r="M1085" s="43"/>
      <c r="N1085"/>
      <c r="O1085"/>
      <c r="P1085"/>
      <c r="Q1085"/>
      <c r="R1085"/>
      <c r="S1085"/>
      <c r="T1085"/>
      <c r="U1085"/>
      <c r="V1085"/>
      <c r="W1085" s="52"/>
      <c r="X1085" s="43"/>
      <c r="Y1085"/>
      <c r="Z1085"/>
      <c r="AA1085"/>
      <c r="AB1085"/>
      <c r="AC1085"/>
      <c r="AD1085"/>
      <c r="AE1085"/>
      <c r="AF1085"/>
      <c r="AG1085"/>
      <c r="AH1085" s="52"/>
      <c r="AI1085" s="148"/>
      <c r="AJ1085" s="19"/>
      <c r="AK1085" s="19"/>
      <c r="AL1085" s="19"/>
      <c r="AM1085" s="19"/>
      <c r="AN1085" s="42"/>
      <c r="AO1085" s="54"/>
      <c r="AP1085" s="19"/>
      <c r="AR1085" s="74"/>
      <c r="AS1085" s="42"/>
      <c r="AT1085" s="54"/>
      <c r="AU1085" s="54"/>
      <c r="AV1085" s="19"/>
      <c r="AW1085" s="54"/>
      <c r="AX1085" s="57"/>
      <c r="AY1085" s="54"/>
      <c r="AZ1085" s="54"/>
      <c r="BA1085" s="54"/>
      <c r="BB1085" s="54"/>
      <c r="BC1085" s="57"/>
      <c r="BD1085" s="19"/>
      <c r="BE1085" s="19"/>
      <c r="BF1085" s="19"/>
      <c r="BG1085" s="54"/>
      <c r="BH1085" s="43"/>
      <c r="BI1085" s="54"/>
      <c r="BJ1085" s="55"/>
      <c r="BK1085" s="55"/>
      <c r="BL1085" s="54"/>
      <c r="BM1085" s="56">
        <v>32</v>
      </c>
      <c r="BO1085" s="52"/>
      <c r="BP1085" s="52"/>
      <c r="BQ1085" s="52"/>
      <c r="BR1085" s="52"/>
      <c r="BS1085" s="52"/>
      <c r="BT1085" s="52"/>
      <c r="BU1085" s="52"/>
      <c r="BV1085" s="52"/>
      <c r="BW1085" s="52"/>
      <c r="BX1085" s="52"/>
      <c r="BY1085" s="52"/>
      <c r="BZ1085" s="52"/>
      <c r="CA1085" s="52"/>
      <c r="CB1085" s="52"/>
      <c r="CC1085" s="52"/>
      <c r="CD1085" s="52"/>
      <c r="CE1085" s="52"/>
      <c r="CF1085" s="52"/>
      <c r="CG1085" s="52"/>
      <c r="CH1085" s="52"/>
      <c r="CI1085" s="52"/>
      <c r="CJ1085" s="52"/>
      <c r="CK1085" s="52"/>
      <c r="CL1085" s="52"/>
      <c r="CM1085" s="52"/>
      <c r="CN1085" s="52"/>
      <c r="CO1085" s="52"/>
      <c r="CP1085" s="52"/>
      <c r="CQ1085" s="52"/>
      <c r="CR1085" s="52"/>
      <c r="CS1085" s="52"/>
      <c r="CT1085" s="52"/>
      <c r="CU1085" s="52"/>
      <c r="CV1085" s="52"/>
      <c r="CW1085" s="52"/>
      <c r="CX1085" s="52"/>
      <c r="CY1085" s="52"/>
      <c r="CZ1085" s="52"/>
      <c r="DA1085" s="52"/>
      <c r="DB1085" s="52"/>
      <c r="DC1085" s="52"/>
      <c r="DD1085" s="52"/>
      <c r="DE1085" s="52"/>
      <c r="DF1085" s="52"/>
      <c r="DG1085" s="52"/>
      <c r="DH1085" s="52"/>
      <c r="DI1085" s="52"/>
      <c r="DJ1085" s="52"/>
      <c r="DK1085" s="52"/>
      <c r="DL1085" s="52"/>
      <c r="DM1085" s="52"/>
      <c r="DN1085" s="52"/>
      <c r="DO1085" s="52"/>
      <c r="DP1085" s="52"/>
      <c r="DQ1085" s="52"/>
      <c r="DR1085" s="52"/>
      <c r="DS1085" s="52"/>
      <c r="DT1085" s="52"/>
      <c r="DU1085" s="52"/>
      <c r="DV1085" s="52"/>
      <c r="DW1085" s="52"/>
      <c r="DX1085" s="52"/>
      <c r="DY1085" s="43"/>
      <c r="DZ1085"/>
      <c r="EA1085" s="19"/>
      <c r="EB1085" s="19"/>
      <c r="EC1085" s="9"/>
      <c r="ED1085" s="9"/>
      <c r="EE1085" s="9"/>
      <c r="EF1085" s="9"/>
      <c r="EG1085" s="9"/>
      <c r="EH1085" s="13"/>
      <c r="EI1085" s="13"/>
      <c r="EJ1085" s="13"/>
      <c r="EK1085" s="13"/>
      <c r="EL1085" s="13"/>
      <c r="EM1085" s="13"/>
      <c r="EN1085" s="13"/>
      <c r="EO1085" s="13"/>
      <c r="EP1085" s="13"/>
      <c r="EQ1085" s="13"/>
      <c r="ER1085" s="13"/>
      <c r="ES1085" s="13"/>
      <c r="ET1085" s="13"/>
      <c r="EU1085" s="13"/>
      <c r="EV1085" s="13"/>
      <c r="EW1085" s="13"/>
      <c r="EX1085" s="13"/>
      <c r="EY1085" s="13"/>
      <c r="EZ1085" s="13"/>
      <c r="FA1085" s="13"/>
      <c r="FB1085" s="13"/>
      <c r="FC1085" s="13"/>
      <c r="FD1085" s="13"/>
      <c r="FE1085" s="13"/>
      <c r="FF1085" s="13"/>
      <c r="FG1085" s="13"/>
      <c r="FH1085" s="13"/>
      <c r="FI1085" s="13"/>
      <c r="FJ1085" s="13"/>
      <c r="FK1085" s="13"/>
      <c r="FL1085" s="13"/>
      <c r="FM1085" s="13"/>
      <c r="FN1085" s="13"/>
      <c r="FO1085" s="13"/>
      <c r="FP1085" s="13"/>
      <c r="FQ1085" s="13"/>
      <c r="FR1085" s="13"/>
      <c r="FS1085" s="13"/>
      <c r="FT1085" s="13"/>
      <c r="FU1085" s="13"/>
      <c r="FV1085" s="13"/>
      <c r="FW1085" s="13"/>
      <c r="FX1085" s="13"/>
      <c r="FY1085" s="13"/>
      <c r="FZ1085" s="13"/>
      <c r="GA1085" s="13"/>
    </row>
    <row r="1086" spans="1:183" s="56" customFormat="1" x14ac:dyDescent="0.25">
      <c r="A1086" s="2"/>
      <c r="B1086" s="2"/>
      <c r="C1086" s="9"/>
      <c r="D1086" s="9"/>
      <c r="E1086" s="9"/>
      <c r="F1086" s="9"/>
      <c r="G1086" s="9"/>
      <c r="H1086" s="9"/>
      <c r="I1086" s="43"/>
      <c r="J1086" s="9"/>
      <c r="K1086" s="43"/>
      <c r="L1086" s="39"/>
      <c r="M1086" s="43"/>
      <c r="N1086"/>
      <c r="O1086"/>
      <c r="P1086"/>
      <c r="Q1086"/>
      <c r="R1086"/>
      <c r="S1086"/>
      <c r="T1086"/>
      <c r="U1086"/>
      <c r="V1086"/>
      <c r="W1086" s="52"/>
      <c r="X1086" s="43"/>
      <c r="Y1086"/>
      <c r="Z1086"/>
      <c r="AA1086"/>
      <c r="AB1086"/>
      <c r="AC1086"/>
      <c r="AD1086"/>
      <c r="AE1086"/>
      <c r="AF1086"/>
      <c r="AG1086"/>
      <c r="AH1086" s="52"/>
      <c r="AI1086" s="148"/>
      <c r="AJ1086" s="19"/>
      <c r="AK1086" s="19"/>
      <c r="AL1086" s="19"/>
      <c r="AM1086" s="19"/>
      <c r="AN1086" s="42"/>
      <c r="AO1086" s="54"/>
      <c r="AP1086" s="19"/>
      <c r="AR1086" s="74"/>
      <c r="AS1086" s="42"/>
      <c r="AT1086" s="54"/>
      <c r="AU1086" s="54"/>
      <c r="AV1086" s="19"/>
      <c r="AW1086" s="54"/>
      <c r="AX1086" s="57"/>
      <c r="AY1086" s="54"/>
      <c r="AZ1086" s="54"/>
      <c r="BA1086" s="54"/>
      <c r="BB1086" s="54"/>
      <c r="BC1086" s="57"/>
      <c r="BD1086" s="19"/>
      <c r="BE1086" s="19"/>
      <c r="BF1086" s="19"/>
      <c r="BG1086" s="54"/>
      <c r="BH1086" s="43"/>
      <c r="BI1086" s="54"/>
      <c r="BJ1086" s="55"/>
      <c r="BK1086" s="55"/>
      <c r="BL1086" s="54"/>
      <c r="BM1086" s="56">
        <v>33</v>
      </c>
      <c r="BO1086" s="52"/>
      <c r="BP1086" s="52"/>
      <c r="BQ1086" s="52"/>
      <c r="BR1086" s="52"/>
      <c r="BS1086" s="52"/>
      <c r="BT1086" s="52"/>
      <c r="BU1086" s="52"/>
      <c r="BV1086" s="52"/>
      <c r="BW1086" s="52"/>
      <c r="BX1086" s="52"/>
      <c r="BY1086" s="52"/>
      <c r="BZ1086" s="52"/>
      <c r="CA1086" s="52"/>
      <c r="CB1086" s="52"/>
      <c r="CC1086" s="52"/>
      <c r="CD1086" s="52"/>
      <c r="CE1086" s="52"/>
      <c r="CF1086" s="52"/>
      <c r="CG1086" s="52"/>
      <c r="CH1086" s="52"/>
      <c r="CI1086" s="52"/>
      <c r="CJ1086" s="52"/>
      <c r="CK1086" s="52"/>
      <c r="CL1086" s="52"/>
      <c r="CM1086" s="52"/>
      <c r="CN1086" s="52"/>
      <c r="CO1086" s="52"/>
      <c r="CP1086" s="52"/>
      <c r="CQ1086" s="52"/>
      <c r="CR1086" s="52"/>
      <c r="CS1086" s="52"/>
      <c r="CT1086" s="52"/>
      <c r="CU1086" s="52"/>
      <c r="CV1086" s="52"/>
      <c r="CW1086" s="52"/>
      <c r="CX1086" s="52"/>
      <c r="CY1086" s="52"/>
      <c r="CZ1086" s="52"/>
      <c r="DA1086" s="52"/>
      <c r="DB1086" s="52"/>
      <c r="DC1086" s="52"/>
      <c r="DD1086" s="52"/>
      <c r="DE1086" s="52"/>
      <c r="DF1086" s="52"/>
      <c r="DG1086" s="52"/>
      <c r="DH1086" s="52"/>
      <c r="DI1086" s="52"/>
      <c r="DJ1086" s="52"/>
      <c r="DK1086" s="52"/>
      <c r="DL1086" s="52"/>
      <c r="DM1086" s="52"/>
      <c r="DN1086" s="52"/>
      <c r="DO1086" s="52"/>
      <c r="DP1086" s="52"/>
      <c r="DQ1086" s="52"/>
      <c r="DR1086" s="52"/>
      <c r="DS1086" s="52"/>
      <c r="DT1086" s="52"/>
      <c r="DU1086" s="52"/>
      <c r="DV1086" s="52"/>
      <c r="DW1086" s="52"/>
      <c r="DX1086" s="52"/>
      <c r="DY1086" s="43"/>
      <c r="DZ1086"/>
      <c r="EA1086" s="19"/>
      <c r="EB1086" s="19"/>
      <c r="EC1086" s="9"/>
      <c r="ED1086" s="9"/>
      <c r="EE1086" s="9"/>
      <c r="EF1086" s="9"/>
      <c r="EG1086" s="9"/>
      <c r="EH1086" s="13"/>
      <c r="EI1086" s="13"/>
      <c r="EJ1086" s="13"/>
      <c r="EK1086" s="13"/>
      <c r="EL1086" s="13"/>
      <c r="EM1086" s="13"/>
      <c r="EN1086" s="13"/>
      <c r="EO1086" s="13"/>
      <c r="EP1086" s="13"/>
      <c r="EQ1086" s="13"/>
      <c r="ER1086" s="13"/>
      <c r="ES1086" s="13"/>
      <c r="ET1086" s="13"/>
      <c r="EU1086" s="13"/>
      <c r="EV1086" s="13"/>
      <c r="EW1086" s="13"/>
      <c r="EX1086" s="13"/>
      <c r="EY1086" s="13"/>
      <c r="EZ1086" s="13"/>
      <c r="FA1086" s="13"/>
      <c r="FB1086" s="13"/>
      <c r="FC1086" s="13"/>
      <c r="FD1086" s="13"/>
      <c r="FE1086" s="13"/>
      <c r="FF1086" s="13"/>
      <c r="FG1086" s="13"/>
      <c r="FH1086" s="13"/>
      <c r="FI1086" s="13"/>
      <c r="FJ1086" s="13"/>
      <c r="FK1086" s="13"/>
      <c r="FL1086" s="13"/>
      <c r="FM1086" s="13"/>
      <c r="FN1086" s="13"/>
      <c r="FO1086" s="13"/>
      <c r="FP1086" s="13"/>
      <c r="FQ1086" s="13"/>
      <c r="FR1086" s="13"/>
      <c r="FS1086" s="13"/>
      <c r="FT1086" s="13"/>
      <c r="FU1086" s="13"/>
      <c r="FV1086" s="13"/>
      <c r="FW1086" s="13"/>
      <c r="FX1086" s="13"/>
      <c r="FY1086" s="13"/>
      <c r="FZ1086" s="13"/>
      <c r="GA1086" s="13"/>
    </row>
    <row r="1087" spans="1:183" s="56" customFormat="1" x14ac:dyDescent="0.25">
      <c r="A1087" s="2"/>
      <c r="B1087" s="2"/>
      <c r="C1087" s="9"/>
      <c r="D1087" s="9"/>
      <c r="E1087" s="9"/>
      <c r="F1087" s="9"/>
      <c r="G1087" s="9"/>
      <c r="H1087" s="9"/>
      <c r="I1087" s="43"/>
      <c r="J1087" s="9"/>
      <c r="K1087" s="43"/>
      <c r="L1087" s="39"/>
      <c r="M1087" s="43"/>
      <c r="N1087"/>
      <c r="O1087"/>
      <c r="P1087"/>
      <c r="Q1087"/>
      <c r="R1087"/>
      <c r="S1087"/>
      <c r="T1087"/>
      <c r="U1087"/>
      <c r="V1087"/>
      <c r="W1087" s="52"/>
      <c r="X1087" s="43"/>
      <c r="Y1087"/>
      <c r="Z1087"/>
      <c r="AA1087"/>
      <c r="AB1087"/>
      <c r="AC1087"/>
      <c r="AD1087"/>
      <c r="AE1087"/>
      <c r="AF1087"/>
      <c r="AG1087"/>
      <c r="AH1087" s="52"/>
      <c r="AI1087" s="148"/>
      <c r="AJ1087" s="19"/>
      <c r="AK1087" s="19"/>
      <c r="AL1087" s="19"/>
      <c r="AM1087" s="19"/>
      <c r="AN1087" s="42"/>
      <c r="AO1087" s="54"/>
      <c r="AP1087" s="19"/>
      <c r="AR1087" s="74"/>
      <c r="AS1087" s="42"/>
      <c r="AT1087" s="54"/>
      <c r="AU1087" s="54"/>
      <c r="AV1087" s="19"/>
      <c r="AW1087" s="54"/>
      <c r="AX1087" s="57"/>
      <c r="AY1087" s="54"/>
      <c r="AZ1087" s="54"/>
      <c r="BA1087" s="54"/>
      <c r="BB1087" s="54"/>
      <c r="BC1087" s="57"/>
      <c r="BD1087" s="19"/>
      <c r="BE1087" s="19"/>
      <c r="BF1087" s="19"/>
      <c r="BG1087" s="54"/>
      <c r="BH1087" s="43"/>
      <c r="BI1087" s="54"/>
      <c r="BJ1087" s="55"/>
      <c r="BK1087" s="55"/>
      <c r="BL1087" s="54"/>
      <c r="BM1087" s="56">
        <v>35</v>
      </c>
      <c r="BO1087" s="52"/>
      <c r="BP1087" s="52"/>
      <c r="BQ1087" s="52"/>
      <c r="BR1087" s="52"/>
      <c r="BS1087" s="52"/>
      <c r="BT1087" s="52"/>
      <c r="BU1087" s="52"/>
      <c r="BV1087" s="52"/>
      <c r="BW1087" s="52"/>
      <c r="BX1087" s="52"/>
      <c r="BY1087" s="52"/>
      <c r="BZ1087" s="52"/>
      <c r="CA1087" s="52"/>
      <c r="CB1087" s="52"/>
      <c r="CC1087" s="52"/>
      <c r="CD1087" s="52"/>
      <c r="CE1087" s="52"/>
      <c r="CF1087" s="52"/>
      <c r="CG1087" s="52"/>
      <c r="CH1087" s="52"/>
      <c r="CI1087" s="52"/>
      <c r="CJ1087" s="52"/>
      <c r="CK1087" s="52"/>
      <c r="CL1087" s="52"/>
      <c r="CM1087" s="52"/>
      <c r="CN1087" s="52"/>
      <c r="CO1087" s="52"/>
      <c r="CP1087" s="52"/>
      <c r="CQ1087" s="52"/>
      <c r="CR1087" s="52"/>
      <c r="CS1087" s="52"/>
      <c r="CT1087" s="52"/>
      <c r="CU1087" s="52"/>
      <c r="CV1087" s="52"/>
      <c r="CW1087" s="52"/>
      <c r="CX1087" s="52"/>
      <c r="CY1087" s="52"/>
      <c r="CZ1087" s="52"/>
      <c r="DA1087" s="52"/>
      <c r="DB1087" s="52"/>
      <c r="DC1087" s="52"/>
      <c r="DD1087" s="52"/>
      <c r="DE1087" s="52"/>
      <c r="DF1087" s="52"/>
      <c r="DG1087" s="52"/>
      <c r="DH1087" s="52"/>
      <c r="DI1087" s="52"/>
      <c r="DJ1087" s="52"/>
      <c r="DK1087" s="52"/>
      <c r="DL1087" s="52"/>
      <c r="DM1087" s="52"/>
      <c r="DN1087" s="52"/>
      <c r="DO1087" s="52"/>
      <c r="DP1087" s="52"/>
      <c r="DQ1087" s="52"/>
      <c r="DR1087" s="52"/>
      <c r="DS1087" s="52"/>
      <c r="DT1087" s="52"/>
      <c r="DU1087" s="52"/>
      <c r="DV1087" s="52"/>
      <c r="DW1087" s="52"/>
      <c r="DX1087" s="52"/>
      <c r="DY1087" s="43"/>
      <c r="DZ1087"/>
      <c r="EA1087" s="19"/>
      <c r="EB1087" s="19"/>
      <c r="EC1087" s="9"/>
      <c r="ED1087" s="9"/>
      <c r="EE1087" s="9"/>
      <c r="EF1087" s="9"/>
      <c r="EG1087" s="9"/>
      <c r="EH1087" s="13"/>
      <c r="EI1087" s="13"/>
      <c r="EJ1087" s="13"/>
      <c r="EK1087" s="13"/>
      <c r="EL1087" s="13"/>
      <c r="EM1087" s="13"/>
      <c r="EN1087" s="13"/>
      <c r="EO1087" s="13"/>
      <c r="EP1087" s="13"/>
      <c r="EQ1087" s="13"/>
      <c r="ER1087" s="13"/>
      <c r="ES1087" s="13"/>
      <c r="ET1087" s="13"/>
      <c r="EU1087" s="13"/>
      <c r="EV1087" s="13"/>
      <c r="EW1087" s="13"/>
      <c r="EX1087" s="13"/>
      <c r="EY1087" s="13"/>
      <c r="EZ1087" s="13"/>
      <c r="FA1087" s="13"/>
      <c r="FB1087" s="13"/>
      <c r="FC1087" s="13"/>
      <c r="FD1087" s="13"/>
      <c r="FE1087" s="13"/>
      <c r="FF1087" s="13"/>
      <c r="FG1087" s="13"/>
      <c r="FH1087" s="13"/>
      <c r="FI1087" s="13"/>
      <c r="FJ1087" s="13"/>
      <c r="FK1087" s="13"/>
      <c r="FL1087" s="13"/>
      <c r="FM1087" s="13"/>
      <c r="FN1087" s="13"/>
      <c r="FO1087" s="13"/>
      <c r="FP1087" s="13"/>
      <c r="FQ1087" s="13"/>
      <c r="FR1087" s="13"/>
      <c r="FS1087" s="13"/>
      <c r="FT1087" s="13"/>
      <c r="FU1087" s="13"/>
      <c r="FV1087" s="13"/>
      <c r="FW1087" s="13"/>
      <c r="FX1087" s="13"/>
      <c r="FY1087" s="13"/>
      <c r="FZ1087" s="13"/>
      <c r="GA1087" s="13"/>
    </row>
    <row r="1088" spans="1:183" s="56" customFormat="1" x14ac:dyDescent="0.25">
      <c r="A1088" s="2"/>
      <c r="B1088" s="2"/>
      <c r="C1088" s="9"/>
      <c r="D1088" s="9"/>
      <c r="E1088" s="9"/>
      <c r="F1088" s="9"/>
      <c r="G1088" s="9"/>
      <c r="H1088" s="9"/>
      <c r="I1088" s="43"/>
      <c r="J1088" s="9"/>
      <c r="K1088" s="43"/>
      <c r="L1088" s="39"/>
      <c r="M1088" s="43"/>
      <c r="N1088"/>
      <c r="O1088"/>
      <c r="P1088"/>
      <c r="Q1088"/>
      <c r="R1088"/>
      <c r="S1088"/>
      <c r="T1088"/>
      <c r="U1088"/>
      <c r="V1088"/>
      <c r="W1088" s="52"/>
      <c r="X1088" s="43"/>
      <c r="Y1088"/>
      <c r="Z1088"/>
      <c r="AA1088"/>
      <c r="AB1088"/>
      <c r="AC1088"/>
      <c r="AD1088"/>
      <c r="AE1088"/>
      <c r="AF1088"/>
      <c r="AG1088"/>
      <c r="AH1088" s="52"/>
      <c r="AI1088" s="148"/>
      <c r="AJ1088" s="19"/>
      <c r="AK1088" s="19"/>
      <c r="AL1088" s="19"/>
      <c r="AM1088" s="19"/>
      <c r="AN1088" s="42"/>
      <c r="AO1088" s="54"/>
      <c r="AP1088" s="19"/>
      <c r="AR1088" s="74"/>
      <c r="AS1088" s="42"/>
      <c r="AT1088" s="54"/>
      <c r="AU1088" s="54"/>
      <c r="AV1088" s="19"/>
      <c r="AW1088" s="54"/>
      <c r="AX1088" s="57"/>
      <c r="AY1088" s="54"/>
      <c r="AZ1088" s="54"/>
      <c r="BA1088" s="54"/>
      <c r="BB1088" s="54"/>
      <c r="BC1088" s="57"/>
      <c r="BD1088" s="19"/>
      <c r="BE1088" s="19"/>
      <c r="BF1088" s="19"/>
      <c r="BG1088" s="54"/>
      <c r="BH1088" s="43"/>
      <c r="BI1088" s="54"/>
      <c r="BJ1088" s="55"/>
      <c r="BK1088" s="55"/>
      <c r="BL1088" s="54"/>
      <c r="BM1088" s="56">
        <v>38</v>
      </c>
      <c r="BO1088" s="52"/>
      <c r="BP1088" s="52"/>
      <c r="BQ1088" s="52"/>
      <c r="BR1088" s="52"/>
      <c r="BS1088" s="52"/>
      <c r="BT1088" s="52"/>
      <c r="BU1088" s="52"/>
      <c r="BV1088" s="52"/>
      <c r="BW1088" s="52"/>
      <c r="BX1088" s="52"/>
      <c r="BY1088" s="52"/>
      <c r="BZ1088" s="52"/>
      <c r="CA1088" s="52"/>
      <c r="CB1088" s="52"/>
      <c r="CC1088" s="52"/>
      <c r="CD1088" s="52"/>
      <c r="CE1088" s="52"/>
      <c r="CF1088" s="52"/>
      <c r="CG1088" s="52"/>
      <c r="CH1088" s="52"/>
      <c r="CI1088" s="52"/>
      <c r="CJ1088" s="52"/>
      <c r="CK1088" s="52"/>
      <c r="CL1088" s="52"/>
      <c r="CM1088" s="52"/>
      <c r="CN1088" s="52"/>
      <c r="CO1088" s="52"/>
      <c r="CP1088" s="52"/>
      <c r="CQ1088" s="52"/>
      <c r="CR1088" s="52"/>
      <c r="CS1088" s="52"/>
      <c r="CT1088" s="52"/>
      <c r="CU1088" s="52"/>
      <c r="CV1088" s="52"/>
      <c r="CW1088" s="52"/>
      <c r="CX1088" s="52"/>
      <c r="CY1088" s="52"/>
      <c r="CZ1088" s="52"/>
      <c r="DA1088" s="52"/>
      <c r="DB1088" s="52"/>
      <c r="DC1088" s="52"/>
      <c r="DD1088" s="52"/>
      <c r="DE1088" s="52"/>
      <c r="DF1088" s="52"/>
      <c r="DG1088" s="52"/>
      <c r="DH1088" s="52"/>
      <c r="DI1088" s="52"/>
      <c r="DJ1088" s="52"/>
      <c r="DK1088" s="52"/>
      <c r="DL1088" s="52"/>
      <c r="DM1088" s="52"/>
      <c r="DN1088" s="52"/>
      <c r="DO1088" s="52"/>
      <c r="DP1088" s="52"/>
      <c r="DQ1088" s="52"/>
      <c r="DR1088" s="52"/>
      <c r="DS1088" s="52"/>
      <c r="DT1088" s="52"/>
      <c r="DU1088" s="52"/>
      <c r="DV1088" s="52"/>
      <c r="DW1088" s="52"/>
      <c r="DX1088" s="52"/>
      <c r="DY1088" s="43"/>
      <c r="DZ1088"/>
      <c r="EA1088" s="19"/>
      <c r="EB1088" s="19"/>
      <c r="EC1088" s="9"/>
      <c r="ED1088" s="9"/>
      <c r="EE1088" s="9"/>
      <c r="EF1088" s="9"/>
      <c r="EG1088" s="9"/>
      <c r="EH1088" s="13"/>
      <c r="EI1088" s="13"/>
      <c r="EJ1088" s="13"/>
      <c r="EK1088" s="13"/>
      <c r="EL1088" s="13"/>
      <c r="EM1088" s="13"/>
      <c r="EN1088" s="13"/>
      <c r="EO1088" s="13"/>
      <c r="EP1088" s="13"/>
      <c r="EQ1088" s="13"/>
      <c r="ER1088" s="13"/>
      <c r="ES1088" s="13"/>
      <c r="ET1088" s="13"/>
      <c r="EU1088" s="13"/>
      <c r="EV1088" s="13"/>
      <c r="EW1088" s="13"/>
      <c r="EX1088" s="13"/>
      <c r="EY1088" s="13"/>
      <c r="EZ1088" s="13"/>
      <c r="FA1088" s="13"/>
      <c r="FB1088" s="13"/>
      <c r="FC1088" s="13"/>
      <c r="FD1088" s="13"/>
      <c r="FE1088" s="13"/>
      <c r="FF1088" s="13"/>
      <c r="FG1088" s="13"/>
      <c r="FH1088" s="13"/>
      <c r="FI1088" s="13"/>
      <c r="FJ1088" s="13"/>
      <c r="FK1088" s="13"/>
      <c r="FL1088" s="13"/>
      <c r="FM1088" s="13"/>
      <c r="FN1088" s="13"/>
      <c r="FO1088" s="13"/>
      <c r="FP1088" s="13"/>
      <c r="FQ1088" s="13"/>
      <c r="FR1088" s="13"/>
      <c r="FS1088" s="13"/>
      <c r="FT1088" s="13"/>
      <c r="FU1088" s="13"/>
      <c r="FV1088" s="13"/>
      <c r="FW1088" s="13"/>
      <c r="FX1088" s="13"/>
      <c r="FY1088" s="13"/>
      <c r="FZ1088" s="13"/>
      <c r="GA1088" s="13"/>
    </row>
    <row r="1089" spans="1:183" s="56" customFormat="1" x14ac:dyDescent="0.25">
      <c r="A1089" s="2"/>
      <c r="B1089" s="2"/>
      <c r="C1089" s="9"/>
      <c r="D1089" s="9"/>
      <c r="E1089" s="9"/>
      <c r="F1089" s="9"/>
      <c r="G1089" s="9"/>
      <c r="H1089" s="9"/>
      <c r="I1089" s="43"/>
      <c r="J1089" s="9"/>
      <c r="K1089" s="43"/>
      <c r="L1089" s="39"/>
      <c r="M1089" s="43"/>
      <c r="N1089"/>
      <c r="O1089"/>
      <c r="P1089"/>
      <c r="Q1089"/>
      <c r="R1089"/>
      <c r="S1089"/>
      <c r="T1089"/>
      <c r="U1089"/>
      <c r="V1089"/>
      <c r="W1089" s="52"/>
      <c r="X1089" s="43"/>
      <c r="Y1089"/>
      <c r="Z1089"/>
      <c r="AA1089"/>
      <c r="AB1089"/>
      <c r="AC1089"/>
      <c r="AD1089"/>
      <c r="AE1089"/>
      <c r="AF1089"/>
      <c r="AG1089"/>
      <c r="AH1089" s="52"/>
      <c r="AI1089" s="148"/>
      <c r="AJ1089" s="19"/>
      <c r="AK1089" s="19"/>
      <c r="AL1089" s="19"/>
      <c r="AM1089" s="19"/>
      <c r="AN1089" s="42"/>
      <c r="AO1089" s="54"/>
      <c r="AP1089" s="19"/>
      <c r="AR1089" s="74"/>
      <c r="AS1089" s="42"/>
      <c r="AT1089" s="54"/>
      <c r="AU1089" s="54"/>
      <c r="AV1089" s="19"/>
      <c r="AW1089" s="54"/>
      <c r="AX1089" s="57"/>
      <c r="AY1089" s="54"/>
      <c r="AZ1089" s="54"/>
      <c r="BA1089" s="54"/>
      <c r="BB1089" s="54"/>
      <c r="BC1089" s="57"/>
      <c r="BD1089" s="19"/>
      <c r="BE1089" s="19"/>
      <c r="BF1089" s="19"/>
      <c r="BG1089" s="54"/>
      <c r="BH1089" s="43"/>
      <c r="BI1089" s="54"/>
      <c r="BJ1089" s="55"/>
      <c r="BK1089" s="55"/>
      <c r="BL1089" s="54"/>
      <c r="BM1089" s="56">
        <v>40</v>
      </c>
      <c r="BO1089" s="52"/>
      <c r="BP1089" s="52"/>
      <c r="BQ1089" s="52"/>
      <c r="BR1089" s="52"/>
      <c r="BS1089" s="52"/>
      <c r="BT1089" s="52"/>
      <c r="BU1089" s="52"/>
      <c r="BV1089" s="52"/>
      <c r="BW1089" s="52"/>
      <c r="BX1089" s="52"/>
      <c r="BY1089" s="52"/>
      <c r="BZ1089" s="52"/>
      <c r="CA1089" s="52"/>
      <c r="CB1089" s="52"/>
      <c r="CC1089" s="52"/>
      <c r="CD1089" s="52"/>
      <c r="CE1089" s="52"/>
      <c r="CF1089" s="52"/>
      <c r="CG1089" s="52"/>
      <c r="CH1089" s="52"/>
      <c r="CI1089" s="52"/>
      <c r="CJ1089" s="52"/>
      <c r="CK1089" s="52"/>
      <c r="CL1089" s="52"/>
      <c r="CM1089" s="52"/>
      <c r="CN1089" s="52"/>
      <c r="CO1089" s="52"/>
      <c r="CP1089" s="52"/>
      <c r="CQ1089" s="52"/>
      <c r="CR1089" s="52"/>
      <c r="CS1089" s="52"/>
      <c r="CT1089" s="52"/>
      <c r="CU1089" s="52"/>
      <c r="CV1089" s="52"/>
      <c r="CW1089" s="52"/>
      <c r="CX1089" s="52"/>
      <c r="CY1089" s="52"/>
      <c r="CZ1089" s="52"/>
      <c r="DA1089" s="52"/>
      <c r="DB1089" s="52"/>
      <c r="DC1089" s="52"/>
      <c r="DD1089" s="52"/>
      <c r="DE1089" s="52"/>
      <c r="DF1089" s="52"/>
      <c r="DG1089" s="52"/>
      <c r="DH1089" s="52"/>
      <c r="DI1089" s="52"/>
      <c r="DJ1089" s="52"/>
      <c r="DK1089" s="52"/>
      <c r="DL1089" s="52"/>
      <c r="DM1089" s="52"/>
      <c r="DN1089" s="52"/>
      <c r="DO1089" s="52"/>
      <c r="DP1089" s="52"/>
      <c r="DQ1089" s="52"/>
      <c r="DR1089" s="52"/>
      <c r="DS1089" s="52"/>
      <c r="DT1089" s="52"/>
      <c r="DU1089" s="52"/>
      <c r="DV1089" s="52"/>
      <c r="DW1089" s="52"/>
      <c r="DX1089" s="52"/>
      <c r="DY1089" s="43"/>
      <c r="DZ1089"/>
      <c r="EA1089" s="19"/>
      <c r="EB1089" s="19"/>
      <c r="EC1089" s="9"/>
      <c r="ED1089" s="9"/>
      <c r="EE1089" s="9"/>
      <c r="EF1089" s="9"/>
      <c r="EG1089" s="9"/>
      <c r="EH1089" s="13"/>
      <c r="EI1089" s="13"/>
      <c r="EJ1089" s="13"/>
      <c r="EK1089" s="13"/>
      <c r="EL1089" s="13"/>
      <c r="EM1089" s="13"/>
      <c r="EN1089" s="13"/>
      <c r="EO1089" s="13"/>
      <c r="EP1089" s="13"/>
      <c r="EQ1089" s="13"/>
      <c r="ER1089" s="13"/>
      <c r="ES1089" s="13"/>
      <c r="ET1089" s="13"/>
      <c r="EU1089" s="13"/>
      <c r="EV1089" s="13"/>
      <c r="EW1089" s="13"/>
      <c r="EX1089" s="13"/>
      <c r="EY1089" s="13"/>
      <c r="EZ1089" s="13"/>
      <c r="FA1089" s="13"/>
      <c r="FB1089" s="13"/>
      <c r="FC1089" s="13"/>
      <c r="FD1089" s="13"/>
      <c r="FE1089" s="13"/>
      <c r="FF1089" s="13"/>
      <c r="FG1089" s="13"/>
      <c r="FH1089" s="13"/>
      <c r="FI1089" s="13"/>
      <c r="FJ1089" s="13"/>
      <c r="FK1089" s="13"/>
      <c r="FL1089" s="13"/>
      <c r="FM1089" s="13"/>
      <c r="FN1089" s="13"/>
      <c r="FO1089" s="13"/>
      <c r="FP1089" s="13"/>
      <c r="FQ1089" s="13"/>
      <c r="FR1089" s="13"/>
      <c r="FS1089" s="13"/>
      <c r="FT1089" s="13"/>
      <c r="FU1089" s="13"/>
      <c r="FV1089" s="13"/>
      <c r="FW1089" s="13"/>
      <c r="FX1089" s="13"/>
      <c r="FY1089" s="13"/>
      <c r="FZ1089" s="13"/>
      <c r="GA1089" s="13"/>
    </row>
    <row r="1090" spans="1:183" s="56" customFormat="1" x14ac:dyDescent="0.25">
      <c r="A1090" s="2"/>
      <c r="B1090" s="2"/>
      <c r="C1090" s="9"/>
      <c r="D1090" s="9"/>
      <c r="E1090" s="9"/>
      <c r="F1090" s="9"/>
      <c r="G1090" s="9"/>
      <c r="H1090" s="9"/>
      <c r="I1090" s="43"/>
      <c r="J1090" s="9"/>
      <c r="K1090" s="43"/>
      <c r="L1090" s="39"/>
      <c r="M1090" s="43"/>
      <c r="N1090"/>
      <c r="O1090"/>
      <c r="P1090"/>
      <c r="Q1090"/>
      <c r="R1090"/>
      <c r="S1090"/>
      <c r="T1090"/>
      <c r="U1090"/>
      <c r="V1090"/>
      <c r="W1090" s="52"/>
      <c r="X1090" s="43"/>
      <c r="Y1090"/>
      <c r="Z1090"/>
      <c r="AA1090"/>
      <c r="AB1090"/>
      <c r="AC1090"/>
      <c r="AD1090"/>
      <c r="AE1090"/>
      <c r="AF1090"/>
      <c r="AG1090"/>
      <c r="AH1090" s="52"/>
      <c r="AI1090" s="148"/>
      <c r="AJ1090" s="19"/>
      <c r="AK1090" s="19"/>
      <c r="AL1090" s="19"/>
      <c r="AM1090" s="19"/>
      <c r="AN1090" s="42"/>
      <c r="AO1090" s="54"/>
      <c r="AP1090" s="19"/>
      <c r="AR1090" s="74"/>
      <c r="AS1090" s="42"/>
      <c r="AT1090" s="54"/>
      <c r="AU1090" s="54"/>
      <c r="AV1090" s="19"/>
      <c r="AW1090" s="54"/>
      <c r="AX1090" s="57"/>
      <c r="AY1090" s="54"/>
      <c r="AZ1090" s="54"/>
      <c r="BA1090" s="54"/>
      <c r="BB1090" s="54"/>
      <c r="BC1090" s="57"/>
      <c r="BD1090" s="19"/>
      <c r="BE1090" s="19"/>
      <c r="BF1090" s="19"/>
      <c r="BG1090" s="54"/>
      <c r="BH1090" s="43"/>
      <c r="BI1090" s="54"/>
      <c r="BJ1090" s="55"/>
      <c r="BK1090" s="55"/>
      <c r="BL1090" s="54"/>
      <c r="BM1090" s="56">
        <v>41</v>
      </c>
      <c r="BO1090" s="52"/>
      <c r="BP1090" s="52"/>
      <c r="BQ1090" s="52"/>
      <c r="BR1090" s="52"/>
      <c r="BS1090" s="52"/>
      <c r="BT1090" s="52"/>
      <c r="BU1090" s="52"/>
      <c r="BV1090" s="52"/>
      <c r="BW1090" s="52"/>
      <c r="BX1090" s="52"/>
      <c r="BY1090" s="52"/>
      <c r="BZ1090" s="52"/>
      <c r="CA1090" s="52"/>
      <c r="CB1090" s="52"/>
      <c r="CC1090" s="52"/>
      <c r="CD1090" s="52"/>
      <c r="CE1090" s="52"/>
      <c r="CF1090" s="52"/>
      <c r="CG1090" s="52"/>
      <c r="CH1090" s="52"/>
      <c r="CI1090" s="52"/>
      <c r="CJ1090" s="52"/>
      <c r="CK1090" s="52"/>
      <c r="CL1090" s="52"/>
      <c r="CM1090" s="52"/>
      <c r="CN1090" s="52"/>
      <c r="CO1090" s="52"/>
      <c r="CP1090" s="52"/>
      <c r="CQ1090" s="52"/>
      <c r="CR1090" s="52"/>
      <c r="CS1090" s="52"/>
      <c r="CT1090" s="52"/>
      <c r="CU1090" s="52"/>
      <c r="CV1090" s="52"/>
      <c r="CW1090" s="52"/>
      <c r="CX1090" s="52"/>
      <c r="CY1090" s="52"/>
      <c r="CZ1090" s="52"/>
      <c r="DA1090" s="52"/>
      <c r="DB1090" s="52"/>
      <c r="DC1090" s="52"/>
      <c r="DD1090" s="52"/>
      <c r="DE1090" s="52"/>
      <c r="DF1090" s="52"/>
      <c r="DG1090" s="52"/>
      <c r="DH1090" s="52"/>
      <c r="DI1090" s="52"/>
      <c r="DJ1090" s="52"/>
      <c r="DK1090" s="52"/>
      <c r="DL1090" s="52"/>
      <c r="DM1090" s="52"/>
      <c r="DN1090" s="52"/>
      <c r="DO1090" s="52"/>
      <c r="DP1090" s="52"/>
      <c r="DQ1090" s="52"/>
      <c r="DR1090" s="52"/>
      <c r="DS1090" s="52"/>
      <c r="DT1090" s="52"/>
      <c r="DU1090" s="52"/>
      <c r="DV1090" s="52"/>
      <c r="DW1090" s="52"/>
      <c r="DX1090" s="52"/>
      <c r="DY1090" s="43"/>
      <c r="DZ1090"/>
      <c r="EA1090" s="19"/>
      <c r="EB1090" s="19"/>
      <c r="EC1090" s="9"/>
      <c r="ED1090" s="9"/>
      <c r="EE1090" s="9"/>
      <c r="EF1090" s="9"/>
      <c r="EG1090" s="9"/>
      <c r="EH1090" s="13"/>
      <c r="EI1090" s="13"/>
      <c r="EJ1090" s="13"/>
      <c r="EK1090" s="13"/>
      <c r="EL1090" s="13"/>
      <c r="EM1090" s="13"/>
      <c r="EN1090" s="13"/>
      <c r="EO1090" s="13"/>
      <c r="EP1090" s="13"/>
      <c r="EQ1090" s="13"/>
      <c r="ER1090" s="13"/>
      <c r="ES1090" s="13"/>
      <c r="ET1090" s="13"/>
      <c r="EU1090" s="13"/>
      <c r="EV1090" s="13"/>
      <c r="EW1090" s="13"/>
      <c r="EX1090" s="13"/>
      <c r="EY1090" s="13"/>
      <c r="EZ1090" s="13"/>
      <c r="FA1090" s="13"/>
      <c r="FB1090" s="13"/>
      <c r="FC1090" s="13"/>
      <c r="FD1090" s="13"/>
      <c r="FE1090" s="13"/>
      <c r="FF1090" s="13"/>
      <c r="FG1090" s="13"/>
      <c r="FH1090" s="13"/>
      <c r="FI1090" s="13"/>
      <c r="FJ1090" s="13"/>
      <c r="FK1090" s="13"/>
      <c r="FL1090" s="13"/>
      <c r="FM1090" s="13"/>
      <c r="FN1090" s="13"/>
      <c r="FO1090" s="13"/>
      <c r="FP1090" s="13"/>
      <c r="FQ1090" s="13"/>
      <c r="FR1090" s="13"/>
      <c r="FS1090" s="13"/>
      <c r="FT1090" s="13"/>
      <c r="FU1090" s="13"/>
      <c r="FV1090" s="13"/>
      <c r="FW1090" s="13"/>
      <c r="FX1090" s="13"/>
      <c r="FY1090" s="13"/>
      <c r="FZ1090" s="13"/>
      <c r="GA1090" s="13"/>
    </row>
    <row r="1091" spans="1:183" s="56" customFormat="1" x14ac:dyDescent="0.25">
      <c r="A1091" s="2"/>
      <c r="B1091" s="2"/>
      <c r="C1091" s="9"/>
      <c r="D1091" s="9"/>
      <c r="E1091" s="9"/>
      <c r="F1091" s="9"/>
      <c r="G1091" s="9"/>
      <c r="H1091" s="9"/>
      <c r="I1091" s="43"/>
      <c r="J1091" s="9"/>
      <c r="K1091" s="43"/>
      <c r="L1091" s="39"/>
      <c r="M1091" s="43"/>
      <c r="N1091"/>
      <c r="O1091"/>
      <c r="P1091"/>
      <c r="Q1091"/>
      <c r="R1091"/>
      <c r="S1091"/>
      <c r="T1091"/>
      <c r="U1091"/>
      <c r="V1091"/>
      <c r="W1091" s="52"/>
      <c r="X1091" s="43"/>
      <c r="Y1091"/>
      <c r="Z1091"/>
      <c r="AA1091"/>
      <c r="AB1091"/>
      <c r="AC1091"/>
      <c r="AD1091"/>
      <c r="AE1091"/>
      <c r="AF1091"/>
      <c r="AG1091"/>
      <c r="AH1091" s="52"/>
      <c r="AI1091" s="148"/>
      <c r="AJ1091" s="19"/>
      <c r="AK1091" s="19"/>
      <c r="AL1091" s="19"/>
      <c r="AM1091" s="19"/>
      <c r="AN1091" s="42"/>
      <c r="AO1091" s="54"/>
      <c r="AP1091" s="19"/>
      <c r="AR1091" s="74"/>
      <c r="AS1091" s="42"/>
      <c r="AT1091" s="54"/>
      <c r="AU1091" s="54"/>
      <c r="AV1091" s="19"/>
      <c r="AW1091" s="54"/>
      <c r="AX1091" s="57"/>
      <c r="AY1091" s="54"/>
      <c r="AZ1091" s="54"/>
      <c r="BA1091" s="54"/>
      <c r="BB1091" s="54"/>
      <c r="BC1091" s="57"/>
      <c r="BD1091" s="19"/>
      <c r="BE1091" s="19"/>
      <c r="BF1091" s="19"/>
      <c r="BG1091" s="54"/>
      <c r="BH1091" s="43"/>
      <c r="BI1091" s="54"/>
      <c r="BJ1091" s="55"/>
      <c r="BK1091" s="55"/>
      <c r="BL1091" s="54"/>
      <c r="BM1091" s="56">
        <v>43</v>
      </c>
      <c r="BO1091" s="52"/>
      <c r="BP1091" s="52"/>
      <c r="BQ1091" s="52"/>
      <c r="BR1091" s="52"/>
      <c r="BS1091" s="52"/>
      <c r="BT1091" s="52"/>
      <c r="BU1091" s="52"/>
      <c r="BV1091" s="52"/>
      <c r="BW1091" s="52"/>
      <c r="BX1091" s="52"/>
      <c r="BY1091" s="52"/>
      <c r="BZ1091" s="52"/>
      <c r="CA1091" s="52"/>
      <c r="CB1091" s="52"/>
      <c r="CC1091" s="52"/>
      <c r="CD1091" s="52"/>
      <c r="CE1091" s="52"/>
      <c r="CF1091" s="52"/>
      <c r="CG1091" s="52"/>
      <c r="CH1091" s="52"/>
      <c r="CI1091" s="52"/>
      <c r="CJ1091" s="52"/>
      <c r="CK1091" s="52"/>
      <c r="CL1091" s="52"/>
      <c r="CM1091" s="52"/>
      <c r="CN1091" s="52"/>
      <c r="CO1091" s="52"/>
      <c r="CP1091" s="52"/>
      <c r="CQ1091" s="52"/>
      <c r="CR1091" s="52"/>
      <c r="CS1091" s="52"/>
      <c r="CT1091" s="52"/>
      <c r="CU1091" s="52"/>
      <c r="CV1091" s="52"/>
      <c r="CW1091" s="52"/>
      <c r="CX1091" s="52"/>
      <c r="CY1091" s="52"/>
      <c r="CZ1091" s="52"/>
      <c r="DA1091" s="52"/>
      <c r="DB1091" s="52"/>
      <c r="DC1091" s="52"/>
      <c r="DD1091" s="52"/>
      <c r="DE1091" s="52"/>
      <c r="DF1091" s="52"/>
      <c r="DG1091" s="52"/>
      <c r="DH1091" s="52"/>
      <c r="DI1091" s="52"/>
      <c r="DJ1091" s="52"/>
      <c r="DK1091" s="52"/>
      <c r="DL1091" s="52"/>
      <c r="DM1091" s="52"/>
      <c r="DN1091" s="52"/>
      <c r="DO1091" s="52"/>
      <c r="DP1091" s="52"/>
      <c r="DQ1091" s="52"/>
      <c r="DR1091" s="52"/>
      <c r="DS1091" s="52"/>
      <c r="DT1091" s="52"/>
      <c r="DU1091" s="52"/>
      <c r="DV1091" s="52"/>
      <c r="DW1091" s="52"/>
      <c r="DX1091" s="52"/>
      <c r="DY1091" s="43"/>
      <c r="DZ1091"/>
      <c r="EA1091" s="19"/>
      <c r="EB1091" s="19"/>
      <c r="EC1091" s="9"/>
      <c r="ED1091" s="9"/>
      <c r="EE1091" s="9"/>
      <c r="EF1091" s="9"/>
      <c r="EG1091" s="9"/>
      <c r="EH1091" s="13"/>
      <c r="EI1091" s="13"/>
      <c r="EJ1091" s="13"/>
      <c r="EK1091" s="13"/>
      <c r="EL1091" s="13"/>
      <c r="EM1091" s="13"/>
      <c r="EN1091" s="13"/>
      <c r="EO1091" s="13"/>
      <c r="EP1091" s="13"/>
      <c r="EQ1091" s="13"/>
      <c r="ER1091" s="13"/>
      <c r="ES1091" s="13"/>
      <c r="ET1091" s="13"/>
      <c r="EU1091" s="13"/>
      <c r="EV1091" s="13"/>
      <c r="EW1091" s="13"/>
      <c r="EX1091" s="13"/>
      <c r="EY1091" s="13"/>
      <c r="EZ1091" s="13"/>
      <c r="FA1091" s="13"/>
      <c r="FB1091" s="13"/>
      <c r="FC1091" s="13"/>
      <c r="FD1091" s="13"/>
      <c r="FE1091" s="13"/>
      <c r="FF1091" s="13"/>
      <c r="FG1091" s="13"/>
      <c r="FH1091" s="13"/>
      <c r="FI1091" s="13"/>
      <c r="FJ1091" s="13"/>
      <c r="FK1091" s="13"/>
      <c r="FL1091" s="13"/>
      <c r="FM1091" s="13"/>
      <c r="FN1091" s="13"/>
      <c r="FO1091" s="13"/>
      <c r="FP1091" s="13"/>
      <c r="FQ1091" s="13"/>
      <c r="FR1091" s="13"/>
      <c r="FS1091" s="13"/>
      <c r="FT1091" s="13"/>
      <c r="FU1091" s="13"/>
      <c r="FV1091" s="13"/>
      <c r="FW1091" s="13"/>
      <c r="FX1091" s="13"/>
      <c r="FY1091" s="13"/>
      <c r="FZ1091" s="13"/>
      <c r="GA1091" s="13"/>
    </row>
    <row r="1092" spans="1:183" s="56" customFormat="1" x14ac:dyDescent="0.25">
      <c r="A1092" s="2"/>
      <c r="B1092" s="2"/>
      <c r="C1092" s="9"/>
      <c r="D1092" s="9"/>
      <c r="E1092" s="9"/>
      <c r="F1092" s="9"/>
      <c r="G1092" s="9"/>
      <c r="H1092" s="9"/>
      <c r="I1092" s="43"/>
      <c r="J1092" s="9"/>
      <c r="K1092" s="43"/>
      <c r="L1092" s="39"/>
      <c r="M1092" s="43"/>
      <c r="N1092"/>
      <c r="O1092"/>
      <c r="P1092"/>
      <c r="Q1092"/>
      <c r="R1092"/>
      <c r="S1092"/>
      <c r="T1092"/>
      <c r="U1092"/>
      <c r="V1092"/>
      <c r="W1092" s="52"/>
      <c r="X1092" s="43"/>
      <c r="Y1092"/>
      <c r="Z1092"/>
      <c r="AA1092"/>
      <c r="AB1092"/>
      <c r="AC1092"/>
      <c r="AD1092"/>
      <c r="AE1092"/>
      <c r="AF1092"/>
      <c r="AG1092"/>
      <c r="AH1092" s="52"/>
      <c r="AI1092" s="148"/>
      <c r="AJ1092" s="19"/>
      <c r="AK1092" s="19"/>
      <c r="AL1092" s="19"/>
      <c r="AM1092" s="19"/>
      <c r="AN1092" s="42"/>
      <c r="AO1092" s="54"/>
      <c r="AP1092" s="19"/>
      <c r="AR1092" s="74"/>
      <c r="AS1092" s="42"/>
      <c r="AT1092" s="54"/>
      <c r="AU1092" s="54"/>
      <c r="AV1092" s="19"/>
      <c r="AW1092" s="54"/>
      <c r="AX1092" s="57"/>
      <c r="AY1092" s="54"/>
      <c r="AZ1092" s="54"/>
      <c r="BA1092" s="54"/>
      <c r="BB1092" s="54"/>
      <c r="BC1092" s="57"/>
      <c r="BD1092" s="19"/>
      <c r="BE1092" s="19"/>
      <c r="BF1092" s="19"/>
      <c r="BG1092" s="54"/>
      <c r="BH1092" s="43"/>
      <c r="BI1092" s="54"/>
      <c r="BJ1092" s="55"/>
      <c r="BK1092" s="55"/>
      <c r="BL1092" s="54"/>
      <c r="BM1092" s="56">
        <v>44</v>
      </c>
      <c r="BO1092" s="52"/>
      <c r="BP1092" s="52"/>
      <c r="BQ1092" s="52"/>
      <c r="BR1092" s="52"/>
      <c r="BS1092" s="52"/>
      <c r="BT1092" s="52"/>
      <c r="BU1092" s="52"/>
      <c r="BV1092" s="52"/>
      <c r="BW1092" s="52"/>
      <c r="BX1092" s="52"/>
      <c r="BY1092" s="52"/>
      <c r="BZ1092" s="52"/>
      <c r="CA1092" s="52"/>
      <c r="CB1092" s="52"/>
      <c r="CC1092" s="52"/>
      <c r="CD1092" s="52"/>
      <c r="CE1092" s="52"/>
      <c r="CF1092" s="52"/>
      <c r="CG1092" s="52"/>
      <c r="CH1092" s="52"/>
      <c r="CI1092" s="52"/>
      <c r="CJ1092" s="52"/>
      <c r="CK1092" s="52"/>
      <c r="CL1092" s="52"/>
      <c r="CM1092" s="52"/>
      <c r="CN1092" s="52"/>
      <c r="CO1092" s="52"/>
      <c r="CP1092" s="52"/>
      <c r="CQ1092" s="52"/>
      <c r="CR1092" s="52"/>
      <c r="CS1092" s="52"/>
      <c r="CT1092" s="52"/>
      <c r="CU1092" s="52"/>
      <c r="CV1092" s="52"/>
      <c r="CW1092" s="52"/>
      <c r="CX1092" s="52"/>
      <c r="CY1092" s="52"/>
      <c r="CZ1092" s="52"/>
      <c r="DA1092" s="52"/>
      <c r="DB1092" s="52"/>
      <c r="DC1092" s="52"/>
      <c r="DD1092" s="52"/>
      <c r="DE1092" s="52"/>
      <c r="DF1092" s="52"/>
      <c r="DG1092" s="52"/>
      <c r="DH1092" s="52"/>
      <c r="DI1092" s="52"/>
      <c r="DJ1092" s="52"/>
      <c r="DK1092" s="52"/>
      <c r="DL1092" s="52"/>
      <c r="DM1092" s="52"/>
      <c r="DN1092" s="52"/>
      <c r="DO1092" s="52"/>
      <c r="DP1092" s="52"/>
      <c r="DQ1092" s="52"/>
      <c r="DR1092" s="52"/>
      <c r="DS1092" s="52"/>
      <c r="DT1092" s="52"/>
      <c r="DU1092" s="52"/>
      <c r="DV1092" s="52"/>
      <c r="DW1092" s="52"/>
      <c r="DX1092" s="52"/>
      <c r="DY1092" s="43"/>
      <c r="DZ1092"/>
      <c r="EA1092" s="19"/>
      <c r="EB1092" s="19"/>
      <c r="EC1092" s="9"/>
      <c r="ED1092" s="9"/>
      <c r="EE1092" s="9"/>
      <c r="EF1092" s="9"/>
      <c r="EG1092" s="9"/>
      <c r="EH1092" s="13"/>
      <c r="EI1092" s="13"/>
      <c r="EJ1092" s="13"/>
      <c r="EK1092" s="13"/>
      <c r="EL1092" s="13"/>
      <c r="EM1092" s="13"/>
      <c r="EN1092" s="13"/>
      <c r="EO1092" s="13"/>
      <c r="EP1092" s="13"/>
      <c r="EQ1092" s="13"/>
      <c r="ER1092" s="13"/>
      <c r="ES1092" s="13"/>
      <c r="ET1092" s="13"/>
      <c r="EU1092" s="13"/>
      <c r="EV1092" s="13"/>
      <c r="EW1092" s="13"/>
      <c r="EX1092" s="13"/>
      <c r="EY1092" s="13"/>
      <c r="EZ1092" s="13"/>
      <c r="FA1092" s="13"/>
      <c r="FB1092" s="13"/>
      <c r="FC1092" s="13"/>
      <c r="FD1092" s="13"/>
      <c r="FE1092" s="13"/>
      <c r="FF1092" s="13"/>
      <c r="FG1092" s="13"/>
      <c r="FH1092" s="13"/>
      <c r="FI1092" s="13"/>
      <c r="FJ1092" s="13"/>
      <c r="FK1092" s="13"/>
      <c r="FL1092" s="13"/>
      <c r="FM1092" s="13"/>
      <c r="FN1092" s="13"/>
      <c r="FO1092" s="13"/>
      <c r="FP1092" s="13"/>
      <c r="FQ1092" s="13"/>
      <c r="FR1092" s="13"/>
      <c r="FS1092" s="13"/>
      <c r="FT1092" s="13"/>
      <c r="FU1092" s="13"/>
      <c r="FV1092" s="13"/>
      <c r="FW1092" s="13"/>
      <c r="FX1092" s="13"/>
      <c r="FY1092" s="13"/>
      <c r="FZ1092" s="13"/>
      <c r="GA1092" s="13"/>
    </row>
    <row r="1093" spans="1:183" s="56" customFormat="1" x14ac:dyDescent="0.25">
      <c r="A1093" s="2"/>
      <c r="B1093" s="2"/>
      <c r="C1093" s="9"/>
      <c r="D1093" s="9"/>
      <c r="E1093" s="9"/>
      <c r="F1093" s="9"/>
      <c r="G1093" s="9"/>
      <c r="H1093" s="9"/>
      <c r="I1093" s="43"/>
      <c r="J1093" s="9"/>
      <c r="K1093" s="43"/>
      <c r="L1093" s="39"/>
      <c r="M1093" s="43"/>
      <c r="N1093"/>
      <c r="O1093"/>
      <c r="P1093"/>
      <c r="Q1093"/>
      <c r="R1093"/>
      <c r="S1093"/>
      <c r="T1093"/>
      <c r="U1093"/>
      <c r="V1093"/>
      <c r="W1093" s="52"/>
      <c r="X1093" s="43"/>
      <c r="Y1093"/>
      <c r="Z1093"/>
      <c r="AA1093"/>
      <c r="AB1093"/>
      <c r="AC1093"/>
      <c r="AD1093"/>
      <c r="AE1093"/>
      <c r="AF1093"/>
      <c r="AG1093"/>
      <c r="AH1093" s="52"/>
      <c r="AI1093" s="148"/>
      <c r="AJ1093" s="19"/>
      <c r="AK1093" s="19"/>
      <c r="AL1093" s="19"/>
      <c r="AM1093" s="19"/>
      <c r="AN1093" s="42"/>
      <c r="AO1093" s="54"/>
      <c r="AP1093" s="19"/>
      <c r="AR1093" s="74"/>
      <c r="AS1093" s="42"/>
      <c r="AT1093" s="54"/>
      <c r="AU1093" s="54"/>
      <c r="AV1093" s="19"/>
      <c r="AW1093" s="54"/>
      <c r="AX1093" s="57"/>
      <c r="AY1093" s="54"/>
      <c r="AZ1093" s="54"/>
      <c r="BA1093" s="54"/>
      <c r="BB1093" s="54"/>
      <c r="BC1093" s="57"/>
      <c r="BD1093" s="19"/>
      <c r="BE1093" s="19"/>
      <c r="BF1093" s="19"/>
      <c r="BG1093" s="54"/>
      <c r="BH1093" s="43"/>
      <c r="BI1093" s="54"/>
      <c r="BJ1093" s="55"/>
      <c r="BK1093" s="55"/>
      <c r="BL1093" s="54"/>
      <c r="BM1093" s="56">
        <v>46</v>
      </c>
      <c r="BO1093" s="52"/>
      <c r="BP1093" s="52"/>
      <c r="BQ1093" s="52"/>
      <c r="BR1093" s="52"/>
      <c r="BS1093" s="52"/>
      <c r="BT1093" s="52"/>
      <c r="BU1093" s="52"/>
      <c r="BV1093" s="52"/>
      <c r="BW1093" s="52"/>
      <c r="BX1093" s="52"/>
      <c r="BY1093" s="52"/>
      <c r="BZ1093" s="52"/>
      <c r="CA1093" s="52"/>
      <c r="CB1093" s="52"/>
      <c r="CC1093" s="52"/>
      <c r="CD1093" s="52"/>
      <c r="CE1093" s="52"/>
      <c r="CF1093" s="52"/>
      <c r="CG1093" s="52"/>
      <c r="CH1093" s="52"/>
      <c r="CI1093" s="52"/>
      <c r="CJ1093" s="52"/>
      <c r="CK1093" s="52"/>
      <c r="CL1093" s="52"/>
      <c r="CM1093" s="52"/>
      <c r="CN1093" s="52"/>
      <c r="CO1093" s="52"/>
      <c r="CP1093" s="52"/>
      <c r="CQ1093" s="52"/>
      <c r="CR1093" s="52"/>
      <c r="CS1093" s="52"/>
      <c r="CT1093" s="52"/>
      <c r="CU1093" s="52"/>
      <c r="CV1093" s="52"/>
      <c r="CW1093" s="52"/>
      <c r="CX1093" s="52"/>
      <c r="CY1093" s="52"/>
      <c r="CZ1093" s="52"/>
      <c r="DA1093" s="52"/>
      <c r="DB1093" s="52"/>
      <c r="DC1093" s="52"/>
      <c r="DD1093" s="52"/>
      <c r="DE1093" s="52"/>
      <c r="DF1093" s="52"/>
      <c r="DG1093" s="52"/>
      <c r="DH1093" s="52"/>
      <c r="DI1093" s="52"/>
      <c r="DJ1093" s="52"/>
      <c r="DK1093" s="52"/>
      <c r="DL1093" s="52"/>
      <c r="DM1093" s="52"/>
      <c r="DN1093" s="52"/>
      <c r="DO1093" s="52"/>
      <c r="DP1093" s="52"/>
      <c r="DQ1093" s="52"/>
      <c r="DR1093" s="52"/>
      <c r="DS1093" s="52"/>
      <c r="DT1093" s="52"/>
      <c r="DU1093" s="52"/>
      <c r="DV1093" s="52"/>
      <c r="DW1093" s="52"/>
      <c r="DX1093" s="52"/>
      <c r="DY1093" s="43"/>
      <c r="DZ1093"/>
      <c r="EA1093" s="19"/>
      <c r="EB1093" s="19"/>
      <c r="EC1093" s="9"/>
      <c r="ED1093" s="9"/>
      <c r="EE1093" s="9"/>
      <c r="EF1093" s="9"/>
      <c r="EG1093" s="9"/>
      <c r="EH1093" s="13"/>
      <c r="EI1093" s="13"/>
      <c r="EJ1093" s="13"/>
      <c r="EK1093" s="13"/>
      <c r="EL1093" s="13"/>
      <c r="EM1093" s="13"/>
      <c r="EN1093" s="13"/>
      <c r="EO1093" s="13"/>
      <c r="EP1093" s="13"/>
      <c r="EQ1093" s="13"/>
      <c r="ER1093" s="13"/>
      <c r="ES1093" s="13"/>
      <c r="ET1093" s="13"/>
      <c r="EU1093" s="13"/>
      <c r="EV1093" s="13"/>
      <c r="EW1093" s="13"/>
      <c r="EX1093" s="13"/>
      <c r="EY1093" s="13"/>
      <c r="EZ1093" s="13"/>
      <c r="FA1093" s="13"/>
      <c r="FB1093" s="13"/>
      <c r="FC1093" s="13"/>
      <c r="FD1093" s="13"/>
      <c r="FE1093" s="13"/>
      <c r="FF1093" s="13"/>
      <c r="FG1093" s="13"/>
      <c r="FH1093" s="13"/>
      <c r="FI1093" s="13"/>
      <c r="FJ1093" s="13"/>
      <c r="FK1093" s="13"/>
      <c r="FL1093" s="13"/>
      <c r="FM1093" s="13"/>
      <c r="FN1093" s="13"/>
      <c r="FO1093" s="13"/>
      <c r="FP1093" s="13"/>
      <c r="FQ1093" s="13"/>
      <c r="FR1093" s="13"/>
      <c r="FS1093" s="13"/>
      <c r="FT1093" s="13"/>
      <c r="FU1093" s="13"/>
      <c r="FV1093" s="13"/>
      <c r="FW1093" s="13"/>
      <c r="FX1093" s="13"/>
      <c r="FY1093" s="13"/>
      <c r="FZ1093" s="13"/>
      <c r="GA1093" s="13"/>
    </row>
    <row r="1094" spans="1:183" s="56" customFormat="1" x14ac:dyDescent="0.25">
      <c r="A1094" s="2"/>
      <c r="B1094" s="2"/>
      <c r="C1094" s="9"/>
      <c r="D1094" s="9"/>
      <c r="E1094" s="9"/>
      <c r="F1094" s="9"/>
      <c r="G1094" s="9"/>
      <c r="H1094" s="9"/>
      <c r="I1094" s="43"/>
      <c r="J1094" s="9"/>
      <c r="K1094" s="43"/>
      <c r="L1094" s="39"/>
      <c r="M1094" s="43"/>
      <c r="N1094"/>
      <c r="O1094"/>
      <c r="P1094"/>
      <c r="Q1094"/>
      <c r="R1094"/>
      <c r="S1094"/>
      <c r="T1094"/>
      <c r="U1094"/>
      <c r="V1094"/>
      <c r="W1094" s="52"/>
      <c r="X1094" s="43"/>
      <c r="Y1094"/>
      <c r="Z1094"/>
      <c r="AA1094"/>
      <c r="AB1094"/>
      <c r="AC1094"/>
      <c r="AD1094"/>
      <c r="AE1094"/>
      <c r="AF1094"/>
      <c r="AG1094"/>
      <c r="AH1094" s="52"/>
      <c r="AI1094" s="148"/>
      <c r="AJ1094" s="19"/>
      <c r="AK1094" s="19"/>
      <c r="AL1094" s="19"/>
      <c r="AM1094" s="19"/>
      <c r="AN1094" s="42"/>
      <c r="AO1094" s="54"/>
      <c r="AP1094" s="19"/>
      <c r="AR1094" s="74"/>
      <c r="AS1094" s="42"/>
      <c r="AT1094" s="54"/>
      <c r="AU1094" s="54"/>
      <c r="AV1094" s="19"/>
      <c r="AW1094" s="54"/>
      <c r="AX1094" s="57"/>
      <c r="AY1094" s="54"/>
      <c r="AZ1094" s="54"/>
      <c r="BA1094" s="54"/>
      <c r="BB1094" s="54"/>
      <c r="BC1094" s="57"/>
      <c r="BD1094" s="19"/>
      <c r="BE1094" s="19"/>
      <c r="BF1094" s="19"/>
      <c r="BG1094" s="54"/>
      <c r="BH1094" s="43"/>
      <c r="BI1094" s="54"/>
      <c r="BJ1094" s="55"/>
      <c r="BK1094" s="55"/>
      <c r="BL1094" s="54"/>
      <c r="BM1094" s="56">
        <v>48</v>
      </c>
      <c r="BO1094" s="52"/>
      <c r="BP1094" s="52"/>
      <c r="BQ1094" s="52"/>
      <c r="BR1094" s="52"/>
      <c r="BS1094" s="52"/>
      <c r="BT1094" s="52"/>
      <c r="BU1094" s="52"/>
      <c r="BV1094" s="52"/>
      <c r="BW1094" s="52"/>
      <c r="BX1094" s="52"/>
      <c r="BY1094" s="52"/>
      <c r="BZ1094" s="52"/>
      <c r="CA1094" s="52"/>
      <c r="CB1094" s="52"/>
      <c r="CC1094" s="52"/>
      <c r="CD1094" s="52"/>
      <c r="CE1094" s="52"/>
      <c r="CF1094" s="52"/>
      <c r="CG1094" s="52"/>
      <c r="CH1094" s="52"/>
      <c r="CI1094" s="52"/>
      <c r="CJ1094" s="52"/>
      <c r="CK1094" s="52"/>
      <c r="CL1094" s="52"/>
      <c r="CM1094" s="52"/>
      <c r="CN1094" s="52"/>
      <c r="CO1094" s="52"/>
      <c r="CP1094" s="52"/>
      <c r="CQ1094" s="52"/>
      <c r="CR1094" s="52"/>
      <c r="CS1094" s="52"/>
      <c r="CT1094" s="52"/>
      <c r="CU1094" s="52"/>
      <c r="CV1094" s="52"/>
      <c r="CW1094" s="52"/>
      <c r="CX1094" s="52"/>
      <c r="CY1094" s="52"/>
      <c r="CZ1094" s="52"/>
      <c r="DA1094" s="52"/>
      <c r="DB1094" s="52"/>
      <c r="DC1094" s="52"/>
      <c r="DD1094" s="52"/>
      <c r="DE1094" s="52"/>
      <c r="DF1094" s="52"/>
      <c r="DG1094" s="52"/>
      <c r="DH1094" s="52"/>
      <c r="DI1094" s="52"/>
      <c r="DJ1094" s="52"/>
      <c r="DK1094" s="52"/>
      <c r="DL1094" s="52"/>
      <c r="DM1094" s="52"/>
      <c r="DN1094" s="52"/>
      <c r="DO1094" s="52"/>
      <c r="DP1094" s="52"/>
      <c r="DQ1094" s="52"/>
      <c r="DR1094" s="52"/>
      <c r="DS1094" s="52"/>
      <c r="DT1094" s="52"/>
      <c r="DU1094" s="52"/>
      <c r="DV1094" s="52"/>
      <c r="DW1094" s="52"/>
      <c r="DX1094" s="52"/>
      <c r="DY1094" s="43"/>
      <c r="DZ1094"/>
      <c r="EA1094" s="19"/>
      <c r="EB1094" s="19"/>
      <c r="EC1094" s="9"/>
      <c r="ED1094" s="9"/>
      <c r="EE1094" s="9"/>
      <c r="EF1094" s="9"/>
      <c r="EG1094" s="9"/>
      <c r="EH1094" s="13"/>
      <c r="EI1094" s="13"/>
      <c r="EJ1094" s="13"/>
      <c r="EK1094" s="13"/>
      <c r="EL1094" s="13"/>
      <c r="EM1094" s="13"/>
      <c r="EN1094" s="13"/>
      <c r="EO1094" s="13"/>
      <c r="EP1094" s="13"/>
      <c r="EQ1094" s="13"/>
      <c r="ER1094" s="13"/>
      <c r="ES1094" s="13"/>
      <c r="ET1094" s="13"/>
      <c r="EU1094" s="13"/>
      <c r="EV1094" s="13"/>
      <c r="EW1094" s="13"/>
      <c r="EX1094" s="13"/>
      <c r="EY1094" s="13"/>
      <c r="EZ1094" s="13"/>
      <c r="FA1094" s="13"/>
      <c r="FB1094" s="13"/>
      <c r="FC1094" s="13"/>
      <c r="FD1094" s="13"/>
      <c r="FE1094" s="13"/>
      <c r="FF1094" s="13"/>
      <c r="FG1094" s="13"/>
      <c r="FH1094" s="13"/>
      <c r="FI1094" s="13"/>
      <c r="FJ1094" s="13"/>
      <c r="FK1094" s="13"/>
      <c r="FL1094" s="13"/>
      <c r="FM1094" s="13"/>
      <c r="FN1094" s="13"/>
      <c r="FO1094" s="13"/>
      <c r="FP1094" s="13"/>
      <c r="FQ1094" s="13"/>
      <c r="FR1094" s="13"/>
      <c r="FS1094" s="13"/>
      <c r="FT1094" s="13"/>
      <c r="FU1094" s="13"/>
      <c r="FV1094" s="13"/>
      <c r="FW1094" s="13"/>
      <c r="FX1094" s="13"/>
      <c r="FY1094" s="13"/>
      <c r="FZ1094" s="13"/>
      <c r="GA1094" s="13"/>
    </row>
    <row r="1095" spans="1:183" s="56" customFormat="1" x14ac:dyDescent="0.25">
      <c r="A1095" s="2"/>
      <c r="B1095" s="2"/>
      <c r="C1095" s="9"/>
      <c r="D1095" s="9"/>
      <c r="E1095" s="9"/>
      <c r="F1095" s="9"/>
      <c r="G1095" s="9"/>
      <c r="H1095" s="9"/>
      <c r="I1095" s="43"/>
      <c r="J1095" s="9"/>
      <c r="K1095" s="43"/>
      <c r="L1095" s="39"/>
      <c r="M1095" s="43"/>
      <c r="N1095"/>
      <c r="O1095"/>
      <c r="P1095"/>
      <c r="Q1095"/>
      <c r="R1095"/>
      <c r="S1095"/>
      <c r="T1095"/>
      <c r="U1095"/>
      <c r="V1095"/>
      <c r="W1095" s="52"/>
      <c r="X1095" s="43"/>
      <c r="Y1095"/>
      <c r="Z1095"/>
      <c r="AA1095"/>
      <c r="AB1095"/>
      <c r="AC1095"/>
      <c r="AD1095"/>
      <c r="AE1095"/>
      <c r="AF1095"/>
      <c r="AG1095"/>
      <c r="AH1095" s="52"/>
      <c r="AI1095" s="148"/>
      <c r="AJ1095" s="19"/>
      <c r="AK1095" s="19"/>
      <c r="AL1095" s="19"/>
      <c r="AM1095" s="19"/>
      <c r="AN1095" s="42"/>
      <c r="AO1095" s="54"/>
      <c r="AP1095" s="19"/>
      <c r="AR1095" s="74"/>
      <c r="AS1095" s="42"/>
      <c r="AT1095" s="54"/>
      <c r="AU1095" s="54"/>
      <c r="AV1095" s="19"/>
      <c r="AW1095" s="54"/>
      <c r="AX1095" s="57"/>
      <c r="AY1095" s="54"/>
      <c r="AZ1095" s="54"/>
      <c r="BA1095" s="54"/>
      <c r="BB1095" s="54"/>
      <c r="BC1095" s="57"/>
      <c r="BD1095" s="19"/>
      <c r="BE1095" s="19"/>
      <c r="BF1095" s="19"/>
      <c r="BG1095" s="54"/>
      <c r="BH1095" s="43"/>
      <c r="BI1095" s="54"/>
      <c r="BJ1095" s="55"/>
      <c r="BK1095" s="55"/>
      <c r="BL1095" s="54"/>
      <c r="BM1095" s="56">
        <v>52</v>
      </c>
      <c r="BO1095" s="52"/>
      <c r="BP1095" s="52"/>
      <c r="BQ1095" s="52"/>
      <c r="BR1095" s="52"/>
      <c r="BS1095" s="52"/>
      <c r="BT1095" s="52"/>
      <c r="BU1095" s="52"/>
      <c r="BV1095" s="52"/>
      <c r="BW1095" s="52"/>
      <c r="BX1095" s="52"/>
      <c r="BY1095" s="52"/>
      <c r="BZ1095" s="52"/>
      <c r="CA1095" s="52"/>
      <c r="CB1095" s="52"/>
      <c r="CC1095" s="52"/>
      <c r="CD1095" s="52"/>
      <c r="CE1095" s="52"/>
      <c r="CF1095" s="52"/>
      <c r="CG1095" s="52"/>
      <c r="CH1095" s="52"/>
      <c r="CI1095" s="52"/>
      <c r="CJ1095" s="52"/>
      <c r="CK1095" s="52"/>
      <c r="CL1095" s="52"/>
      <c r="CM1095" s="52"/>
      <c r="CN1095" s="52"/>
      <c r="CO1095" s="52"/>
      <c r="CP1095" s="52"/>
      <c r="CQ1095" s="52"/>
      <c r="CR1095" s="52"/>
      <c r="CS1095" s="52"/>
      <c r="CT1095" s="52"/>
      <c r="CU1095" s="52"/>
      <c r="CV1095" s="52"/>
      <c r="CW1095" s="52"/>
      <c r="CX1095" s="52"/>
      <c r="CY1095" s="52"/>
      <c r="CZ1095" s="52"/>
      <c r="DA1095" s="52"/>
      <c r="DB1095" s="52"/>
      <c r="DC1095" s="52"/>
      <c r="DD1095" s="52"/>
      <c r="DE1095" s="52"/>
      <c r="DF1095" s="52"/>
      <c r="DG1095" s="52"/>
      <c r="DH1095" s="52"/>
      <c r="DI1095" s="52"/>
      <c r="DJ1095" s="52"/>
      <c r="DK1095" s="52"/>
      <c r="DL1095" s="52"/>
      <c r="DM1095" s="52"/>
      <c r="DN1095" s="52"/>
      <c r="DO1095" s="52"/>
      <c r="DP1095" s="52"/>
      <c r="DQ1095" s="52"/>
      <c r="DR1095" s="52"/>
      <c r="DS1095" s="52"/>
      <c r="DT1095" s="52"/>
      <c r="DU1095" s="52"/>
      <c r="DV1095" s="52"/>
      <c r="DW1095" s="52"/>
      <c r="DX1095" s="52"/>
      <c r="DY1095" s="43"/>
      <c r="DZ1095"/>
      <c r="EA1095" s="19"/>
      <c r="EB1095" s="19"/>
      <c r="EC1095" s="9"/>
      <c r="ED1095" s="9"/>
      <c r="EE1095" s="9"/>
      <c r="EF1095" s="9"/>
      <c r="EG1095" s="9"/>
      <c r="EH1095" s="13"/>
      <c r="EI1095" s="13"/>
      <c r="EJ1095" s="13"/>
      <c r="EK1095" s="13"/>
      <c r="EL1095" s="13"/>
      <c r="EM1095" s="13"/>
      <c r="EN1095" s="13"/>
      <c r="EO1095" s="13"/>
      <c r="EP1095" s="13"/>
      <c r="EQ1095" s="13"/>
      <c r="ER1095" s="13"/>
      <c r="ES1095" s="13"/>
      <c r="ET1095" s="13"/>
      <c r="EU1095" s="13"/>
      <c r="EV1095" s="13"/>
      <c r="EW1095" s="13"/>
      <c r="EX1095" s="13"/>
      <c r="EY1095" s="13"/>
      <c r="EZ1095" s="13"/>
      <c r="FA1095" s="13"/>
      <c r="FB1095" s="13"/>
      <c r="FC1095" s="13"/>
      <c r="FD1095" s="13"/>
      <c r="FE1095" s="13"/>
      <c r="FF1095" s="13"/>
      <c r="FG1095" s="13"/>
      <c r="FH1095" s="13"/>
      <c r="FI1095" s="13"/>
      <c r="FJ1095" s="13"/>
      <c r="FK1095" s="13"/>
      <c r="FL1095" s="13"/>
      <c r="FM1095" s="13"/>
      <c r="FN1095" s="13"/>
      <c r="FO1095" s="13"/>
      <c r="FP1095" s="13"/>
      <c r="FQ1095" s="13"/>
      <c r="FR1095" s="13"/>
      <c r="FS1095" s="13"/>
      <c r="FT1095" s="13"/>
      <c r="FU1095" s="13"/>
      <c r="FV1095" s="13"/>
      <c r="FW1095" s="13"/>
      <c r="FX1095" s="13"/>
      <c r="FY1095" s="13"/>
      <c r="FZ1095" s="13"/>
      <c r="GA1095" s="13"/>
    </row>
    <row r="1096" spans="1:183" s="56" customFormat="1" x14ac:dyDescent="0.25">
      <c r="A1096" s="2"/>
      <c r="B1096" s="2"/>
      <c r="C1096" s="9"/>
      <c r="D1096" s="9"/>
      <c r="E1096" s="9"/>
      <c r="F1096" s="9"/>
      <c r="G1096" s="9"/>
      <c r="H1096" s="9"/>
      <c r="I1096" s="43"/>
      <c r="J1096" s="9"/>
      <c r="K1096" s="43"/>
      <c r="L1096" s="39"/>
      <c r="M1096" s="43"/>
      <c r="N1096"/>
      <c r="O1096"/>
      <c r="P1096"/>
      <c r="Q1096"/>
      <c r="R1096"/>
      <c r="S1096"/>
      <c r="T1096"/>
      <c r="U1096"/>
      <c r="V1096"/>
      <c r="W1096" s="52"/>
      <c r="X1096" s="43"/>
      <c r="Y1096"/>
      <c r="Z1096"/>
      <c r="AA1096"/>
      <c r="AB1096"/>
      <c r="AC1096"/>
      <c r="AD1096"/>
      <c r="AE1096"/>
      <c r="AF1096"/>
      <c r="AG1096"/>
      <c r="AH1096" s="52"/>
      <c r="AI1096" s="148"/>
      <c r="AJ1096" s="19"/>
      <c r="AK1096" s="19"/>
      <c r="AL1096" s="19"/>
      <c r="AM1096" s="19"/>
      <c r="AN1096" s="42"/>
      <c r="AO1096" s="54"/>
      <c r="AP1096" s="19"/>
      <c r="AR1096" s="74"/>
      <c r="AS1096" s="42"/>
      <c r="AT1096" s="54"/>
      <c r="AU1096" s="54"/>
      <c r="AV1096" s="19"/>
      <c r="AW1096" s="54"/>
      <c r="AX1096" s="57"/>
      <c r="AY1096" s="54"/>
      <c r="AZ1096" s="54"/>
      <c r="BA1096" s="54"/>
      <c r="BB1096" s="54"/>
      <c r="BC1096" s="57"/>
      <c r="BD1096" s="19"/>
      <c r="BE1096" s="19"/>
      <c r="BF1096" s="19"/>
      <c r="BG1096" s="54"/>
      <c r="BH1096" s="43"/>
      <c r="BI1096" s="54"/>
      <c r="BJ1096" s="55"/>
      <c r="BK1096" s="55"/>
      <c r="BL1096" s="54"/>
      <c r="BM1096" s="56">
        <v>53</v>
      </c>
      <c r="BO1096" s="52"/>
      <c r="BP1096" s="52"/>
      <c r="BQ1096" s="52"/>
      <c r="BR1096" s="52"/>
      <c r="BS1096" s="52"/>
      <c r="BT1096" s="52"/>
      <c r="BU1096" s="52"/>
      <c r="BV1096" s="52"/>
      <c r="BW1096" s="52"/>
      <c r="BX1096" s="52"/>
      <c r="BY1096" s="52"/>
      <c r="BZ1096" s="52"/>
      <c r="CA1096" s="52"/>
      <c r="CB1096" s="52"/>
      <c r="CC1096" s="52"/>
      <c r="CD1096" s="52"/>
      <c r="CE1096" s="52"/>
      <c r="CF1096" s="52"/>
      <c r="CG1096" s="52"/>
      <c r="CH1096" s="52"/>
      <c r="CI1096" s="52"/>
      <c r="CJ1096" s="52"/>
      <c r="CK1096" s="52"/>
      <c r="CL1096" s="52"/>
      <c r="CM1096" s="52"/>
      <c r="CN1096" s="52"/>
      <c r="CO1096" s="52"/>
      <c r="CP1096" s="52"/>
      <c r="CQ1096" s="52"/>
      <c r="CR1096" s="52"/>
      <c r="CS1096" s="52"/>
      <c r="CT1096" s="52"/>
      <c r="CU1096" s="52"/>
      <c r="CV1096" s="52"/>
      <c r="CW1096" s="52"/>
      <c r="CX1096" s="52"/>
      <c r="CY1096" s="52"/>
      <c r="CZ1096" s="52"/>
      <c r="DA1096" s="52"/>
      <c r="DB1096" s="52"/>
      <c r="DC1096" s="52"/>
      <c r="DD1096" s="52"/>
      <c r="DE1096" s="52"/>
      <c r="DF1096" s="52"/>
      <c r="DG1096" s="52"/>
      <c r="DH1096" s="52"/>
      <c r="DI1096" s="52"/>
      <c r="DJ1096" s="52"/>
      <c r="DK1096" s="52"/>
      <c r="DL1096" s="52"/>
      <c r="DM1096" s="52"/>
      <c r="DN1096" s="52"/>
      <c r="DO1096" s="52"/>
      <c r="DP1096" s="52"/>
      <c r="DQ1096" s="52"/>
      <c r="DR1096" s="52"/>
      <c r="DS1096" s="52"/>
      <c r="DT1096" s="52"/>
      <c r="DU1096" s="52"/>
      <c r="DV1096" s="52"/>
      <c r="DW1096" s="52"/>
      <c r="DX1096" s="52"/>
      <c r="DY1096" s="43"/>
      <c r="DZ1096"/>
      <c r="EA1096" s="19"/>
      <c r="EB1096" s="19"/>
      <c r="EC1096" s="9"/>
      <c r="ED1096" s="9"/>
      <c r="EE1096" s="9"/>
      <c r="EF1096" s="9"/>
      <c r="EG1096" s="9"/>
      <c r="EH1096" s="13"/>
      <c r="EI1096" s="13"/>
      <c r="EJ1096" s="13"/>
      <c r="EK1096" s="13"/>
      <c r="EL1096" s="13"/>
      <c r="EM1096" s="13"/>
      <c r="EN1096" s="13"/>
      <c r="EO1096" s="13"/>
      <c r="EP1096" s="13"/>
      <c r="EQ1096" s="13"/>
      <c r="ER1096" s="13"/>
      <c r="ES1096" s="13"/>
      <c r="ET1096" s="13"/>
      <c r="EU1096" s="13"/>
      <c r="EV1096" s="13"/>
      <c r="EW1096" s="13"/>
      <c r="EX1096" s="13"/>
      <c r="EY1096" s="13"/>
      <c r="EZ1096" s="13"/>
      <c r="FA1096" s="13"/>
      <c r="FB1096" s="13"/>
      <c r="FC1096" s="13"/>
      <c r="FD1096" s="13"/>
      <c r="FE1096" s="13"/>
      <c r="FF1096" s="13"/>
      <c r="FG1096" s="13"/>
      <c r="FH1096" s="13"/>
      <c r="FI1096" s="13"/>
      <c r="FJ1096" s="13"/>
      <c r="FK1096" s="13"/>
      <c r="FL1096" s="13"/>
      <c r="FM1096" s="13"/>
      <c r="FN1096" s="13"/>
      <c r="FO1096" s="13"/>
      <c r="FP1096" s="13"/>
      <c r="FQ1096" s="13"/>
      <c r="FR1096" s="13"/>
      <c r="FS1096" s="13"/>
      <c r="FT1096" s="13"/>
      <c r="FU1096" s="13"/>
      <c r="FV1096" s="13"/>
      <c r="FW1096" s="13"/>
      <c r="FX1096" s="13"/>
      <c r="FY1096" s="13"/>
      <c r="FZ1096" s="13"/>
      <c r="GA1096" s="13"/>
    </row>
    <row r="1097" spans="1:183" s="56" customFormat="1" x14ac:dyDescent="0.25">
      <c r="A1097" s="2"/>
      <c r="B1097" s="2"/>
      <c r="C1097" s="9"/>
      <c r="D1097" s="9"/>
      <c r="E1097" s="9"/>
      <c r="F1097" s="9"/>
      <c r="G1097" s="9"/>
      <c r="H1097" s="9"/>
      <c r="I1097" s="43"/>
      <c r="J1097" s="9"/>
      <c r="K1097" s="43"/>
      <c r="L1097" s="39"/>
      <c r="M1097" s="43"/>
      <c r="N1097"/>
      <c r="O1097"/>
      <c r="P1097"/>
      <c r="Q1097"/>
      <c r="R1097"/>
      <c r="S1097"/>
      <c r="T1097"/>
      <c r="U1097"/>
      <c r="V1097"/>
      <c r="W1097" s="52"/>
      <c r="X1097" s="43"/>
      <c r="Y1097"/>
      <c r="Z1097"/>
      <c r="AA1097"/>
      <c r="AB1097"/>
      <c r="AC1097"/>
      <c r="AD1097"/>
      <c r="AE1097"/>
      <c r="AF1097"/>
      <c r="AG1097"/>
      <c r="AH1097" s="52"/>
      <c r="AI1097" s="148"/>
      <c r="AJ1097" s="19"/>
      <c r="AK1097" s="19"/>
      <c r="AL1097" s="19"/>
      <c r="AM1097" s="19"/>
      <c r="AN1097" s="42"/>
      <c r="AO1097" s="54"/>
      <c r="AP1097" s="19"/>
      <c r="AR1097" s="74"/>
      <c r="AS1097" s="42"/>
      <c r="AT1097" s="54"/>
      <c r="AU1097" s="54"/>
      <c r="AV1097" s="19"/>
      <c r="AW1097" s="54"/>
      <c r="AX1097" s="57"/>
      <c r="AY1097" s="54"/>
      <c r="AZ1097" s="54"/>
      <c r="BA1097" s="54"/>
      <c r="BB1097" s="54"/>
      <c r="BC1097" s="57"/>
      <c r="BD1097" s="19"/>
      <c r="BE1097" s="19"/>
      <c r="BF1097" s="19"/>
      <c r="BG1097" s="54"/>
      <c r="BH1097" s="43"/>
      <c r="BI1097" s="54"/>
      <c r="BJ1097" s="55"/>
      <c r="BK1097" s="55"/>
      <c r="BL1097" s="54"/>
      <c r="BM1097" s="56">
        <v>55</v>
      </c>
      <c r="BO1097" s="52"/>
      <c r="BP1097" s="52"/>
      <c r="BQ1097" s="52"/>
      <c r="BR1097" s="52"/>
      <c r="BS1097" s="52"/>
      <c r="BT1097" s="52"/>
      <c r="BU1097" s="52"/>
      <c r="BV1097" s="52"/>
      <c r="BW1097" s="52"/>
      <c r="BX1097" s="52"/>
      <c r="BY1097" s="52"/>
      <c r="BZ1097" s="52"/>
      <c r="CA1097" s="52"/>
      <c r="CB1097" s="52"/>
      <c r="CC1097" s="52"/>
      <c r="CD1097" s="52"/>
      <c r="CE1097" s="52"/>
      <c r="CF1097" s="52"/>
      <c r="CG1097" s="52"/>
      <c r="CH1097" s="52"/>
      <c r="CI1097" s="52"/>
      <c r="CJ1097" s="52"/>
      <c r="CK1097" s="52"/>
      <c r="CL1097" s="52"/>
      <c r="CM1097" s="52"/>
      <c r="CN1097" s="52"/>
      <c r="CO1097" s="52"/>
      <c r="CP1097" s="52"/>
      <c r="CQ1097" s="52"/>
      <c r="CR1097" s="52"/>
      <c r="CS1097" s="52"/>
      <c r="CT1097" s="52"/>
      <c r="CU1097" s="52"/>
      <c r="CV1097" s="52"/>
      <c r="CW1097" s="52"/>
      <c r="CX1097" s="52"/>
      <c r="CY1097" s="52"/>
      <c r="CZ1097" s="52"/>
      <c r="DA1097" s="52"/>
      <c r="DB1097" s="52"/>
      <c r="DC1097" s="52"/>
      <c r="DD1097" s="52"/>
      <c r="DE1097" s="52"/>
      <c r="DF1097" s="52"/>
      <c r="DG1097" s="52"/>
      <c r="DH1097" s="52"/>
      <c r="DI1097" s="52"/>
      <c r="DJ1097" s="52"/>
      <c r="DK1097" s="52"/>
      <c r="DL1097" s="52"/>
      <c r="DM1097" s="52"/>
      <c r="DN1097" s="52"/>
      <c r="DO1097" s="52"/>
      <c r="DP1097" s="52"/>
      <c r="DQ1097" s="52"/>
      <c r="DR1097" s="52"/>
      <c r="DS1097" s="52"/>
      <c r="DT1097" s="52"/>
      <c r="DU1097" s="52"/>
      <c r="DV1097" s="52"/>
      <c r="DW1097" s="52"/>
      <c r="DX1097" s="52"/>
      <c r="DY1097" s="43"/>
      <c r="DZ1097"/>
      <c r="EA1097" s="19"/>
      <c r="EB1097" s="19"/>
      <c r="EC1097" s="9"/>
      <c r="ED1097" s="9"/>
      <c r="EE1097" s="9"/>
      <c r="EF1097" s="9"/>
      <c r="EG1097" s="9"/>
      <c r="EH1097" s="13"/>
      <c r="EI1097" s="13"/>
      <c r="EJ1097" s="13"/>
      <c r="EK1097" s="13"/>
      <c r="EL1097" s="13"/>
      <c r="EM1097" s="13"/>
      <c r="EN1097" s="13"/>
      <c r="EO1097" s="13"/>
      <c r="EP1097" s="13"/>
      <c r="EQ1097" s="13"/>
      <c r="ER1097" s="13"/>
      <c r="ES1097" s="13"/>
      <c r="ET1097" s="13"/>
      <c r="EU1097" s="13"/>
      <c r="EV1097" s="13"/>
      <c r="EW1097" s="13"/>
      <c r="EX1097" s="13"/>
      <c r="EY1097" s="13"/>
      <c r="EZ1097" s="13"/>
      <c r="FA1097" s="13"/>
      <c r="FB1097" s="13"/>
      <c r="FC1097" s="13"/>
      <c r="FD1097" s="13"/>
      <c r="FE1097" s="13"/>
      <c r="FF1097" s="13"/>
      <c r="FG1097" s="13"/>
      <c r="FH1097" s="13"/>
      <c r="FI1097" s="13"/>
      <c r="FJ1097" s="13"/>
      <c r="FK1097" s="13"/>
      <c r="FL1097" s="13"/>
      <c r="FM1097" s="13"/>
      <c r="FN1097" s="13"/>
      <c r="FO1097" s="13"/>
      <c r="FP1097" s="13"/>
      <c r="FQ1097" s="13"/>
      <c r="FR1097" s="13"/>
      <c r="FS1097" s="13"/>
      <c r="FT1097" s="13"/>
      <c r="FU1097" s="13"/>
      <c r="FV1097" s="13"/>
      <c r="FW1097" s="13"/>
      <c r="FX1097" s="13"/>
      <c r="FY1097" s="13"/>
      <c r="FZ1097" s="13"/>
      <c r="GA1097" s="13"/>
    </row>
    <row r="1098" spans="1:183" s="56" customFormat="1" x14ac:dyDescent="0.25">
      <c r="A1098" s="2"/>
      <c r="B1098" s="2"/>
      <c r="C1098" s="9"/>
      <c r="D1098" s="9"/>
      <c r="E1098" s="9"/>
      <c r="F1098" s="9"/>
      <c r="G1098" s="9"/>
      <c r="H1098" s="9"/>
      <c r="I1098" s="43"/>
      <c r="J1098" s="9"/>
      <c r="K1098" s="43"/>
      <c r="L1098" s="39"/>
      <c r="M1098" s="43"/>
      <c r="N1098"/>
      <c r="O1098"/>
      <c r="P1098"/>
      <c r="Q1098"/>
      <c r="R1098"/>
      <c r="S1098"/>
      <c r="T1098"/>
      <c r="U1098"/>
      <c r="V1098"/>
      <c r="W1098" s="52"/>
      <c r="X1098" s="43"/>
      <c r="Y1098"/>
      <c r="Z1098"/>
      <c r="AA1098"/>
      <c r="AB1098"/>
      <c r="AC1098"/>
      <c r="AD1098"/>
      <c r="AE1098"/>
      <c r="AF1098"/>
      <c r="AG1098"/>
      <c r="AH1098" s="52"/>
      <c r="AI1098" s="148"/>
      <c r="AJ1098" s="19"/>
      <c r="AK1098" s="19"/>
      <c r="AL1098" s="19"/>
      <c r="AM1098" s="19"/>
      <c r="AN1098" s="42"/>
      <c r="AO1098" s="54"/>
      <c r="AP1098" s="19"/>
      <c r="AR1098" s="74"/>
      <c r="AS1098" s="42"/>
      <c r="AT1098" s="54"/>
      <c r="AU1098" s="54"/>
      <c r="AV1098" s="19"/>
      <c r="AW1098" s="54"/>
      <c r="AX1098" s="57"/>
      <c r="AY1098" s="54"/>
      <c r="AZ1098" s="54"/>
      <c r="BA1098" s="54"/>
      <c r="BB1098" s="54"/>
      <c r="BC1098" s="57"/>
      <c r="BD1098" s="19"/>
      <c r="BE1098" s="19"/>
      <c r="BF1098" s="19"/>
      <c r="BG1098" s="54"/>
      <c r="BH1098" s="43"/>
      <c r="BI1098" s="54"/>
      <c r="BJ1098" s="55"/>
      <c r="BK1098" s="55"/>
      <c r="BL1098" s="54"/>
      <c r="BM1098" s="56">
        <v>57</v>
      </c>
      <c r="BO1098" s="52"/>
      <c r="BP1098" s="52"/>
      <c r="BQ1098" s="52"/>
      <c r="BR1098" s="52"/>
      <c r="BS1098" s="52"/>
      <c r="BT1098" s="52"/>
      <c r="BU1098" s="52"/>
      <c r="BV1098" s="52"/>
      <c r="BW1098" s="52"/>
      <c r="BX1098" s="52"/>
      <c r="BY1098" s="52"/>
      <c r="BZ1098" s="52"/>
      <c r="CA1098" s="52"/>
      <c r="CB1098" s="52"/>
      <c r="CC1098" s="52"/>
      <c r="CD1098" s="52"/>
      <c r="CE1098" s="52"/>
      <c r="CF1098" s="52"/>
      <c r="CG1098" s="52"/>
      <c r="CH1098" s="52"/>
      <c r="CI1098" s="52"/>
      <c r="CJ1098" s="52"/>
      <c r="CK1098" s="52"/>
      <c r="CL1098" s="52"/>
      <c r="CM1098" s="52"/>
      <c r="CN1098" s="52"/>
      <c r="CO1098" s="52"/>
      <c r="CP1098" s="52"/>
      <c r="CQ1098" s="52"/>
      <c r="CR1098" s="52"/>
      <c r="CS1098" s="52"/>
      <c r="CT1098" s="52"/>
      <c r="CU1098" s="52"/>
      <c r="CV1098" s="52"/>
      <c r="CW1098" s="52"/>
      <c r="CX1098" s="52"/>
      <c r="CY1098" s="52"/>
      <c r="CZ1098" s="52"/>
      <c r="DA1098" s="52"/>
      <c r="DB1098" s="52"/>
      <c r="DC1098" s="52"/>
      <c r="DD1098" s="52"/>
      <c r="DE1098" s="52"/>
      <c r="DF1098" s="52"/>
      <c r="DG1098" s="52"/>
      <c r="DH1098" s="52"/>
      <c r="DI1098" s="52"/>
      <c r="DJ1098" s="52"/>
      <c r="DK1098" s="52"/>
      <c r="DL1098" s="52"/>
      <c r="DM1098" s="52"/>
      <c r="DN1098" s="52"/>
      <c r="DO1098" s="52"/>
      <c r="DP1098" s="52"/>
      <c r="DQ1098" s="52"/>
      <c r="DR1098" s="52"/>
      <c r="DS1098" s="52"/>
      <c r="DT1098" s="52"/>
      <c r="DU1098" s="52"/>
      <c r="DV1098" s="52"/>
      <c r="DW1098" s="52"/>
      <c r="DX1098" s="52"/>
      <c r="DY1098" s="43"/>
      <c r="DZ1098"/>
      <c r="EA1098" s="19"/>
      <c r="EB1098" s="19"/>
      <c r="EC1098" s="9"/>
      <c r="ED1098" s="9"/>
      <c r="EE1098" s="9"/>
      <c r="EF1098" s="9"/>
      <c r="EG1098" s="9"/>
      <c r="EH1098" s="13"/>
      <c r="EI1098" s="13"/>
      <c r="EJ1098" s="13"/>
      <c r="EK1098" s="13"/>
      <c r="EL1098" s="13"/>
      <c r="EM1098" s="13"/>
      <c r="EN1098" s="13"/>
      <c r="EO1098" s="13"/>
      <c r="EP1098" s="13"/>
      <c r="EQ1098" s="13"/>
      <c r="ER1098" s="13"/>
      <c r="ES1098" s="13"/>
      <c r="ET1098" s="13"/>
      <c r="EU1098" s="13"/>
      <c r="EV1098" s="13"/>
      <c r="EW1098" s="13"/>
      <c r="EX1098" s="13"/>
      <c r="EY1098" s="13"/>
      <c r="EZ1098" s="13"/>
      <c r="FA1098" s="13"/>
      <c r="FB1098" s="13"/>
      <c r="FC1098" s="13"/>
      <c r="FD1098" s="13"/>
      <c r="FE1098" s="13"/>
      <c r="FF1098" s="13"/>
      <c r="FG1098" s="13"/>
      <c r="FH1098" s="13"/>
      <c r="FI1098" s="13"/>
      <c r="FJ1098" s="13"/>
      <c r="FK1098" s="13"/>
      <c r="FL1098" s="13"/>
      <c r="FM1098" s="13"/>
      <c r="FN1098" s="13"/>
      <c r="FO1098" s="13"/>
      <c r="FP1098" s="13"/>
      <c r="FQ1098" s="13"/>
      <c r="FR1098" s="13"/>
      <c r="FS1098" s="13"/>
      <c r="FT1098" s="13"/>
      <c r="FU1098" s="13"/>
      <c r="FV1098" s="13"/>
      <c r="FW1098" s="13"/>
      <c r="FX1098" s="13"/>
      <c r="FY1098" s="13"/>
      <c r="FZ1098" s="13"/>
      <c r="GA1098" s="13"/>
    </row>
    <row r="1099" spans="1:183" s="56" customFormat="1" x14ac:dyDescent="0.25">
      <c r="A1099" s="2"/>
      <c r="B1099" s="2"/>
      <c r="C1099" s="9"/>
      <c r="D1099" s="9"/>
      <c r="E1099" s="9"/>
      <c r="F1099" s="9"/>
      <c r="G1099" s="9"/>
      <c r="H1099" s="9"/>
      <c r="I1099" s="43"/>
      <c r="J1099" s="9"/>
      <c r="K1099" s="43"/>
      <c r="L1099" s="39"/>
      <c r="M1099" s="43"/>
      <c r="N1099"/>
      <c r="O1099"/>
      <c r="P1099"/>
      <c r="Q1099"/>
      <c r="R1099"/>
      <c r="S1099"/>
      <c r="T1099"/>
      <c r="U1099"/>
      <c r="V1099"/>
      <c r="W1099" s="52"/>
      <c r="X1099" s="43"/>
      <c r="Y1099"/>
      <c r="Z1099"/>
      <c r="AA1099"/>
      <c r="AB1099"/>
      <c r="AC1099"/>
      <c r="AD1099"/>
      <c r="AE1099"/>
      <c r="AF1099"/>
      <c r="AG1099"/>
      <c r="AH1099" s="52"/>
      <c r="AI1099" s="148"/>
      <c r="AJ1099" s="19"/>
      <c r="AK1099" s="19"/>
      <c r="AL1099" s="19"/>
      <c r="AM1099" s="19"/>
      <c r="AN1099" s="42"/>
      <c r="AO1099" s="54"/>
      <c r="AP1099" s="19"/>
      <c r="AR1099" s="74"/>
      <c r="AS1099" s="42"/>
      <c r="AT1099" s="54"/>
      <c r="AU1099" s="54"/>
      <c r="AV1099" s="19"/>
      <c r="AW1099" s="54"/>
      <c r="AX1099" s="57"/>
      <c r="AY1099" s="54"/>
      <c r="AZ1099" s="54"/>
      <c r="BA1099" s="54"/>
      <c r="BB1099" s="54"/>
      <c r="BC1099" s="57"/>
      <c r="BD1099" s="19"/>
      <c r="BE1099" s="19"/>
      <c r="BF1099" s="19"/>
      <c r="BG1099" s="54"/>
      <c r="BH1099" s="43"/>
      <c r="BI1099" s="54"/>
      <c r="BJ1099" s="55"/>
      <c r="BK1099" s="55"/>
      <c r="BL1099" s="54"/>
      <c r="BM1099" s="56">
        <v>58</v>
      </c>
      <c r="BO1099" s="52"/>
      <c r="BP1099" s="52"/>
      <c r="BQ1099" s="52"/>
      <c r="BR1099" s="52"/>
      <c r="BS1099" s="52"/>
      <c r="BT1099" s="52"/>
      <c r="BU1099" s="52"/>
      <c r="BV1099" s="52"/>
      <c r="BW1099" s="52"/>
      <c r="BX1099" s="52"/>
      <c r="BY1099" s="52"/>
      <c r="BZ1099" s="52"/>
      <c r="CA1099" s="52"/>
      <c r="CB1099" s="52"/>
      <c r="CC1099" s="52"/>
      <c r="CD1099" s="52"/>
      <c r="CE1099" s="52"/>
      <c r="CF1099" s="52"/>
      <c r="CG1099" s="52"/>
      <c r="CH1099" s="52"/>
      <c r="CI1099" s="52"/>
      <c r="CJ1099" s="52"/>
      <c r="CK1099" s="52"/>
      <c r="CL1099" s="52"/>
      <c r="CM1099" s="52"/>
      <c r="CN1099" s="52"/>
      <c r="CO1099" s="52"/>
      <c r="CP1099" s="52"/>
      <c r="CQ1099" s="52"/>
      <c r="CR1099" s="52"/>
      <c r="CS1099" s="52"/>
      <c r="CT1099" s="52"/>
      <c r="CU1099" s="52"/>
      <c r="CV1099" s="52"/>
      <c r="CW1099" s="52"/>
      <c r="CX1099" s="52"/>
      <c r="CY1099" s="52"/>
      <c r="CZ1099" s="52"/>
      <c r="DA1099" s="52"/>
      <c r="DB1099" s="52"/>
      <c r="DC1099" s="52"/>
      <c r="DD1099" s="52"/>
      <c r="DE1099" s="52"/>
      <c r="DF1099" s="52"/>
      <c r="DG1099" s="52"/>
      <c r="DH1099" s="52"/>
      <c r="DI1099" s="52"/>
      <c r="DJ1099" s="52"/>
      <c r="DK1099" s="52"/>
      <c r="DL1099" s="52"/>
      <c r="DM1099" s="52"/>
      <c r="DN1099" s="52"/>
      <c r="DO1099" s="52"/>
      <c r="DP1099" s="52"/>
      <c r="DQ1099" s="52"/>
      <c r="DR1099" s="52"/>
      <c r="DS1099" s="52"/>
      <c r="DT1099" s="52"/>
      <c r="DU1099" s="52"/>
      <c r="DV1099" s="52"/>
      <c r="DW1099" s="52"/>
      <c r="DX1099" s="52"/>
      <c r="DY1099" s="43"/>
      <c r="DZ1099"/>
      <c r="EA1099" s="19"/>
      <c r="EB1099" s="19"/>
      <c r="EC1099" s="9"/>
      <c r="ED1099" s="9"/>
      <c r="EE1099" s="9"/>
      <c r="EF1099" s="9"/>
      <c r="EG1099" s="9"/>
      <c r="EH1099" s="13"/>
      <c r="EI1099" s="13"/>
      <c r="EJ1099" s="13"/>
      <c r="EK1099" s="13"/>
      <c r="EL1099" s="13"/>
      <c r="EM1099" s="13"/>
      <c r="EN1099" s="13"/>
      <c r="EO1099" s="13"/>
      <c r="EP1099" s="13"/>
      <c r="EQ1099" s="13"/>
      <c r="ER1099" s="13"/>
      <c r="ES1099" s="13"/>
      <c r="ET1099" s="13"/>
      <c r="EU1099" s="13"/>
      <c r="EV1099" s="13"/>
      <c r="EW1099" s="13"/>
      <c r="EX1099" s="13"/>
      <c r="EY1099" s="13"/>
      <c r="EZ1099" s="13"/>
      <c r="FA1099" s="13"/>
      <c r="FB1099" s="13"/>
      <c r="FC1099" s="13"/>
      <c r="FD1099" s="13"/>
      <c r="FE1099" s="13"/>
      <c r="FF1099" s="13"/>
      <c r="FG1099" s="13"/>
      <c r="FH1099" s="13"/>
      <c r="FI1099" s="13"/>
      <c r="FJ1099" s="13"/>
      <c r="FK1099" s="13"/>
      <c r="FL1099" s="13"/>
      <c r="FM1099" s="13"/>
      <c r="FN1099" s="13"/>
      <c r="FO1099" s="13"/>
      <c r="FP1099" s="13"/>
      <c r="FQ1099" s="13"/>
      <c r="FR1099" s="13"/>
      <c r="FS1099" s="13"/>
      <c r="FT1099" s="13"/>
      <c r="FU1099" s="13"/>
      <c r="FV1099" s="13"/>
      <c r="FW1099" s="13"/>
      <c r="FX1099" s="13"/>
      <c r="FY1099" s="13"/>
      <c r="FZ1099" s="13"/>
      <c r="GA1099" s="13"/>
    </row>
    <row r="1100" spans="1:183" s="56" customFormat="1" x14ac:dyDescent="0.25">
      <c r="A1100" s="2"/>
      <c r="B1100" s="2"/>
      <c r="C1100" s="9"/>
      <c r="D1100" s="9"/>
      <c r="E1100" s="9"/>
      <c r="F1100" s="9"/>
      <c r="G1100" s="9"/>
      <c r="H1100" s="9"/>
      <c r="I1100" s="43"/>
      <c r="J1100" s="9"/>
      <c r="K1100" s="43"/>
      <c r="L1100" s="39"/>
      <c r="M1100" s="43"/>
      <c r="N1100"/>
      <c r="O1100"/>
      <c r="P1100"/>
      <c r="Q1100"/>
      <c r="R1100"/>
      <c r="S1100"/>
      <c r="T1100"/>
      <c r="U1100"/>
      <c r="V1100"/>
      <c r="W1100" s="52"/>
      <c r="X1100" s="43"/>
      <c r="Y1100"/>
      <c r="Z1100"/>
      <c r="AA1100"/>
      <c r="AB1100"/>
      <c r="AC1100"/>
      <c r="AD1100"/>
      <c r="AE1100"/>
      <c r="AF1100"/>
      <c r="AG1100"/>
      <c r="AH1100" s="52"/>
      <c r="AI1100" s="148"/>
      <c r="AJ1100" s="19"/>
      <c r="AK1100" s="19"/>
      <c r="AL1100" s="19"/>
      <c r="AM1100" s="19"/>
      <c r="AN1100" s="42"/>
      <c r="AO1100" s="54"/>
      <c r="AP1100" s="19"/>
      <c r="AR1100" s="74"/>
      <c r="AS1100" s="42"/>
      <c r="AT1100" s="54"/>
      <c r="AU1100" s="54"/>
      <c r="AV1100" s="19"/>
      <c r="AW1100" s="54"/>
      <c r="AX1100" s="57"/>
      <c r="AY1100" s="54"/>
      <c r="AZ1100" s="54"/>
      <c r="BA1100" s="54"/>
      <c r="BB1100" s="54"/>
      <c r="BC1100" s="57"/>
      <c r="BD1100" s="19"/>
      <c r="BE1100" s="19"/>
      <c r="BF1100" s="19"/>
      <c r="BG1100" s="54"/>
      <c r="BH1100" s="43"/>
      <c r="BI1100" s="54"/>
      <c r="BJ1100" s="55"/>
      <c r="BK1100" s="55"/>
      <c r="BL1100" s="54"/>
      <c r="BM1100" s="56">
        <v>60</v>
      </c>
      <c r="BO1100" s="52"/>
      <c r="BP1100" s="52"/>
      <c r="BQ1100" s="52"/>
      <c r="BR1100" s="52"/>
      <c r="BS1100" s="52"/>
      <c r="BT1100" s="52"/>
      <c r="BU1100" s="52"/>
      <c r="BV1100" s="52"/>
      <c r="BW1100" s="52"/>
      <c r="BX1100" s="52"/>
      <c r="BY1100" s="52"/>
      <c r="BZ1100" s="52"/>
      <c r="CA1100" s="52"/>
      <c r="CB1100" s="52"/>
      <c r="CC1100" s="52"/>
      <c r="CD1100" s="52"/>
      <c r="CE1100" s="52"/>
      <c r="CF1100" s="52"/>
      <c r="CG1100" s="52"/>
      <c r="CH1100" s="52"/>
      <c r="CI1100" s="52"/>
      <c r="CJ1100" s="52"/>
      <c r="CK1100" s="52"/>
      <c r="CL1100" s="52"/>
      <c r="CM1100" s="52"/>
      <c r="CN1100" s="52"/>
      <c r="CO1100" s="52"/>
      <c r="CP1100" s="52"/>
      <c r="CQ1100" s="52"/>
      <c r="CR1100" s="52"/>
      <c r="CS1100" s="52"/>
      <c r="CT1100" s="52"/>
      <c r="CU1100" s="52"/>
      <c r="CV1100" s="52"/>
      <c r="CW1100" s="52"/>
      <c r="CX1100" s="52"/>
      <c r="CY1100" s="52"/>
      <c r="CZ1100" s="52"/>
      <c r="DA1100" s="52"/>
      <c r="DB1100" s="52"/>
      <c r="DC1100" s="52"/>
      <c r="DD1100" s="52"/>
      <c r="DE1100" s="52"/>
      <c r="DF1100" s="52"/>
      <c r="DG1100" s="52"/>
      <c r="DH1100" s="52"/>
      <c r="DI1100" s="52"/>
      <c r="DJ1100" s="52"/>
      <c r="DK1100" s="52"/>
      <c r="DL1100" s="52"/>
      <c r="DM1100" s="52"/>
      <c r="DN1100" s="52"/>
      <c r="DO1100" s="52"/>
      <c r="DP1100" s="52"/>
      <c r="DQ1100" s="52"/>
      <c r="DR1100" s="52"/>
      <c r="DS1100" s="52"/>
      <c r="DT1100" s="52"/>
      <c r="DU1100" s="52"/>
      <c r="DV1100" s="52"/>
      <c r="DW1100" s="52"/>
      <c r="DX1100" s="52"/>
      <c r="DY1100" s="43"/>
      <c r="DZ1100"/>
      <c r="EA1100" s="19"/>
      <c r="EB1100" s="19"/>
      <c r="EC1100" s="9"/>
      <c r="ED1100" s="9"/>
      <c r="EE1100" s="9"/>
      <c r="EF1100" s="9"/>
      <c r="EG1100" s="9"/>
      <c r="EH1100" s="13"/>
      <c r="EI1100" s="13"/>
      <c r="EJ1100" s="13"/>
      <c r="EK1100" s="13"/>
      <c r="EL1100" s="13"/>
      <c r="EM1100" s="13"/>
      <c r="EN1100" s="13"/>
      <c r="EO1100" s="13"/>
      <c r="EP1100" s="13"/>
      <c r="EQ1100" s="13"/>
      <c r="ER1100" s="13"/>
      <c r="ES1100" s="13"/>
      <c r="ET1100" s="13"/>
      <c r="EU1100" s="13"/>
      <c r="EV1100" s="13"/>
      <c r="EW1100" s="13"/>
      <c r="EX1100" s="13"/>
      <c r="EY1100" s="13"/>
      <c r="EZ1100" s="13"/>
      <c r="FA1100" s="13"/>
      <c r="FB1100" s="13"/>
      <c r="FC1100" s="13"/>
      <c r="FD1100" s="13"/>
      <c r="FE1100" s="13"/>
      <c r="FF1100" s="13"/>
      <c r="FG1100" s="13"/>
      <c r="FH1100" s="13"/>
      <c r="FI1100" s="13"/>
      <c r="FJ1100" s="13"/>
      <c r="FK1100" s="13"/>
      <c r="FL1100" s="13"/>
      <c r="FM1100" s="13"/>
      <c r="FN1100" s="13"/>
      <c r="FO1100" s="13"/>
      <c r="FP1100" s="13"/>
      <c r="FQ1100" s="13"/>
      <c r="FR1100" s="13"/>
      <c r="FS1100" s="13"/>
      <c r="FT1100" s="13"/>
      <c r="FU1100" s="13"/>
      <c r="FV1100" s="13"/>
      <c r="FW1100" s="13"/>
      <c r="FX1100" s="13"/>
      <c r="FY1100" s="13"/>
      <c r="FZ1100" s="13"/>
      <c r="GA1100" s="13"/>
    </row>
    <row r="1101" spans="1:183" s="56" customFormat="1" x14ac:dyDescent="0.25">
      <c r="A1101" s="2"/>
      <c r="B1101" s="2"/>
      <c r="C1101" s="9"/>
      <c r="D1101" s="9"/>
      <c r="E1101" s="9"/>
      <c r="F1101" s="9"/>
      <c r="G1101" s="9"/>
      <c r="H1101" s="9"/>
      <c r="I1101" s="43"/>
      <c r="J1101" s="9"/>
      <c r="K1101" s="43"/>
      <c r="L1101" s="39"/>
      <c r="M1101" s="43"/>
      <c r="N1101"/>
      <c r="O1101"/>
      <c r="P1101"/>
      <c r="Q1101"/>
      <c r="R1101"/>
      <c r="S1101"/>
      <c r="T1101"/>
      <c r="U1101"/>
      <c r="V1101"/>
      <c r="W1101" s="52"/>
      <c r="X1101" s="43"/>
      <c r="Y1101"/>
      <c r="Z1101"/>
      <c r="AA1101"/>
      <c r="AB1101"/>
      <c r="AC1101"/>
      <c r="AD1101"/>
      <c r="AE1101"/>
      <c r="AF1101"/>
      <c r="AG1101"/>
      <c r="AH1101" s="52"/>
      <c r="AI1101" s="148"/>
      <c r="AJ1101" s="19"/>
      <c r="AK1101" s="19"/>
      <c r="AL1101" s="19"/>
      <c r="AM1101" s="19"/>
      <c r="AN1101" s="42"/>
      <c r="AO1101" s="54"/>
      <c r="AP1101" s="19"/>
      <c r="AR1101" s="74"/>
      <c r="AS1101" s="42"/>
      <c r="AT1101" s="54"/>
      <c r="AU1101" s="54"/>
      <c r="AV1101" s="19"/>
      <c r="AW1101" s="54"/>
      <c r="AX1101" s="57"/>
      <c r="AY1101" s="54"/>
      <c r="AZ1101" s="54"/>
      <c r="BA1101" s="54"/>
      <c r="BB1101" s="54"/>
      <c r="BC1101" s="57"/>
      <c r="BD1101" s="19"/>
      <c r="BE1101" s="19"/>
      <c r="BF1101" s="19"/>
      <c r="BG1101" s="54"/>
      <c r="BH1101" s="43"/>
      <c r="BI1101" s="54"/>
      <c r="BJ1101" s="55"/>
      <c r="BK1101" s="55"/>
      <c r="BL1101" s="54"/>
      <c r="BM1101" s="56">
        <v>61</v>
      </c>
      <c r="BO1101" s="52"/>
      <c r="BP1101" s="52"/>
      <c r="BQ1101" s="52"/>
      <c r="BR1101" s="52"/>
      <c r="BS1101" s="52"/>
      <c r="BT1101" s="52"/>
      <c r="BU1101" s="52"/>
      <c r="BV1101" s="52"/>
      <c r="BW1101" s="52"/>
      <c r="BX1101" s="52"/>
      <c r="BY1101" s="52"/>
      <c r="BZ1101" s="52"/>
      <c r="CA1101" s="52"/>
      <c r="CB1101" s="52"/>
      <c r="CC1101" s="52"/>
      <c r="CD1101" s="52"/>
      <c r="CE1101" s="52"/>
      <c r="CF1101" s="52"/>
      <c r="CG1101" s="52"/>
      <c r="CH1101" s="52"/>
      <c r="CI1101" s="52"/>
      <c r="CJ1101" s="52"/>
      <c r="CK1101" s="52"/>
      <c r="CL1101" s="52"/>
      <c r="CM1101" s="52"/>
      <c r="CN1101" s="52"/>
      <c r="CO1101" s="52"/>
      <c r="CP1101" s="52"/>
      <c r="CQ1101" s="52"/>
      <c r="CR1101" s="52"/>
      <c r="CS1101" s="52"/>
      <c r="CT1101" s="52"/>
      <c r="CU1101" s="52"/>
      <c r="CV1101" s="52"/>
      <c r="CW1101" s="52"/>
      <c r="CX1101" s="52"/>
      <c r="CY1101" s="52"/>
      <c r="CZ1101" s="52"/>
      <c r="DA1101" s="52"/>
      <c r="DB1101" s="52"/>
      <c r="DC1101" s="52"/>
      <c r="DD1101" s="52"/>
      <c r="DE1101" s="52"/>
      <c r="DF1101" s="52"/>
      <c r="DG1101" s="52"/>
      <c r="DH1101" s="52"/>
      <c r="DI1101" s="52"/>
      <c r="DJ1101" s="52"/>
      <c r="DK1101" s="52"/>
      <c r="DL1101" s="52"/>
      <c r="DM1101" s="52"/>
      <c r="DN1101" s="52"/>
      <c r="DO1101" s="52"/>
      <c r="DP1101" s="52"/>
      <c r="DQ1101" s="52"/>
      <c r="DR1101" s="52"/>
      <c r="DS1101" s="52"/>
      <c r="DT1101" s="52"/>
      <c r="DU1101" s="52"/>
      <c r="DV1101" s="52"/>
      <c r="DW1101" s="52"/>
      <c r="DX1101" s="52"/>
      <c r="DY1101" s="43"/>
      <c r="DZ1101"/>
      <c r="EA1101" s="19"/>
      <c r="EB1101" s="19"/>
      <c r="EC1101" s="9"/>
      <c r="ED1101" s="9"/>
      <c r="EE1101" s="9"/>
      <c r="EF1101" s="9"/>
      <c r="EG1101" s="9"/>
      <c r="EH1101" s="13"/>
      <c r="EI1101" s="13"/>
      <c r="EJ1101" s="13"/>
      <c r="EK1101" s="13"/>
      <c r="EL1101" s="13"/>
      <c r="EM1101" s="13"/>
      <c r="EN1101" s="13"/>
      <c r="EO1101" s="13"/>
      <c r="EP1101" s="13"/>
      <c r="EQ1101" s="13"/>
      <c r="ER1101" s="13"/>
      <c r="ES1101" s="13"/>
      <c r="ET1101" s="13"/>
      <c r="EU1101" s="13"/>
      <c r="EV1101" s="13"/>
      <c r="EW1101" s="13"/>
      <c r="EX1101" s="13"/>
      <c r="EY1101" s="13"/>
      <c r="EZ1101" s="13"/>
      <c r="FA1101" s="13"/>
      <c r="FB1101" s="13"/>
      <c r="FC1101" s="13"/>
      <c r="FD1101" s="13"/>
      <c r="FE1101" s="13"/>
      <c r="FF1101" s="13"/>
      <c r="FG1101" s="13"/>
      <c r="FH1101" s="13"/>
      <c r="FI1101" s="13"/>
      <c r="FJ1101" s="13"/>
      <c r="FK1101" s="13"/>
      <c r="FL1101" s="13"/>
      <c r="FM1101" s="13"/>
      <c r="FN1101" s="13"/>
      <c r="FO1101" s="13"/>
      <c r="FP1101" s="13"/>
      <c r="FQ1101" s="13"/>
      <c r="FR1101" s="13"/>
      <c r="FS1101" s="13"/>
      <c r="FT1101" s="13"/>
      <c r="FU1101" s="13"/>
      <c r="FV1101" s="13"/>
      <c r="FW1101" s="13"/>
      <c r="FX1101" s="13"/>
      <c r="FY1101" s="13"/>
      <c r="FZ1101" s="13"/>
      <c r="GA1101" s="13"/>
    </row>
    <row r="1102" spans="1:183" s="56" customFormat="1" x14ac:dyDescent="0.25">
      <c r="A1102" s="2"/>
      <c r="B1102" s="2"/>
      <c r="C1102" s="9"/>
      <c r="D1102" s="9"/>
      <c r="E1102" s="9"/>
      <c r="F1102" s="9"/>
      <c r="G1102" s="9"/>
      <c r="H1102" s="9"/>
      <c r="I1102" s="43"/>
      <c r="J1102" s="9"/>
      <c r="K1102" s="43"/>
      <c r="L1102" s="39"/>
      <c r="M1102" s="43"/>
      <c r="N1102"/>
      <c r="O1102"/>
      <c r="P1102"/>
      <c r="Q1102"/>
      <c r="R1102"/>
      <c r="S1102"/>
      <c r="T1102"/>
      <c r="U1102"/>
      <c r="V1102"/>
      <c r="W1102" s="52"/>
      <c r="X1102" s="43"/>
      <c r="Y1102"/>
      <c r="Z1102"/>
      <c r="AA1102"/>
      <c r="AB1102"/>
      <c r="AC1102"/>
      <c r="AD1102"/>
      <c r="AE1102"/>
      <c r="AF1102"/>
      <c r="AG1102"/>
      <c r="AH1102" s="52"/>
      <c r="AI1102" s="148"/>
      <c r="AJ1102" s="19"/>
      <c r="AK1102" s="19"/>
      <c r="AL1102" s="19"/>
      <c r="AM1102" s="19"/>
      <c r="AN1102" s="42"/>
      <c r="AO1102" s="54"/>
      <c r="AP1102" s="19"/>
      <c r="AR1102" s="74"/>
      <c r="AS1102" s="42"/>
      <c r="AT1102" s="54"/>
      <c r="AU1102" s="54"/>
      <c r="AV1102" s="19"/>
      <c r="AW1102" s="54"/>
      <c r="AX1102" s="57"/>
      <c r="AY1102" s="54"/>
      <c r="AZ1102" s="54"/>
      <c r="BA1102" s="54"/>
      <c r="BB1102" s="54"/>
      <c r="BC1102" s="57"/>
      <c r="BD1102" s="19"/>
      <c r="BE1102" s="19"/>
      <c r="BF1102" s="19"/>
      <c r="BG1102" s="54"/>
      <c r="BH1102" s="43"/>
      <c r="BI1102" s="54"/>
      <c r="BJ1102" s="55"/>
      <c r="BK1102" s="55"/>
      <c r="BL1102" s="54"/>
      <c r="BM1102" s="56">
        <v>64</v>
      </c>
      <c r="BO1102" s="52"/>
      <c r="BP1102" s="52"/>
      <c r="BQ1102" s="52"/>
      <c r="BR1102" s="52"/>
      <c r="BS1102" s="52"/>
      <c r="BT1102" s="52"/>
      <c r="BU1102" s="52"/>
      <c r="BV1102" s="52"/>
      <c r="BW1102" s="52"/>
      <c r="BX1102" s="52"/>
      <c r="BY1102" s="52"/>
      <c r="BZ1102" s="52"/>
      <c r="CA1102" s="52"/>
      <c r="CB1102" s="52"/>
      <c r="CC1102" s="52"/>
      <c r="CD1102" s="52"/>
      <c r="CE1102" s="52"/>
      <c r="CF1102" s="52"/>
      <c r="CG1102" s="52"/>
      <c r="CH1102" s="52"/>
      <c r="CI1102" s="52"/>
      <c r="CJ1102" s="52"/>
      <c r="CK1102" s="52"/>
      <c r="CL1102" s="52"/>
      <c r="CM1102" s="52"/>
      <c r="CN1102" s="52"/>
      <c r="CO1102" s="52"/>
      <c r="CP1102" s="52"/>
      <c r="CQ1102" s="52"/>
      <c r="CR1102" s="52"/>
      <c r="CS1102" s="52"/>
      <c r="CT1102" s="52"/>
      <c r="CU1102" s="52"/>
      <c r="CV1102" s="52"/>
      <c r="CW1102" s="52"/>
      <c r="CX1102" s="52"/>
      <c r="CY1102" s="52"/>
      <c r="CZ1102" s="52"/>
      <c r="DA1102" s="52"/>
      <c r="DB1102" s="52"/>
      <c r="DC1102" s="52"/>
      <c r="DD1102" s="52"/>
      <c r="DE1102" s="52"/>
      <c r="DF1102" s="52"/>
      <c r="DG1102" s="52"/>
      <c r="DH1102" s="52"/>
      <c r="DI1102" s="52"/>
      <c r="DJ1102" s="52"/>
      <c r="DK1102" s="52"/>
      <c r="DL1102" s="52"/>
      <c r="DM1102" s="52"/>
      <c r="DN1102" s="52"/>
      <c r="DO1102" s="52"/>
      <c r="DP1102" s="52"/>
      <c r="DQ1102" s="52"/>
      <c r="DR1102" s="52"/>
      <c r="DS1102" s="52"/>
      <c r="DT1102" s="52"/>
      <c r="DU1102" s="52"/>
      <c r="DV1102" s="52"/>
      <c r="DW1102" s="52"/>
      <c r="DX1102" s="52"/>
      <c r="DY1102" s="43"/>
      <c r="DZ1102"/>
      <c r="EA1102" s="19"/>
      <c r="EB1102" s="19"/>
      <c r="EC1102" s="9"/>
      <c r="ED1102" s="9"/>
      <c r="EE1102" s="9"/>
      <c r="EF1102" s="9"/>
      <c r="EG1102" s="9"/>
      <c r="EH1102" s="13"/>
      <c r="EI1102" s="13"/>
      <c r="EJ1102" s="13"/>
      <c r="EK1102" s="13"/>
      <c r="EL1102" s="13"/>
      <c r="EM1102" s="13"/>
      <c r="EN1102" s="13"/>
      <c r="EO1102" s="13"/>
      <c r="EP1102" s="13"/>
      <c r="EQ1102" s="13"/>
      <c r="ER1102" s="13"/>
      <c r="ES1102" s="13"/>
      <c r="ET1102" s="13"/>
      <c r="EU1102" s="13"/>
      <c r="EV1102" s="13"/>
      <c r="EW1102" s="13"/>
      <c r="EX1102" s="13"/>
      <c r="EY1102" s="13"/>
      <c r="EZ1102" s="13"/>
      <c r="FA1102" s="13"/>
      <c r="FB1102" s="13"/>
      <c r="FC1102" s="13"/>
      <c r="FD1102" s="13"/>
      <c r="FE1102" s="13"/>
      <c r="FF1102" s="13"/>
      <c r="FG1102" s="13"/>
      <c r="FH1102" s="13"/>
      <c r="FI1102" s="13"/>
      <c r="FJ1102" s="13"/>
      <c r="FK1102" s="13"/>
      <c r="FL1102" s="13"/>
      <c r="FM1102" s="13"/>
      <c r="FN1102" s="13"/>
      <c r="FO1102" s="13"/>
      <c r="FP1102" s="13"/>
      <c r="FQ1102" s="13"/>
      <c r="FR1102" s="13"/>
      <c r="FS1102" s="13"/>
      <c r="FT1102" s="13"/>
      <c r="FU1102" s="13"/>
      <c r="FV1102" s="13"/>
      <c r="FW1102" s="13"/>
      <c r="FX1102" s="13"/>
      <c r="FY1102" s="13"/>
      <c r="FZ1102" s="13"/>
      <c r="GA1102" s="13"/>
    </row>
    <row r="1103" spans="1:183" s="56" customFormat="1" x14ac:dyDescent="0.25">
      <c r="A1103" s="2"/>
      <c r="B1103" s="2"/>
      <c r="C1103" s="9"/>
      <c r="D1103" s="9"/>
      <c r="E1103" s="9"/>
      <c r="F1103" s="9"/>
      <c r="G1103" s="9"/>
      <c r="H1103" s="9"/>
      <c r="I1103" s="43"/>
      <c r="J1103" s="9"/>
      <c r="K1103" s="43"/>
      <c r="L1103" s="39"/>
      <c r="M1103" s="43"/>
      <c r="N1103"/>
      <c r="O1103"/>
      <c r="P1103"/>
      <c r="Q1103"/>
      <c r="R1103"/>
      <c r="S1103"/>
      <c r="T1103"/>
      <c r="U1103"/>
      <c r="V1103"/>
      <c r="W1103" s="52"/>
      <c r="X1103" s="43"/>
      <c r="Y1103"/>
      <c r="Z1103"/>
      <c r="AA1103"/>
      <c r="AB1103"/>
      <c r="AC1103"/>
      <c r="AD1103"/>
      <c r="AE1103"/>
      <c r="AF1103"/>
      <c r="AG1103"/>
      <c r="AH1103" s="52"/>
      <c r="AI1103" s="148"/>
      <c r="AJ1103" s="19"/>
      <c r="AK1103" s="19"/>
      <c r="AL1103" s="19"/>
      <c r="AM1103" s="19"/>
      <c r="AN1103" s="42"/>
      <c r="AO1103" s="54"/>
      <c r="AP1103" s="19"/>
      <c r="AR1103" s="74"/>
      <c r="AS1103" s="42"/>
      <c r="AT1103" s="54"/>
      <c r="AU1103" s="54"/>
      <c r="AV1103" s="19"/>
      <c r="AW1103" s="54"/>
      <c r="AX1103" s="57"/>
      <c r="AY1103" s="54"/>
      <c r="AZ1103" s="54"/>
      <c r="BA1103" s="54"/>
      <c r="BB1103" s="54"/>
      <c r="BC1103" s="57"/>
      <c r="BD1103" s="19"/>
      <c r="BE1103" s="19"/>
      <c r="BF1103" s="19"/>
      <c r="BG1103" s="54"/>
      <c r="BH1103" s="43"/>
      <c r="BI1103" s="54"/>
      <c r="BJ1103" s="55"/>
      <c r="BK1103" s="55"/>
      <c r="BL1103" s="54"/>
      <c r="BM1103" s="56">
        <v>65</v>
      </c>
      <c r="BO1103" s="52"/>
      <c r="BP1103" s="52"/>
      <c r="BQ1103" s="52"/>
      <c r="BR1103" s="52"/>
      <c r="BS1103" s="52"/>
      <c r="BT1103" s="52"/>
      <c r="BU1103" s="52"/>
      <c r="BV1103" s="52"/>
      <c r="BW1103" s="52"/>
      <c r="BX1103" s="52"/>
      <c r="BY1103" s="52"/>
      <c r="BZ1103" s="52"/>
      <c r="CA1103" s="52"/>
      <c r="CB1103" s="52"/>
      <c r="CC1103" s="52"/>
      <c r="CD1103" s="52"/>
      <c r="CE1103" s="52"/>
      <c r="CF1103" s="52"/>
      <c r="CG1103" s="52"/>
      <c r="CH1103" s="52"/>
      <c r="CI1103" s="52"/>
      <c r="CJ1103" s="52"/>
      <c r="CK1103" s="52"/>
      <c r="CL1103" s="52"/>
      <c r="CM1103" s="52"/>
      <c r="CN1103" s="52"/>
      <c r="CO1103" s="52"/>
      <c r="CP1103" s="52"/>
      <c r="CQ1103" s="52"/>
      <c r="CR1103" s="52"/>
      <c r="CS1103" s="52"/>
      <c r="CT1103" s="52"/>
      <c r="CU1103" s="52"/>
      <c r="CV1103" s="52"/>
      <c r="CW1103" s="52"/>
      <c r="CX1103" s="52"/>
      <c r="CY1103" s="52"/>
      <c r="CZ1103" s="52"/>
      <c r="DA1103" s="52"/>
      <c r="DB1103" s="52"/>
      <c r="DC1103" s="52"/>
      <c r="DD1103" s="52"/>
      <c r="DE1103" s="52"/>
      <c r="DF1103" s="52"/>
      <c r="DG1103" s="52"/>
      <c r="DH1103" s="52"/>
      <c r="DI1103" s="52"/>
      <c r="DJ1103" s="52"/>
      <c r="DK1103" s="52"/>
      <c r="DL1103" s="52"/>
      <c r="DM1103" s="52"/>
      <c r="DN1103" s="52"/>
      <c r="DO1103" s="52"/>
      <c r="DP1103" s="52"/>
      <c r="DQ1103" s="52"/>
      <c r="DR1103" s="52"/>
      <c r="DS1103" s="52"/>
      <c r="DT1103" s="52"/>
      <c r="DU1103" s="52"/>
      <c r="DV1103" s="52"/>
      <c r="DW1103" s="52"/>
      <c r="DX1103" s="52"/>
      <c r="DY1103" s="43"/>
      <c r="DZ1103"/>
      <c r="EA1103" s="19"/>
      <c r="EB1103" s="19"/>
      <c r="EC1103" s="9"/>
      <c r="ED1103" s="9"/>
      <c r="EE1103" s="9"/>
      <c r="EF1103" s="9"/>
      <c r="EG1103" s="9"/>
      <c r="EH1103" s="13"/>
      <c r="EI1103" s="13"/>
      <c r="EJ1103" s="13"/>
      <c r="EK1103" s="13"/>
      <c r="EL1103" s="13"/>
      <c r="EM1103" s="13"/>
      <c r="EN1103" s="13"/>
      <c r="EO1103" s="13"/>
      <c r="EP1103" s="13"/>
      <c r="EQ1103" s="13"/>
      <c r="ER1103" s="13"/>
      <c r="ES1103" s="13"/>
      <c r="ET1103" s="13"/>
      <c r="EU1103" s="13"/>
      <c r="EV1103" s="13"/>
      <c r="EW1103" s="13"/>
      <c r="EX1103" s="13"/>
      <c r="EY1103" s="13"/>
      <c r="EZ1103" s="13"/>
      <c r="FA1103" s="13"/>
      <c r="FB1103" s="13"/>
      <c r="FC1103" s="13"/>
      <c r="FD1103" s="13"/>
      <c r="FE1103" s="13"/>
      <c r="FF1103" s="13"/>
      <c r="FG1103" s="13"/>
      <c r="FH1103" s="13"/>
      <c r="FI1103" s="13"/>
      <c r="FJ1103" s="13"/>
      <c r="FK1103" s="13"/>
      <c r="FL1103" s="13"/>
      <c r="FM1103" s="13"/>
      <c r="FN1103" s="13"/>
      <c r="FO1103" s="13"/>
      <c r="FP1103" s="13"/>
      <c r="FQ1103" s="13"/>
      <c r="FR1103" s="13"/>
      <c r="FS1103" s="13"/>
      <c r="FT1103" s="13"/>
      <c r="FU1103" s="13"/>
      <c r="FV1103" s="13"/>
      <c r="FW1103" s="13"/>
      <c r="FX1103" s="13"/>
      <c r="FY1103" s="13"/>
      <c r="FZ1103" s="13"/>
      <c r="GA1103" s="13"/>
    </row>
    <row r="1104" spans="1:183" s="56" customFormat="1" x14ac:dyDescent="0.25">
      <c r="A1104" s="2"/>
      <c r="B1104" s="2"/>
      <c r="C1104" s="9"/>
      <c r="D1104" s="9"/>
      <c r="E1104" s="9"/>
      <c r="F1104" s="9"/>
      <c r="G1104" s="9"/>
      <c r="H1104" s="9"/>
      <c r="I1104" s="43"/>
      <c r="J1104" s="9"/>
      <c r="K1104" s="43"/>
      <c r="L1104" s="39"/>
      <c r="M1104" s="43"/>
      <c r="N1104"/>
      <c r="O1104"/>
      <c r="P1104"/>
      <c r="Q1104"/>
      <c r="R1104"/>
      <c r="S1104"/>
      <c r="T1104"/>
      <c r="U1104"/>
      <c r="V1104"/>
      <c r="W1104" s="52"/>
      <c r="X1104" s="43"/>
      <c r="Y1104"/>
      <c r="Z1104"/>
      <c r="AA1104"/>
      <c r="AB1104"/>
      <c r="AC1104"/>
      <c r="AD1104"/>
      <c r="AE1104"/>
      <c r="AF1104"/>
      <c r="AG1104"/>
      <c r="AH1104" s="52"/>
      <c r="AI1104" s="148"/>
      <c r="AJ1104" s="19"/>
      <c r="AK1104" s="19"/>
      <c r="AL1104" s="19"/>
      <c r="AM1104" s="19"/>
      <c r="AN1104" s="42"/>
      <c r="AO1104" s="54"/>
      <c r="AP1104" s="19"/>
      <c r="AR1104" s="74"/>
      <c r="AS1104" s="42"/>
      <c r="AT1104" s="54"/>
      <c r="AU1104" s="54"/>
      <c r="AV1104" s="19"/>
      <c r="AW1104" s="54"/>
      <c r="AX1104" s="57"/>
      <c r="AY1104" s="54"/>
      <c r="AZ1104" s="54"/>
      <c r="BA1104" s="54"/>
      <c r="BB1104" s="54"/>
      <c r="BC1104" s="57"/>
      <c r="BD1104" s="19"/>
      <c r="BE1104" s="19"/>
      <c r="BF1104" s="19"/>
      <c r="BG1104" s="54"/>
      <c r="BH1104" s="43"/>
      <c r="BI1104" s="54"/>
      <c r="BJ1104" s="55"/>
      <c r="BK1104" s="55"/>
      <c r="BL1104" s="54"/>
      <c r="BM1104" s="56">
        <v>77</v>
      </c>
      <c r="BO1104" s="52"/>
      <c r="BP1104" s="52"/>
      <c r="BQ1104" s="52"/>
      <c r="BR1104" s="52"/>
      <c r="BS1104" s="52"/>
      <c r="BT1104" s="52"/>
      <c r="BU1104" s="52"/>
      <c r="BV1104" s="52"/>
      <c r="BW1104" s="52"/>
      <c r="BX1104" s="52"/>
      <c r="BY1104" s="52"/>
      <c r="BZ1104" s="52"/>
      <c r="CA1104" s="52"/>
      <c r="CB1104" s="52"/>
      <c r="CC1104" s="52"/>
      <c r="CD1104" s="52"/>
      <c r="CE1104" s="52"/>
      <c r="CF1104" s="52"/>
      <c r="CG1104" s="52"/>
      <c r="CH1104" s="52"/>
      <c r="CI1104" s="52"/>
      <c r="CJ1104" s="52"/>
      <c r="CK1104" s="52"/>
      <c r="CL1104" s="52"/>
      <c r="CM1104" s="52"/>
      <c r="CN1104" s="52"/>
      <c r="CO1104" s="52"/>
      <c r="CP1104" s="52"/>
      <c r="CQ1104" s="52"/>
      <c r="CR1104" s="52"/>
      <c r="CS1104" s="52"/>
      <c r="CT1104" s="52"/>
      <c r="CU1104" s="52"/>
      <c r="CV1104" s="52"/>
      <c r="CW1104" s="52"/>
      <c r="CX1104" s="52"/>
      <c r="CY1104" s="52"/>
      <c r="CZ1104" s="52"/>
      <c r="DA1104" s="52"/>
      <c r="DB1104" s="52"/>
      <c r="DC1104" s="52"/>
      <c r="DD1104" s="52"/>
      <c r="DE1104" s="52"/>
      <c r="DF1104" s="52"/>
      <c r="DG1104" s="52"/>
      <c r="DH1104" s="52"/>
      <c r="DI1104" s="52"/>
      <c r="DJ1104" s="52"/>
      <c r="DK1104" s="52"/>
      <c r="DL1104" s="52"/>
      <c r="DM1104" s="52"/>
      <c r="DN1104" s="52"/>
      <c r="DO1104" s="52"/>
      <c r="DP1104" s="52"/>
      <c r="DQ1104" s="52"/>
      <c r="DR1104" s="52"/>
      <c r="DS1104" s="52"/>
      <c r="DT1104" s="52"/>
      <c r="DU1104" s="52"/>
      <c r="DV1104" s="52"/>
      <c r="DW1104" s="52"/>
      <c r="DX1104" s="52"/>
      <c r="DY1104" s="43"/>
      <c r="DZ1104"/>
      <c r="EA1104" s="19"/>
      <c r="EB1104" s="19"/>
      <c r="EC1104" s="9"/>
      <c r="ED1104" s="9"/>
      <c r="EE1104" s="9"/>
      <c r="EF1104" s="9"/>
      <c r="EG1104" s="9"/>
      <c r="EH1104" s="13"/>
      <c r="EI1104" s="13"/>
      <c r="EJ1104" s="13"/>
      <c r="EK1104" s="13"/>
      <c r="EL1104" s="13"/>
      <c r="EM1104" s="13"/>
      <c r="EN1104" s="13"/>
      <c r="EO1104" s="13"/>
      <c r="EP1104" s="13"/>
      <c r="EQ1104" s="13"/>
      <c r="ER1104" s="13"/>
      <c r="ES1104" s="13"/>
      <c r="ET1104" s="13"/>
      <c r="EU1104" s="13"/>
      <c r="EV1104" s="13"/>
      <c r="EW1104" s="13"/>
      <c r="EX1104" s="13"/>
      <c r="EY1104" s="13"/>
      <c r="EZ1104" s="13"/>
      <c r="FA1104" s="13"/>
      <c r="FB1104" s="13"/>
      <c r="FC1104" s="13"/>
      <c r="FD1104" s="13"/>
      <c r="FE1104" s="13"/>
      <c r="FF1104" s="13"/>
      <c r="FG1104" s="13"/>
      <c r="FH1104" s="13"/>
      <c r="FI1104" s="13"/>
      <c r="FJ1104" s="13"/>
      <c r="FK1104" s="13"/>
      <c r="FL1104" s="13"/>
      <c r="FM1104" s="13"/>
      <c r="FN1104" s="13"/>
      <c r="FO1104" s="13"/>
      <c r="FP1104" s="13"/>
      <c r="FQ1104" s="13"/>
      <c r="FR1104" s="13"/>
      <c r="FS1104" s="13"/>
      <c r="FT1104" s="13"/>
      <c r="FU1104" s="13"/>
      <c r="FV1104" s="13"/>
      <c r="FW1104" s="13"/>
      <c r="FX1104" s="13"/>
      <c r="FY1104" s="13"/>
      <c r="FZ1104" s="13"/>
      <c r="GA1104" s="13"/>
    </row>
    <row r="1105" spans="1:183" s="56" customFormat="1" x14ac:dyDescent="0.25">
      <c r="A1105" s="2"/>
      <c r="B1105" s="2"/>
      <c r="C1105" s="9"/>
      <c r="D1105" s="9"/>
      <c r="E1105" s="9"/>
      <c r="F1105" s="9"/>
      <c r="G1105" s="9"/>
      <c r="H1105" s="9"/>
      <c r="I1105" s="43"/>
      <c r="J1105" s="9"/>
      <c r="K1105" s="43"/>
      <c r="L1105" s="39"/>
      <c r="M1105" s="43"/>
      <c r="N1105"/>
      <c r="O1105"/>
      <c r="P1105"/>
      <c r="Q1105"/>
      <c r="R1105"/>
      <c r="S1105"/>
      <c r="T1105"/>
      <c r="U1105"/>
      <c r="V1105"/>
      <c r="W1105" s="52"/>
      <c r="X1105" s="43"/>
      <c r="Y1105"/>
      <c r="Z1105"/>
      <c r="AA1105"/>
      <c r="AB1105"/>
      <c r="AC1105"/>
      <c r="AD1105"/>
      <c r="AE1105"/>
      <c r="AF1105"/>
      <c r="AG1105"/>
      <c r="AH1105" s="52"/>
      <c r="AI1105" s="148"/>
      <c r="AJ1105" s="19"/>
      <c r="AK1105" s="19"/>
      <c r="AL1105" s="19"/>
      <c r="AM1105" s="19"/>
      <c r="AN1105" s="42"/>
      <c r="AO1105" s="54"/>
      <c r="AP1105" s="19"/>
      <c r="AR1105" s="74"/>
      <c r="AS1105" s="42"/>
      <c r="AT1105" s="54"/>
      <c r="AU1105" s="54"/>
      <c r="AV1105" s="19"/>
      <c r="AW1105" s="54"/>
      <c r="AX1105" s="57"/>
      <c r="AY1105" s="54"/>
      <c r="AZ1105" s="54"/>
      <c r="BA1105" s="54"/>
      <c r="BB1105" s="54"/>
      <c r="BC1105" s="57"/>
      <c r="BD1105" s="19"/>
      <c r="BE1105" s="19"/>
      <c r="BF1105" s="19"/>
      <c r="BG1105" s="54"/>
      <c r="BH1105" s="43"/>
      <c r="BI1105" s="54"/>
      <c r="BJ1105" s="55"/>
      <c r="BK1105" s="55"/>
      <c r="BL1105" s="54"/>
      <c r="BM1105" s="56">
        <v>78</v>
      </c>
      <c r="BO1105" s="52"/>
      <c r="BP1105" s="52"/>
      <c r="BQ1105" s="52"/>
      <c r="BR1105" s="52"/>
      <c r="BS1105" s="52"/>
      <c r="BT1105" s="52"/>
      <c r="BU1105" s="52"/>
      <c r="BV1105" s="52"/>
      <c r="BW1105" s="52"/>
      <c r="BX1105" s="52"/>
      <c r="BY1105" s="52"/>
      <c r="BZ1105" s="52"/>
      <c r="CA1105" s="52"/>
      <c r="CB1105" s="52"/>
      <c r="CC1105" s="52"/>
      <c r="CD1105" s="52"/>
      <c r="CE1105" s="52"/>
      <c r="CF1105" s="52"/>
      <c r="CG1105" s="52"/>
      <c r="CH1105" s="52"/>
      <c r="CI1105" s="52"/>
      <c r="CJ1105" s="52"/>
      <c r="CK1105" s="52"/>
      <c r="CL1105" s="52"/>
      <c r="CM1105" s="52"/>
      <c r="CN1105" s="52"/>
      <c r="CO1105" s="52"/>
      <c r="CP1105" s="52"/>
      <c r="CQ1105" s="52"/>
      <c r="CR1105" s="52"/>
      <c r="CS1105" s="52"/>
      <c r="CT1105" s="52"/>
      <c r="CU1105" s="52"/>
      <c r="CV1105" s="52"/>
      <c r="CW1105" s="52"/>
      <c r="CX1105" s="52"/>
      <c r="CY1105" s="52"/>
      <c r="CZ1105" s="52"/>
      <c r="DA1105" s="52"/>
      <c r="DB1105" s="52"/>
      <c r="DC1105" s="52"/>
      <c r="DD1105" s="52"/>
      <c r="DE1105" s="52"/>
      <c r="DF1105" s="52"/>
      <c r="DG1105" s="52"/>
      <c r="DH1105" s="52"/>
      <c r="DI1105" s="52"/>
      <c r="DJ1105" s="52"/>
      <c r="DK1105" s="52"/>
      <c r="DL1105" s="52"/>
      <c r="DM1105" s="52"/>
      <c r="DN1105" s="52"/>
      <c r="DO1105" s="52"/>
      <c r="DP1105" s="52"/>
      <c r="DQ1105" s="52"/>
      <c r="DR1105" s="52"/>
      <c r="DS1105" s="52"/>
      <c r="DT1105" s="52"/>
      <c r="DU1105" s="52"/>
      <c r="DV1105" s="52"/>
      <c r="DW1105" s="52"/>
      <c r="DX1105" s="52"/>
      <c r="DY1105" s="43"/>
      <c r="DZ1105"/>
      <c r="EA1105" s="19"/>
      <c r="EB1105" s="19"/>
      <c r="EC1105" s="9"/>
      <c r="ED1105" s="9"/>
      <c r="EE1105" s="9"/>
      <c r="EF1105" s="9"/>
      <c r="EG1105" s="9"/>
      <c r="EH1105" s="13"/>
      <c r="EI1105" s="13"/>
      <c r="EJ1105" s="13"/>
      <c r="EK1105" s="13"/>
      <c r="EL1105" s="13"/>
      <c r="EM1105" s="13"/>
      <c r="EN1105" s="13"/>
      <c r="EO1105" s="13"/>
      <c r="EP1105" s="13"/>
      <c r="EQ1105" s="13"/>
      <c r="ER1105" s="13"/>
      <c r="ES1105" s="13"/>
      <c r="ET1105" s="13"/>
      <c r="EU1105" s="13"/>
      <c r="EV1105" s="13"/>
      <c r="EW1105" s="13"/>
      <c r="EX1105" s="13"/>
      <c r="EY1105" s="13"/>
      <c r="EZ1105" s="13"/>
      <c r="FA1105" s="13"/>
      <c r="FB1105" s="13"/>
      <c r="FC1105" s="13"/>
      <c r="FD1105" s="13"/>
      <c r="FE1105" s="13"/>
      <c r="FF1105" s="13"/>
      <c r="FG1105" s="13"/>
      <c r="FH1105" s="13"/>
      <c r="FI1105" s="13"/>
      <c r="FJ1105" s="13"/>
      <c r="FK1105" s="13"/>
      <c r="FL1105" s="13"/>
      <c r="FM1105" s="13"/>
      <c r="FN1105" s="13"/>
      <c r="FO1105" s="13"/>
      <c r="FP1105" s="13"/>
      <c r="FQ1105" s="13"/>
      <c r="FR1105" s="13"/>
      <c r="FS1105" s="13"/>
      <c r="FT1105" s="13"/>
      <c r="FU1105" s="13"/>
      <c r="FV1105" s="13"/>
      <c r="FW1105" s="13"/>
      <c r="FX1105" s="13"/>
      <c r="FY1105" s="13"/>
      <c r="FZ1105" s="13"/>
      <c r="GA1105" s="13"/>
    </row>
    <row r="1106" spans="1:183" s="56" customFormat="1" x14ac:dyDescent="0.25">
      <c r="A1106" s="2"/>
      <c r="B1106" s="2"/>
      <c r="C1106" s="9"/>
      <c r="D1106" s="9"/>
      <c r="E1106" s="9"/>
      <c r="F1106" s="9"/>
      <c r="G1106" s="9"/>
      <c r="H1106" s="9"/>
      <c r="I1106" s="43"/>
      <c r="J1106" s="9"/>
      <c r="K1106" s="43"/>
      <c r="L1106" s="39"/>
      <c r="M1106" s="43"/>
      <c r="N1106"/>
      <c r="O1106"/>
      <c r="P1106"/>
      <c r="Q1106"/>
      <c r="R1106"/>
      <c r="S1106"/>
      <c r="T1106"/>
      <c r="U1106"/>
      <c r="V1106"/>
      <c r="W1106" s="52"/>
      <c r="X1106" s="43"/>
      <c r="Y1106"/>
      <c r="Z1106"/>
      <c r="AA1106"/>
      <c r="AB1106"/>
      <c r="AC1106"/>
      <c r="AD1106"/>
      <c r="AE1106"/>
      <c r="AF1106"/>
      <c r="AG1106"/>
      <c r="AH1106" s="52"/>
      <c r="AI1106" s="148"/>
      <c r="AJ1106" s="19"/>
      <c r="AK1106" s="19"/>
      <c r="AL1106" s="19"/>
      <c r="AM1106" s="19"/>
      <c r="AN1106" s="42"/>
      <c r="AO1106" s="54"/>
      <c r="AP1106" s="19"/>
      <c r="AR1106" s="74"/>
      <c r="AS1106" s="42"/>
      <c r="AT1106" s="54"/>
      <c r="AU1106" s="54"/>
      <c r="AV1106" s="19"/>
      <c r="AW1106" s="54"/>
      <c r="AX1106" s="57"/>
      <c r="AY1106" s="54"/>
      <c r="AZ1106" s="54"/>
      <c r="BA1106" s="54"/>
      <c r="BB1106" s="54"/>
      <c r="BC1106" s="57"/>
      <c r="BD1106" s="19"/>
      <c r="BE1106" s="19"/>
      <c r="BF1106" s="19"/>
      <c r="BG1106" s="54"/>
      <c r="BH1106" s="43"/>
      <c r="BI1106" s="54"/>
      <c r="BJ1106" s="55"/>
      <c r="BK1106" s="55"/>
      <c r="BL1106" s="54"/>
      <c r="BM1106" s="56">
        <v>80</v>
      </c>
      <c r="BO1106" s="52"/>
      <c r="BP1106" s="52"/>
      <c r="BQ1106" s="52"/>
      <c r="BR1106" s="52"/>
      <c r="BS1106" s="52"/>
      <c r="BT1106" s="52"/>
      <c r="BU1106" s="52"/>
      <c r="BV1106" s="52"/>
      <c r="BW1106" s="52"/>
      <c r="BX1106" s="52"/>
      <c r="BY1106" s="52"/>
      <c r="BZ1106" s="52"/>
      <c r="CA1106" s="52"/>
      <c r="CB1106" s="52"/>
      <c r="CC1106" s="52"/>
      <c r="CD1106" s="52"/>
      <c r="CE1106" s="52"/>
      <c r="CF1106" s="52"/>
      <c r="CG1106" s="52"/>
      <c r="CH1106" s="52"/>
      <c r="CI1106" s="52"/>
      <c r="CJ1106" s="52"/>
      <c r="CK1106" s="52"/>
      <c r="CL1106" s="52"/>
      <c r="CM1106" s="52"/>
      <c r="CN1106" s="52"/>
      <c r="CO1106" s="52"/>
      <c r="CP1106" s="52"/>
      <c r="CQ1106" s="52"/>
      <c r="CR1106" s="52"/>
      <c r="CS1106" s="52"/>
      <c r="CT1106" s="52"/>
      <c r="CU1106" s="52"/>
      <c r="CV1106" s="52"/>
      <c r="CW1106" s="52"/>
      <c r="CX1106" s="52"/>
      <c r="CY1106" s="52"/>
      <c r="CZ1106" s="52"/>
      <c r="DA1106" s="52"/>
      <c r="DB1106" s="52"/>
      <c r="DC1106" s="52"/>
      <c r="DD1106" s="52"/>
      <c r="DE1106" s="52"/>
      <c r="DF1106" s="52"/>
      <c r="DG1106" s="52"/>
      <c r="DH1106" s="52"/>
      <c r="DI1106" s="52"/>
      <c r="DJ1106" s="52"/>
      <c r="DK1106" s="52"/>
      <c r="DL1106" s="52"/>
      <c r="DM1106" s="52"/>
      <c r="DN1106" s="52"/>
      <c r="DO1106" s="52"/>
      <c r="DP1106" s="52"/>
      <c r="DQ1106" s="52"/>
      <c r="DR1106" s="52"/>
      <c r="DS1106" s="52"/>
      <c r="DT1106" s="52"/>
      <c r="DU1106" s="52"/>
      <c r="DV1106" s="52"/>
      <c r="DW1106" s="52"/>
      <c r="DX1106" s="52"/>
      <c r="DY1106" s="43"/>
      <c r="DZ1106"/>
      <c r="EA1106" s="19"/>
      <c r="EB1106" s="19"/>
      <c r="EC1106" s="9"/>
      <c r="ED1106" s="9"/>
      <c r="EE1106" s="9"/>
      <c r="EF1106" s="9"/>
      <c r="EG1106" s="9"/>
      <c r="EH1106" s="13"/>
      <c r="EI1106" s="13"/>
      <c r="EJ1106" s="13"/>
      <c r="EK1106" s="13"/>
      <c r="EL1106" s="13"/>
      <c r="EM1106" s="13"/>
      <c r="EN1106" s="13"/>
      <c r="EO1106" s="13"/>
      <c r="EP1106" s="13"/>
      <c r="EQ1106" s="13"/>
      <c r="ER1106" s="13"/>
      <c r="ES1106" s="13"/>
      <c r="ET1106" s="13"/>
      <c r="EU1106" s="13"/>
      <c r="EV1106" s="13"/>
      <c r="EW1106" s="13"/>
      <c r="EX1106" s="13"/>
      <c r="EY1106" s="13"/>
      <c r="EZ1106" s="13"/>
      <c r="FA1106" s="13"/>
      <c r="FB1106" s="13"/>
      <c r="FC1106" s="13"/>
      <c r="FD1106" s="13"/>
      <c r="FE1106" s="13"/>
      <c r="FF1106" s="13"/>
      <c r="FG1106" s="13"/>
      <c r="FH1106" s="13"/>
      <c r="FI1106" s="13"/>
      <c r="FJ1106" s="13"/>
      <c r="FK1106" s="13"/>
      <c r="FL1106" s="13"/>
      <c r="FM1106" s="13"/>
      <c r="FN1106" s="13"/>
      <c r="FO1106" s="13"/>
      <c r="FP1106" s="13"/>
      <c r="FQ1106" s="13"/>
      <c r="FR1106" s="13"/>
      <c r="FS1106" s="13"/>
      <c r="FT1106" s="13"/>
      <c r="FU1106" s="13"/>
      <c r="FV1106" s="13"/>
      <c r="FW1106" s="13"/>
      <c r="FX1106" s="13"/>
      <c r="FY1106" s="13"/>
      <c r="FZ1106" s="13"/>
      <c r="GA1106" s="13"/>
    </row>
    <row r="1107" spans="1:183" s="56" customFormat="1" x14ac:dyDescent="0.25">
      <c r="A1107" s="2"/>
      <c r="B1107" s="2"/>
      <c r="C1107" s="9"/>
      <c r="D1107" s="9"/>
      <c r="E1107" s="9"/>
      <c r="F1107" s="9"/>
      <c r="G1107" s="9"/>
      <c r="H1107" s="9"/>
      <c r="I1107" s="43"/>
      <c r="J1107" s="9"/>
      <c r="K1107" s="43"/>
      <c r="L1107" s="39"/>
      <c r="M1107" s="43"/>
      <c r="N1107"/>
      <c r="O1107"/>
      <c r="P1107"/>
      <c r="Q1107"/>
      <c r="R1107"/>
      <c r="S1107"/>
      <c r="T1107"/>
      <c r="U1107"/>
      <c r="V1107"/>
      <c r="W1107" s="52"/>
      <c r="X1107" s="43"/>
      <c r="Y1107"/>
      <c r="Z1107"/>
      <c r="AA1107"/>
      <c r="AB1107"/>
      <c r="AC1107"/>
      <c r="AD1107"/>
      <c r="AE1107"/>
      <c r="AF1107"/>
      <c r="AG1107"/>
      <c r="AH1107" s="52"/>
      <c r="AI1107" s="148"/>
      <c r="AJ1107" s="19"/>
      <c r="AK1107" s="19"/>
      <c r="AL1107" s="19"/>
      <c r="AM1107" s="19"/>
      <c r="AN1107" s="42"/>
      <c r="AO1107" s="54"/>
      <c r="AP1107" s="19"/>
      <c r="AR1107" s="74"/>
      <c r="AS1107" s="42"/>
      <c r="AT1107" s="54"/>
      <c r="AU1107" s="54"/>
      <c r="AV1107" s="19"/>
      <c r="AW1107" s="54"/>
      <c r="AX1107" s="57"/>
      <c r="AY1107" s="54"/>
      <c r="AZ1107" s="54"/>
      <c r="BA1107" s="54"/>
      <c r="BB1107" s="54"/>
      <c r="BC1107" s="57"/>
      <c r="BD1107" s="19"/>
      <c r="BE1107" s="19"/>
      <c r="BF1107" s="19"/>
      <c r="BG1107" s="54"/>
      <c r="BH1107" s="43"/>
      <c r="BI1107" s="54"/>
      <c r="BJ1107" s="55"/>
      <c r="BK1107" s="55"/>
      <c r="BL1107" s="54"/>
      <c r="BM1107" s="56">
        <v>81</v>
      </c>
      <c r="BO1107" s="52"/>
      <c r="BP1107" s="52"/>
      <c r="BQ1107" s="52"/>
      <c r="BR1107" s="52"/>
      <c r="BS1107" s="52"/>
      <c r="BT1107" s="52"/>
      <c r="BU1107" s="52"/>
      <c r="BV1107" s="52"/>
      <c r="BW1107" s="52"/>
      <c r="BX1107" s="52"/>
      <c r="BY1107" s="52"/>
      <c r="BZ1107" s="52"/>
      <c r="CA1107" s="52"/>
      <c r="CB1107" s="52"/>
      <c r="CC1107" s="52"/>
      <c r="CD1107" s="52"/>
      <c r="CE1107" s="52"/>
      <c r="CF1107" s="52"/>
      <c r="CG1107" s="52"/>
      <c r="CH1107" s="52"/>
      <c r="CI1107" s="52"/>
      <c r="CJ1107" s="52"/>
      <c r="CK1107" s="52"/>
      <c r="CL1107" s="52"/>
      <c r="CM1107" s="52"/>
      <c r="CN1107" s="52"/>
      <c r="CO1107" s="52"/>
      <c r="CP1107" s="52"/>
      <c r="CQ1107" s="52"/>
      <c r="CR1107" s="52"/>
      <c r="CS1107" s="52"/>
      <c r="CT1107" s="52"/>
      <c r="CU1107" s="52"/>
      <c r="CV1107" s="52"/>
      <c r="CW1107" s="52"/>
      <c r="CX1107" s="52"/>
      <c r="CY1107" s="52"/>
      <c r="CZ1107" s="52"/>
      <c r="DA1107" s="52"/>
      <c r="DB1107" s="52"/>
      <c r="DC1107" s="52"/>
      <c r="DD1107" s="52"/>
      <c r="DE1107" s="52"/>
      <c r="DF1107" s="52"/>
      <c r="DG1107" s="52"/>
      <c r="DH1107" s="52"/>
      <c r="DI1107" s="52"/>
      <c r="DJ1107" s="52"/>
      <c r="DK1107" s="52"/>
      <c r="DL1107" s="52"/>
      <c r="DM1107" s="52"/>
      <c r="DN1107" s="52"/>
      <c r="DO1107" s="52"/>
      <c r="DP1107" s="52"/>
      <c r="DQ1107" s="52"/>
      <c r="DR1107" s="52"/>
      <c r="DS1107" s="52"/>
      <c r="DT1107" s="52"/>
      <c r="DU1107" s="52"/>
      <c r="DV1107" s="52"/>
      <c r="DW1107" s="52"/>
      <c r="DX1107" s="52"/>
      <c r="DY1107" s="43"/>
      <c r="DZ1107"/>
      <c r="EA1107" s="19"/>
      <c r="EB1107" s="19"/>
      <c r="EC1107" s="9"/>
      <c r="ED1107" s="9"/>
      <c r="EE1107" s="9"/>
      <c r="EF1107" s="9"/>
      <c r="EG1107" s="9"/>
      <c r="EH1107" s="13"/>
      <c r="EI1107" s="13"/>
      <c r="EJ1107" s="13"/>
      <c r="EK1107" s="13"/>
      <c r="EL1107" s="13"/>
      <c r="EM1107" s="13"/>
      <c r="EN1107" s="13"/>
      <c r="EO1107" s="13"/>
      <c r="EP1107" s="13"/>
      <c r="EQ1107" s="13"/>
      <c r="ER1107" s="13"/>
      <c r="ES1107" s="13"/>
      <c r="ET1107" s="13"/>
      <c r="EU1107" s="13"/>
      <c r="EV1107" s="13"/>
      <c r="EW1107" s="13"/>
      <c r="EX1107" s="13"/>
      <c r="EY1107" s="13"/>
      <c r="EZ1107" s="13"/>
      <c r="FA1107" s="13"/>
      <c r="FB1107" s="13"/>
      <c r="FC1107" s="13"/>
      <c r="FD1107" s="13"/>
      <c r="FE1107" s="13"/>
      <c r="FF1107" s="13"/>
      <c r="FG1107" s="13"/>
      <c r="FH1107" s="13"/>
      <c r="FI1107" s="13"/>
      <c r="FJ1107" s="13"/>
      <c r="FK1107" s="13"/>
      <c r="FL1107" s="13"/>
      <c r="FM1107" s="13"/>
      <c r="FN1107" s="13"/>
      <c r="FO1107" s="13"/>
      <c r="FP1107" s="13"/>
      <c r="FQ1107" s="13"/>
      <c r="FR1107" s="13"/>
      <c r="FS1107" s="13"/>
      <c r="FT1107" s="13"/>
      <c r="FU1107" s="13"/>
      <c r="FV1107" s="13"/>
      <c r="FW1107" s="13"/>
      <c r="FX1107" s="13"/>
      <c r="FY1107" s="13"/>
      <c r="FZ1107" s="13"/>
      <c r="GA1107" s="13"/>
    </row>
    <row r="1108" spans="1:183" s="56" customFormat="1" x14ac:dyDescent="0.25">
      <c r="A1108" s="2"/>
      <c r="B1108" s="2"/>
      <c r="C1108" s="9"/>
      <c r="D1108" s="9"/>
      <c r="E1108" s="9"/>
      <c r="F1108" s="9"/>
      <c r="G1108" s="9"/>
      <c r="H1108" s="9"/>
      <c r="I1108" s="43"/>
      <c r="J1108" s="9"/>
      <c r="K1108" s="43"/>
      <c r="L1108" s="39"/>
      <c r="M1108" s="43"/>
      <c r="N1108"/>
      <c r="O1108"/>
      <c r="P1108"/>
      <c r="Q1108"/>
      <c r="R1108"/>
      <c r="S1108"/>
      <c r="T1108"/>
      <c r="U1108"/>
      <c r="V1108"/>
      <c r="W1108" s="52"/>
      <c r="X1108" s="43"/>
      <c r="Y1108"/>
      <c r="Z1108"/>
      <c r="AA1108"/>
      <c r="AB1108"/>
      <c r="AC1108"/>
      <c r="AD1108"/>
      <c r="AE1108"/>
      <c r="AF1108"/>
      <c r="AG1108"/>
      <c r="AH1108" s="52"/>
      <c r="AI1108" s="148"/>
      <c r="AJ1108" s="19"/>
      <c r="AK1108" s="19"/>
      <c r="AL1108" s="19"/>
      <c r="AM1108" s="19"/>
      <c r="AN1108" s="42"/>
      <c r="AO1108" s="54"/>
      <c r="AP1108" s="19"/>
      <c r="AR1108" s="74"/>
      <c r="AS1108" s="42"/>
      <c r="AT1108" s="54"/>
      <c r="AU1108" s="54"/>
      <c r="AV1108" s="19"/>
      <c r="AW1108" s="54"/>
      <c r="AX1108" s="57"/>
      <c r="AY1108" s="54"/>
      <c r="AZ1108" s="54"/>
      <c r="BA1108" s="54"/>
      <c r="BB1108" s="54"/>
      <c r="BC1108" s="57"/>
      <c r="BD1108" s="19"/>
      <c r="BE1108" s="19"/>
      <c r="BF1108" s="19"/>
      <c r="BG1108" s="54"/>
      <c r="BH1108" s="43"/>
      <c r="BI1108" s="54"/>
      <c r="BJ1108" s="55"/>
      <c r="BK1108" s="55"/>
      <c r="BL1108" s="54"/>
      <c r="BM1108" s="56">
        <v>82</v>
      </c>
      <c r="BO1108" s="52"/>
      <c r="BP1108" s="52"/>
      <c r="BQ1108" s="52"/>
      <c r="BR1108" s="52"/>
      <c r="BS1108" s="52"/>
      <c r="BT1108" s="52"/>
      <c r="BU1108" s="52"/>
      <c r="BV1108" s="52"/>
      <c r="BW1108" s="52"/>
      <c r="BX1108" s="52"/>
      <c r="BY1108" s="52"/>
      <c r="BZ1108" s="52"/>
      <c r="CA1108" s="52"/>
      <c r="CB1108" s="52"/>
      <c r="CC1108" s="52"/>
      <c r="CD1108" s="52"/>
      <c r="CE1108" s="52"/>
      <c r="CF1108" s="52"/>
      <c r="CG1108" s="52"/>
      <c r="CH1108" s="52"/>
      <c r="CI1108" s="52"/>
      <c r="CJ1108" s="52"/>
      <c r="CK1108" s="52"/>
      <c r="CL1108" s="52"/>
      <c r="CM1108" s="52"/>
      <c r="CN1108" s="52"/>
      <c r="CO1108" s="52"/>
      <c r="CP1108" s="52"/>
      <c r="CQ1108" s="52"/>
      <c r="CR1108" s="52"/>
      <c r="CS1108" s="52"/>
      <c r="CT1108" s="52"/>
      <c r="CU1108" s="52"/>
      <c r="CV1108" s="52"/>
      <c r="CW1108" s="52"/>
      <c r="CX1108" s="52"/>
      <c r="CY1108" s="52"/>
      <c r="CZ1108" s="52"/>
      <c r="DA1108" s="52"/>
      <c r="DB1108" s="52"/>
      <c r="DC1108" s="52"/>
      <c r="DD1108" s="52"/>
      <c r="DE1108" s="52"/>
      <c r="DF1108" s="52"/>
      <c r="DG1108" s="52"/>
      <c r="DH1108" s="52"/>
      <c r="DI1108" s="52"/>
      <c r="DJ1108" s="52"/>
      <c r="DK1108" s="52"/>
      <c r="DL1108" s="52"/>
      <c r="DM1108" s="52"/>
      <c r="DN1108" s="52"/>
      <c r="DO1108" s="52"/>
      <c r="DP1108" s="52"/>
      <c r="DQ1108" s="52"/>
      <c r="DR1108" s="52"/>
      <c r="DS1108" s="52"/>
      <c r="DT1108" s="52"/>
      <c r="DU1108" s="52"/>
      <c r="DV1108" s="52"/>
      <c r="DW1108" s="52"/>
      <c r="DX1108" s="52"/>
      <c r="DY1108" s="43"/>
      <c r="DZ1108"/>
      <c r="EA1108" s="19"/>
      <c r="EB1108" s="19"/>
      <c r="EC1108" s="9"/>
      <c r="ED1108" s="9"/>
      <c r="EE1108" s="9"/>
      <c r="EF1108" s="9"/>
      <c r="EG1108" s="9"/>
      <c r="EH1108" s="13"/>
      <c r="EI1108" s="13"/>
      <c r="EJ1108" s="13"/>
      <c r="EK1108" s="13"/>
      <c r="EL1108" s="13"/>
      <c r="EM1108" s="13"/>
      <c r="EN1108" s="13"/>
      <c r="EO1108" s="13"/>
      <c r="EP1108" s="13"/>
      <c r="EQ1108" s="13"/>
      <c r="ER1108" s="13"/>
      <c r="ES1108" s="13"/>
      <c r="ET1108" s="13"/>
      <c r="EU1108" s="13"/>
      <c r="EV1108" s="13"/>
      <c r="EW1108" s="13"/>
      <c r="EX1108" s="13"/>
      <c r="EY1108" s="13"/>
      <c r="EZ1108" s="13"/>
      <c r="FA1108" s="13"/>
      <c r="FB1108" s="13"/>
      <c r="FC1108" s="13"/>
      <c r="FD1108" s="13"/>
      <c r="FE1108" s="13"/>
      <c r="FF1108" s="13"/>
      <c r="FG1108" s="13"/>
      <c r="FH1108" s="13"/>
      <c r="FI1108" s="13"/>
      <c r="FJ1108" s="13"/>
      <c r="FK1108" s="13"/>
      <c r="FL1108" s="13"/>
      <c r="FM1108" s="13"/>
      <c r="FN1108" s="13"/>
      <c r="FO1108" s="13"/>
      <c r="FP1108" s="13"/>
      <c r="FQ1108" s="13"/>
      <c r="FR1108" s="13"/>
      <c r="FS1108" s="13"/>
      <c r="FT1108" s="13"/>
      <c r="FU1108" s="13"/>
      <c r="FV1108" s="13"/>
      <c r="FW1108" s="13"/>
      <c r="FX1108" s="13"/>
      <c r="FY1108" s="13"/>
      <c r="FZ1108" s="13"/>
      <c r="GA1108" s="13"/>
    </row>
    <row r="1109" spans="1:183" s="56" customFormat="1" x14ac:dyDescent="0.25">
      <c r="A1109" s="2"/>
      <c r="B1109" s="2"/>
      <c r="C1109" s="9"/>
      <c r="D1109" s="9"/>
      <c r="E1109" s="9"/>
      <c r="F1109" s="9"/>
      <c r="G1109" s="9"/>
      <c r="H1109" s="9"/>
      <c r="I1109" s="43"/>
      <c r="J1109" s="9"/>
      <c r="K1109" s="43"/>
      <c r="L1109" s="39"/>
      <c r="M1109" s="43"/>
      <c r="N1109"/>
      <c r="O1109"/>
      <c r="P1109"/>
      <c r="Q1109"/>
      <c r="R1109"/>
      <c r="S1109"/>
      <c r="T1109"/>
      <c r="U1109"/>
      <c r="V1109"/>
      <c r="W1109" s="52"/>
      <c r="X1109" s="43"/>
      <c r="Y1109"/>
      <c r="Z1109"/>
      <c r="AA1109"/>
      <c r="AB1109"/>
      <c r="AC1109"/>
      <c r="AD1109"/>
      <c r="AE1109"/>
      <c r="AF1109"/>
      <c r="AG1109"/>
      <c r="AH1109" s="52"/>
      <c r="AI1109" s="148"/>
      <c r="AJ1109" s="19"/>
      <c r="AK1109" s="19"/>
      <c r="AL1109" s="19"/>
      <c r="AM1109" s="19"/>
      <c r="AN1109" s="42"/>
      <c r="AO1109" s="54"/>
      <c r="AP1109" s="19"/>
      <c r="AR1109" s="74"/>
      <c r="AS1109" s="42"/>
      <c r="AT1109" s="54"/>
      <c r="AU1109" s="54"/>
      <c r="AV1109" s="19"/>
      <c r="AW1109" s="54"/>
      <c r="AX1109" s="57"/>
      <c r="AY1109" s="54"/>
      <c r="AZ1109" s="54"/>
      <c r="BA1109" s="54"/>
      <c r="BB1109" s="54"/>
      <c r="BC1109" s="57"/>
      <c r="BD1109" s="19"/>
      <c r="BE1109" s="19"/>
      <c r="BF1109" s="19"/>
      <c r="BG1109" s="54"/>
      <c r="BH1109" s="43"/>
      <c r="BI1109" s="54"/>
      <c r="BJ1109" s="55"/>
      <c r="BK1109" s="55"/>
      <c r="BL1109" s="54"/>
      <c r="BM1109" s="56">
        <v>83</v>
      </c>
      <c r="BO1109" s="52"/>
      <c r="BP1109" s="52"/>
      <c r="BQ1109" s="52"/>
      <c r="BR1109" s="52"/>
      <c r="BS1109" s="52"/>
      <c r="BT1109" s="52"/>
      <c r="BU1109" s="52"/>
      <c r="BV1109" s="52"/>
      <c r="BW1109" s="52"/>
      <c r="BX1109" s="52"/>
      <c r="BY1109" s="52"/>
      <c r="BZ1109" s="52"/>
      <c r="CA1109" s="52"/>
      <c r="CB1109" s="52"/>
      <c r="CC1109" s="52"/>
      <c r="CD1109" s="52"/>
      <c r="CE1109" s="52"/>
      <c r="CF1109" s="52"/>
      <c r="CG1109" s="52"/>
      <c r="CH1109" s="52"/>
      <c r="CI1109" s="52"/>
      <c r="CJ1109" s="52"/>
      <c r="CK1109" s="52"/>
      <c r="CL1109" s="52"/>
      <c r="CM1109" s="52"/>
      <c r="CN1109" s="52"/>
      <c r="CO1109" s="52"/>
      <c r="CP1109" s="52"/>
      <c r="CQ1109" s="52"/>
      <c r="CR1109" s="52"/>
      <c r="CS1109" s="52"/>
      <c r="CT1109" s="52"/>
      <c r="CU1109" s="52"/>
      <c r="CV1109" s="52"/>
      <c r="CW1109" s="52"/>
      <c r="CX1109" s="52"/>
      <c r="CY1109" s="52"/>
      <c r="CZ1109" s="52"/>
      <c r="DA1109" s="52"/>
      <c r="DB1109" s="52"/>
      <c r="DC1109" s="52"/>
      <c r="DD1109" s="52"/>
      <c r="DE1109" s="52"/>
      <c r="DF1109" s="52"/>
      <c r="DG1109" s="52"/>
      <c r="DH1109" s="52"/>
      <c r="DI1109" s="52"/>
      <c r="DJ1109" s="52"/>
      <c r="DK1109" s="52"/>
      <c r="DL1109" s="52"/>
      <c r="DM1109" s="52"/>
      <c r="DN1109" s="52"/>
      <c r="DO1109" s="52"/>
      <c r="DP1109" s="52"/>
      <c r="DQ1109" s="52"/>
      <c r="DR1109" s="52"/>
      <c r="DS1109" s="52"/>
      <c r="DT1109" s="52"/>
      <c r="DU1109" s="52"/>
      <c r="DV1109" s="52"/>
      <c r="DW1109" s="52"/>
      <c r="DX1109" s="52"/>
      <c r="DY1109" s="43"/>
      <c r="DZ1109"/>
      <c r="EA1109" s="19"/>
      <c r="EB1109" s="19"/>
      <c r="EC1109" s="9"/>
      <c r="ED1109" s="9"/>
      <c r="EE1109" s="9"/>
      <c r="EF1109" s="9"/>
      <c r="EG1109" s="9"/>
      <c r="EH1109" s="13"/>
      <c r="EI1109" s="13"/>
      <c r="EJ1109" s="13"/>
      <c r="EK1109" s="13"/>
      <c r="EL1109" s="13"/>
      <c r="EM1109" s="13"/>
      <c r="EN1109" s="13"/>
      <c r="EO1109" s="13"/>
      <c r="EP1109" s="13"/>
      <c r="EQ1109" s="13"/>
      <c r="ER1109" s="13"/>
      <c r="ES1109" s="13"/>
      <c r="ET1109" s="13"/>
      <c r="EU1109" s="13"/>
      <c r="EV1109" s="13"/>
      <c r="EW1109" s="13"/>
      <c r="EX1109" s="13"/>
      <c r="EY1109" s="13"/>
      <c r="EZ1109" s="13"/>
      <c r="FA1109" s="13"/>
      <c r="FB1109" s="13"/>
      <c r="FC1109" s="13"/>
      <c r="FD1109" s="13"/>
      <c r="FE1109" s="13"/>
      <c r="FF1109" s="13"/>
      <c r="FG1109" s="13"/>
      <c r="FH1109" s="13"/>
      <c r="FI1109" s="13"/>
      <c r="FJ1109" s="13"/>
      <c r="FK1109" s="13"/>
      <c r="FL1109" s="13"/>
      <c r="FM1109" s="13"/>
      <c r="FN1109" s="13"/>
      <c r="FO1109" s="13"/>
      <c r="FP1109" s="13"/>
      <c r="FQ1109" s="13"/>
      <c r="FR1109" s="13"/>
      <c r="FS1109" s="13"/>
      <c r="FT1109" s="13"/>
      <c r="FU1109" s="13"/>
      <c r="FV1109" s="13"/>
      <c r="FW1109" s="13"/>
      <c r="FX1109" s="13"/>
      <c r="FY1109" s="13"/>
      <c r="FZ1109" s="13"/>
      <c r="GA1109" s="13"/>
    </row>
    <row r="1110" spans="1:183" s="56" customFormat="1" x14ac:dyDescent="0.25">
      <c r="A1110" s="2"/>
      <c r="B1110" s="2"/>
      <c r="C1110" s="9"/>
      <c r="D1110" s="9"/>
      <c r="E1110" s="9"/>
      <c r="F1110" s="9"/>
      <c r="G1110" s="9"/>
      <c r="H1110" s="9"/>
      <c r="I1110" s="43"/>
      <c r="J1110" s="9"/>
      <c r="K1110" s="43"/>
      <c r="L1110" s="39"/>
      <c r="M1110" s="43"/>
      <c r="N1110"/>
      <c r="O1110"/>
      <c r="P1110"/>
      <c r="Q1110"/>
      <c r="R1110"/>
      <c r="S1110"/>
      <c r="T1110"/>
      <c r="U1110"/>
      <c r="V1110"/>
      <c r="W1110" s="52"/>
      <c r="X1110" s="43"/>
      <c r="Y1110"/>
      <c r="Z1110"/>
      <c r="AA1110"/>
      <c r="AB1110"/>
      <c r="AC1110"/>
      <c r="AD1110"/>
      <c r="AE1110"/>
      <c r="AF1110"/>
      <c r="AG1110"/>
      <c r="AH1110" s="52"/>
      <c r="AI1110" s="148"/>
      <c r="AJ1110" s="19"/>
      <c r="AK1110" s="19"/>
      <c r="AL1110" s="19"/>
      <c r="AM1110" s="19"/>
      <c r="AN1110" s="42"/>
      <c r="AO1110" s="54"/>
      <c r="AP1110" s="19"/>
      <c r="AR1110" s="74"/>
      <c r="AS1110" s="42"/>
      <c r="AT1110" s="54"/>
      <c r="AU1110" s="54"/>
      <c r="AV1110" s="19"/>
      <c r="AW1110" s="54"/>
      <c r="AX1110" s="57"/>
      <c r="AY1110" s="54"/>
      <c r="AZ1110" s="54"/>
      <c r="BA1110" s="54"/>
      <c r="BB1110" s="54"/>
      <c r="BC1110" s="57"/>
      <c r="BD1110" s="19"/>
      <c r="BE1110" s="19"/>
      <c r="BF1110" s="19"/>
      <c r="BG1110" s="54"/>
      <c r="BH1110" s="43"/>
      <c r="BI1110" s="54"/>
      <c r="BJ1110" s="55"/>
      <c r="BK1110" s="55"/>
      <c r="BL1110" s="54"/>
      <c r="BM1110" s="56">
        <v>84</v>
      </c>
      <c r="BO1110" s="52"/>
      <c r="BP1110" s="52"/>
      <c r="BQ1110" s="52"/>
      <c r="BR1110" s="52"/>
      <c r="BS1110" s="52"/>
      <c r="BT1110" s="52"/>
      <c r="BU1110" s="52"/>
      <c r="BV1110" s="52"/>
      <c r="BW1110" s="52"/>
      <c r="BX1110" s="52"/>
      <c r="BY1110" s="52"/>
      <c r="BZ1110" s="52"/>
      <c r="CA1110" s="52"/>
      <c r="CB1110" s="52"/>
      <c r="CC1110" s="52"/>
      <c r="CD1110" s="52"/>
      <c r="CE1110" s="52"/>
      <c r="CF1110" s="52"/>
      <c r="CG1110" s="52"/>
      <c r="CH1110" s="52"/>
      <c r="CI1110" s="52"/>
      <c r="CJ1110" s="52"/>
      <c r="CK1110" s="52"/>
      <c r="CL1110" s="52"/>
      <c r="CM1110" s="52"/>
      <c r="CN1110" s="52"/>
      <c r="CO1110" s="52"/>
      <c r="CP1110" s="52"/>
      <c r="CQ1110" s="52"/>
      <c r="CR1110" s="52"/>
      <c r="CS1110" s="52"/>
      <c r="CT1110" s="52"/>
      <c r="CU1110" s="52"/>
      <c r="CV1110" s="52"/>
      <c r="CW1110" s="52"/>
      <c r="CX1110" s="52"/>
      <c r="CY1110" s="52"/>
      <c r="CZ1110" s="52"/>
      <c r="DA1110" s="52"/>
      <c r="DB1110" s="52"/>
      <c r="DC1110" s="52"/>
      <c r="DD1110" s="52"/>
      <c r="DE1110" s="52"/>
      <c r="DF1110" s="52"/>
      <c r="DG1110" s="52"/>
      <c r="DH1110" s="52"/>
      <c r="DI1110" s="52"/>
      <c r="DJ1110" s="52"/>
      <c r="DK1110" s="52"/>
      <c r="DL1110" s="52"/>
      <c r="DM1110" s="52"/>
      <c r="DN1110" s="52"/>
      <c r="DO1110" s="52"/>
      <c r="DP1110" s="52"/>
      <c r="DQ1110" s="52"/>
      <c r="DR1110" s="52"/>
      <c r="DS1110" s="52"/>
      <c r="DT1110" s="52"/>
      <c r="DU1110" s="52"/>
      <c r="DV1110" s="52"/>
      <c r="DW1110" s="52"/>
      <c r="DX1110" s="52"/>
      <c r="DY1110" s="43"/>
      <c r="DZ1110"/>
      <c r="EA1110" s="19"/>
      <c r="EB1110" s="19"/>
      <c r="EC1110" s="9"/>
      <c r="ED1110" s="9"/>
      <c r="EE1110" s="9"/>
      <c r="EF1110" s="9"/>
      <c r="EG1110" s="9"/>
      <c r="EH1110" s="13"/>
      <c r="EI1110" s="13"/>
      <c r="EJ1110" s="13"/>
      <c r="EK1110" s="13"/>
      <c r="EL1110" s="13"/>
      <c r="EM1110" s="13"/>
      <c r="EN1110" s="13"/>
      <c r="EO1110" s="13"/>
      <c r="EP1110" s="13"/>
      <c r="EQ1110" s="13"/>
      <c r="ER1110" s="13"/>
      <c r="ES1110" s="13"/>
      <c r="ET1110" s="13"/>
      <c r="EU1110" s="13"/>
      <c r="EV1110" s="13"/>
      <c r="EW1110" s="13"/>
      <c r="EX1110" s="13"/>
      <c r="EY1110" s="13"/>
      <c r="EZ1110" s="13"/>
      <c r="FA1110" s="13"/>
      <c r="FB1110" s="13"/>
      <c r="FC1110" s="13"/>
      <c r="FD1110" s="13"/>
      <c r="FE1110" s="13"/>
      <c r="FF1110" s="13"/>
      <c r="FG1110" s="13"/>
      <c r="FH1110" s="13"/>
      <c r="FI1110" s="13"/>
      <c r="FJ1110" s="13"/>
      <c r="FK1110" s="13"/>
      <c r="FL1110" s="13"/>
      <c r="FM1110" s="13"/>
      <c r="FN1110" s="13"/>
      <c r="FO1110" s="13"/>
      <c r="FP1110" s="13"/>
      <c r="FQ1110" s="13"/>
      <c r="FR1110" s="13"/>
      <c r="FS1110" s="13"/>
      <c r="FT1110" s="13"/>
      <c r="FU1110" s="13"/>
      <c r="FV1110" s="13"/>
      <c r="FW1110" s="13"/>
      <c r="FX1110" s="13"/>
      <c r="FY1110" s="13"/>
      <c r="FZ1110" s="13"/>
      <c r="GA1110" s="13"/>
    </row>
    <row r="1111" spans="1:183" s="56" customFormat="1" x14ac:dyDescent="0.25">
      <c r="A1111" s="2"/>
      <c r="B1111" s="2"/>
      <c r="C1111" s="9"/>
      <c r="D1111" s="9"/>
      <c r="E1111" s="9"/>
      <c r="F1111" s="9"/>
      <c r="G1111" s="9"/>
      <c r="H1111" s="9"/>
      <c r="I1111" s="43"/>
      <c r="J1111" s="9"/>
      <c r="K1111" s="43"/>
      <c r="L1111" s="39"/>
      <c r="M1111" s="43"/>
      <c r="N1111"/>
      <c r="O1111"/>
      <c r="P1111"/>
      <c r="Q1111"/>
      <c r="R1111"/>
      <c r="S1111"/>
      <c r="T1111"/>
      <c r="U1111"/>
      <c r="V1111"/>
      <c r="W1111" s="52"/>
      <c r="X1111" s="43"/>
      <c r="Y1111"/>
      <c r="Z1111"/>
      <c r="AA1111"/>
      <c r="AB1111"/>
      <c r="AC1111"/>
      <c r="AD1111"/>
      <c r="AE1111"/>
      <c r="AF1111"/>
      <c r="AG1111"/>
      <c r="AH1111" s="52"/>
      <c r="AI1111" s="148"/>
      <c r="AJ1111" s="19"/>
      <c r="AK1111" s="19"/>
      <c r="AL1111" s="19"/>
      <c r="AM1111" s="19"/>
      <c r="AN1111" s="42"/>
      <c r="AO1111" s="54"/>
      <c r="AP1111" s="19"/>
      <c r="AR1111" s="74"/>
      <c r="AS1111" s="42"/>
      <c r="AT1111" s="54"/>
      <c r="AU1111" s="54"/>
      <c r="AV1111" s="19"/>
      <c r="AW1111" s="54"/>
      <c r="AX1111" s="57"/>
      <c r="AY1111" s="54"/>
      <c r="AZ1111" s="54"/>
      <c r="BA1111" s="54"/>
      <c r="BB1111" s="54"/>
      <c r="BC1111" s="57"/>
      <c r="BD1111" s="19"/>
      <c r="BE1111" s="19"/>
      <c r="BF1111" s="19"/>
      <c r="BG1111" s="54"/>
      <c r="BH1111" s="43"/>
      <c r="BI1111" s="54"/>
      <c r="BJ1111" s="55"/>
      <c r="BK1111" s="55"/>
      <c r="BL1111" s="54"/>
      <c r="BM1111" s="56">
        <v>86</v>
      </c>
      <c r="BO1111" s="52"/>
      <c r="BP1111" s="52"/>
      <c r="BQ1111" s="52"/>
      <c r="BR1111" s="52"/>
      <c r="BS1111" s="52"/>
      <c r="BT1111" s="52"/>
      <c r="BU1111" s="52"/>
      <c r="BV1111" s="52"/>
      <c r="BW1111" s="52"/>
      <c r="BX1111" s="52"/>
      <c r="BY1111" s="52"/>
      <c r="BZ1111" s="52"/>
      <c r="CA1111" s="52"/>
      <c r="CB1111" s="52"/>
      <c r="CC1111" s="52"/>
      <c r="CD1111" s="52"/>
      <c r="CE1111" s="52"/>
      <c r="CF1111" s="52"/>
      <c r="CG1111" s="52"/>
      <c r="CH1111" s="52"/>
      <c r="CI1111" s="52"/>
      <c r="CJ1111" s="52"/>
      <c r="CK1111" s="52"/>
      <c r="CL1111" s="52"/>
      <c r="CM1111" s="52"/>
      <c r="CN1111" s="52"/>
      <c r="CO1111" s="52"/>
      <c r="CP1111" s="52"/>
      <c r="CQ1111" s="52"/>
      <c r="CR1111" s="52"/>
      <c r="CS1111" s="52"/>
      <c r="CT1111" s="52"/>
      <c r="CU1111" s="52"/>
      <c r="CV1111" s="52"/>
      <c r="CW1111" s="52"/>
      <c r="CX1111" s="52"/>
      <c r="CY1111" s="52"/>
      <c r="CZ1111" s="52"/>
      <c r="DA1111" s="52"/>
      <c r="DB1111" s="52"/>
      <c r="DC1111" s="52"/>
      <c r="DD1111" s="52"/>
      <c r="DE1111" s="52"/>
      <c r="DF1111" s="52"/>
      <c r="DG1111" s="52"/>
      <c r="DH1111" s="52"/>
      <c r="DI1111" s="52"/>
      <c r="DJ1111" s="52"/>
      <c r="DK1111" s="52"/>
      <c r="DL1111" s="52"/>
      <c r="DM1111" s="52"/>
      <c r="DN1111" s="52"/>
      <c r="DO1111" s="52"/>
      <c r="DP1111" s="52"/>
      <c r="DQ1111" s="52"/>
      <c r="DR1111" s="52"/>
      <c r="DS1111" s="52"/>
      <c r="DT1111" s="52"/>
      <c r="DU1111" s="52"/>
      <c r="DV1111" s="52"/>
      <c r="DW1111" s="52"/>
      <c r="DX1111" s="52"/>
      <c r="DY1111" s="43"/>
      <c r="DZ1111"/>
      <c r="EA1111" s="19"/>
      <c r="EB1111" s="19"/>
      <c r="EC1111" s="9"/>
      <c r="ED1111" s="9"/>
      <c r="EE1111" s="9"/>
      <c r="EF1111" s="9"/>
      <c r="EG1111" s="9"/>
      <c r="EH1111" s="13"/>
      <c r="EI1111" s="13"/>
      <c r="EJ1111" s="13"/>
      <c r="EK1111" s="13"/>
      <c r="EL1111" s="13"/>
      <c r="EM1111" s="13"/>
      <c r="EN1111" s="13"/>
      <c r="EO1111" s="13"/>
      <c r="EP1111" s="13"/>
      <c r="EQ1111" s="13"/>
      <c r="ER1111" s="13"/>
      <c r="ES1111" s="13"/>
      <c r="ET1111" s="13"/>
      <c r="EU1111" s="13"/>
      <c r="EV1111" s="13"/>
      <c r="EW1111" s="13"/>
      <c r="EX1111" s="13"/>
      <c r="EY1111" s="13"/>
      <c r="EZ1111" s="13"/>
      <c r="FA1111" s="13"/>
      <c r="FB1111" s="13"/>
      <c r="FC1111" s="13"/>
      <c r="FD1111" s="13"/>
      <c r="FE1111" s="13"/>
      <c r="FF1111" s="13"/>
      <c r="FG1111" s="13"/>
      <c r="FH1111" s="13"/>
      <c r="FI1111" s="13"/>
      <c r="FJ1111" s="13"/>
      <c r="FK1111" s="13"/>
      <c r="FL1111" s="13"/>
      <c r="FM1111" s="13"/>
      <c r="FN1111" s="13"/>
      <c r="FO1111" s="13"/>
      <c r="FP1111" s="13"/>
      <c r="FQ1111" s="13"/>
      <c r="FR1111" s="13"/>
      <c r="FS1111" s="13"/>
      <c r="FT1111" s="13"/>
      <c r="FU1111" s="13"/>
      <c r="FV1111" s="13"/>
      <c r="FW1111" s="13"/>
      <c r="FX1111" s="13"/>
      <c r="FY1111" s="13"/>
      <c r="FZ1111" s="13"/>
      <c r="GA1111" s="13"/>
    </row>
    <row r="1112" spans="1:183" s="56" customFormat="1" x14ac:dyDescent="0.25">
      <c r="A1112" s="2"/>
      <c r="B1112" s="2"/>
      <c r="C1112" s="9"/>
      <c r="D1112" s="9"/>
      <c r="E1112" s="9"/>
      <c r="F1112" s="9"/>
      <c r="G1112" s="9"/>
      <c r="H1112" s="9"/>
      <c r="I1112" s="43"/>
      <c r="J1112" s="9"/>
      <c r="K1112" s="43"/>
      <c r="L1112" s="39"/>
      <c r="M1112" s="43"/>
      <c r="N1112"/>
      <c r="O1112"/>
      <c r="P1112"/>
      <c r="Q1112"/>
      <c r="R1112"/>
      <c r="S1112"/>
      <c r="T1112"/>
      <c r="U1112"/>
      <c r="V1112"/>
      <c r="W1112" s="52"/>
      <c r="X1112" s="43"/>
      <c r="Y1112"/>
      <c r="Z1112"/>
      <c r="AA1112"/>
      <c r="AB1112"/>
      <c r="AC1112"/>
      <c r="AD1112"/>
      <c r="AE1112"/>
      <c r="AF1112"/>
      <c r="AG1112"/>
      <c r="AH1112" s="52"/>
      <c r="AI1112" s="148"/>
      <c r="AJ1112" s="19"/>
      <c r="AK1112" s="19"/>
      <c r="AL1112" s="19"/>
      <c r="AM1112" s="19"/>
      <c r="AN1112" s="42"/>
      <c r="AO1112" s="54"/>
      <c r="AP1112" s="19"/>
      <c r="AR1112" s="74"/>
      <c r="AS1112" s="42"/>
      <c r="AT1112" s="54"/>
      <c r="AU1112" s="54"/>
      <c r="AV1112" s="19"/>
      <c r="AW1112" s="54"/>
      <c r="AX1112" s="57"/>
      <c r="AY1112" s="54"/>
      <c r="AZ1112" s="54"/>
      <c r="BA1112" s="54"/>
      <c r="BB1112" s="54"/>
      <c r="BC1112" s="57"/>
      <c r="BD1112" s="19"/>
      <c r="BE1112" s="19"/>
      <c r="BF1112" s="19"/>
      <c r="BG1112" s="54"/>
      <c r="BH1112" s="43"/>
      <c r="BI1112" s="54"/>
      <c r="BJ1112" s="55"/>
      <c r="BK1112" s="55"/>
      <c r="BL1112" s="54"/>
      <c r="BM1112" s="56">
        <v>87</v>
      </c>
      <c r="BO1112" s="52"/>
      <c r="BP1112" s="52"/>
      <c r="BQ1112" s="52"/>
      <c r="BR1112" s="52"/>
      <c r="BS1112" s="52"/>
      <c r="BT1112" s="52"/>
      <c r="BU1112" s="52"/>
      <c r="BV1112" s="52"/>
      <c r="BW1112" s="52"/>
      <c r="BX1112" s="52"/>
      <c r="BY1112" s="52"/>
      <c r="BZ1112" s="52"/>
      <c r="CA1112" s="52"/>
      <c r="CB1112" s="52"/>
      <c r="CC1112" s="52"/>
      <c r="CD1112" s="52"/>
      <c r="CE1112" s="52"/>
      <c r="CF1112" s="52"/>
      <c r="CG1112" s="52"/>
      <c r="CH1112" s="52"/>
      <c r="CI1112" s="52"/>
      <c r="CJ1112" s="52"/>
      <c r="CK1112" s="52"/>
      <c r="CL1112" s="52"/>
      <c r="CM1112" s="52"/>
      <c r="CN1112" s="52"/>
      <c r="CO1112" s="52"/>
      <c r="CP1112" s="52"/>
      <c r="CQ1112" s="52"/>
      <c r="CR1112" s="52"/>
      <c r="CS1112" s="52"/>
      <c r="CT1112" s="52"/>
      <c r="CU1112" s="52"/>
      <c r="CV1112" s="52"/>
      <c r="CW1112" s="52"/>
      <c r="CX1112" s="52"/>
      <c r="CY1112" s="52"/>
      <c r="CZ1112" s="52"/>
      <c r="DA1112" s="52"/>
      <c r="DB1112" s="52"/>
      <c r="DC1112" s="52"/>
      <c r="DD1112" s="52"/>
      <c r="DE1112" s="52"/>
      <c r="DF1112" s="52"/>
      <c r="DG1112" s="52"/>
      <c r="DH1112" s="52"/>
      <c r="DI1112" s="52"/>
      <c r="DJ1112" s="52"/>
      <c r="DK1112" s="52"/>
      <c r="DL1112" s="52"/>
      <c r="DM1112" s="52"/>
      <c r="DN1112" s="52"/>
      <c r="DO1112" s="52"/>
      <c r="DP1112" s="52"/>
      <c r="DQ1112" s="52"/>
      <c r="DR1112" s="52"/>
      <c r="DS1112" s="52"/>
      <c r="DT1112" s="52"/>
      <c r="DU1112" s="52"/>
      <c r="DV1112" s="52"/>
      <c r="DW1112" s="52"/>
      <c r="DX1112" s="52"/>
      <c r="DY1112" s="43"/>
      <c r="DZ1112"/>
      <c r="EA1112" s="19"/>
      <c r="EB1112" s="19"/>
      <c r="EC1112" s="9"/>
      <c r="ED1112" s="9"/>
      <c r="EE1112" s="9"/>
      <c r="EF1112" s="9"/>
      <c r="EG1112" s="9"/>
      <c r="EH1112" s="13"/>
      <c r="EI1112" s="13"/>
      <c r="EJ1112" s="13"/>
      <c r="EK1112" s="13"/>
      <c r="EL1112" s="13"/>
      <c r="EM1112" s="13"/>
      <c r="EN1112" s="13"/>
      <c r="EO1112" s="13"/>
      <c r="EP1112" s="13"/>
      <c r="EQ1112" s="13"/>
      <c r="ER1112" s="13"/>
      <c r="ES1112" s="13"/>
      <c r="ET1112" s="13"/>
      <c r="EU1112" s="13"/>
      <c r="EV1112" s="13"/>
      <c r="EW1112" s="13"/>
      <c r="EX1112" s="13"/>
      <c r="EY1112" s="13"/>
      <c r="EZ1112" s="13"/>
      <c r="FA1112" s="13"/>
      <c r="FB1112" s="13"/>
      <c r="FC1112" s="13"/>
      <c r="FD1112" s="13"/>
      <c r="FE1112" s="13"/>
      <c r="FF1112" s="13"/>
      <c r="FG1112" s="13"/>
      <c r="FH1112" s="13"/>
      <c r="FI1112" s="13"/>
      <c r="FJ1112" s="13"/>
      <c r="FK1112" s="13"/>
      <c r="FL1112" s="13"/>
      <c r="FM1112" s="13"/>
      <c r="FN1112" s="13"/>
      <c r="FO1112" s="13"/>
      <c r="FP1112" s="13"/>
      <c r="FQ1112" s="13"/>
      <c r="FR1112" s="13"/>
      <c r="FS1112" s="13"/>
      <c r="FT1112" s="13"/>
      <c r="FU1112" s="13"/>
      <c r="FV1112" s="13"/>
      <c r="FW1112" s="13"/>
      <c r="FX1112" s="13"/>
      <c r="FY1112" s="13"/>
      <c r="FZ1112" s="13"/>
      <c r="GA1112" s="13"/>
    </row>
    <row r="1113" spans="1:183" s="56" customFormat="1" x14ac:dyDescent="0.25">
      <c r="A1113" s="2"/>
      <c r="B1113" s="2"/>
      <c r="C1113" s="9"/>
      <c r="D1113" s="9"/>
      <c r="E1113" s="9"/>
      <c r="F1113" s="9"/>
      <c r="G1113" s="9"/>
      <c r="H1113" s="9"/>
      <c r="I1113" s="43"/>
      <c r="J1113" s="9"/>
      <c r="K1113" s="43"/>
      <c r="L1113" s="39"/>
      <c r="M1113" s="43"/>
      <c r="N1113"/>
      <c r="O1113"/>
      <c r="P1113"/>
      <c r="Q1113"/>
      <c r="R1113"/>
      <c r="S1113"/>
      <c r="T1113"/>
      <c r="U1113"/>
      <c r="V1113"/>
      <c r="W1113" s="52"/>
      <c r="X1113" s="43"/>
      <c r="Y1113"/>
      <c r="Z1113"/>
      <c r="AA1113"/>
      <c r="AB1113"/>
      <c r="AC1113"/>
      <c r="AD1113"/>
      <c r="AE1113"/>
      <c r="AF1113"/>
      <c r="AG1113"/>
      <c r="AH1113" s="52"/>
      <c r="AI1113" s="148"/>
      <c r="AJ1113" s="19"/>
      <c r="AK1113" s="19"/>
      <c r="AL1113" s="19"/>
      <c r="AM1113" s="19"/>
      <c r="AN1113" s="42"/>
      <c r="AO1113" s="54"/>
      <c r="AP1113" s="19"/>
      <c r="AR1113" s="74"/>
      <c r="AS1113" s="42"/>
      <c r="AT1113" s="54"/>
      <c r="AU1113" s="54"/>
      <c r="AV1113" s="19"/>
      <c r="AW1113" s="54"/>
      <c r="AX1113" s="57"/>
      <c r="AY1113" s="54"/>
      <c r="AZ1113" s="54"/>
      <c r="BA1113" s="54"/>
      <c r="BB1113" s="54"/>
      <c r="BC1113" s="57"/>
      <c r="BD1113" s="19"/>
      <c r="BE1113" s="19"/>
      <c r="BF1113" s="19"/>
      <c r="BG1113" s="54"/>
      <c r="BH1113" s="43"/>
      <c r="BI1113" s="54"/>
      <c r="BJ1113" s="55"/>
      <c r="BK1113" s="55"/>
      <c r="BL1113" s="54"/>
      <c r="BM1113" s="56">
        <v>88</v>
      </c>
      <c r="BO1113" s="52"/>
      <c r="BP1113" s="52"/>
      <c r="BQ1113" s="52"/>
      <c r="BR1113" s="52"/>
      <c r="BS1113" s="52"/>
      <c r="BT1113" s="52"/>
      <c r="BU1113" s="52"/>
      <c r="BV1113" s="52"/>
      <c r="BW1113" s="52"/>
      <c r="BX1113" s="52"/>
      <c r="BY1113" s="52"/>
      <c r="BZ1113" s="52"/>
      <c r="CA1113" s="52"/>
      <c r="CB1113" s="52"/>
      <c r="CC1113" s="52"/>
      <c r="CD1113" s="52"/>
      <c r="CE1113" s="52"/>
      <c r="CF1113" s="52"/>
      <c r="CG1113" s="52"/>
      <c r="CH1113" s="52"/>
      <c r="CI1113" s="52"/>
      <c r="CJ1113" s="52"/>
      <c r="CK1113" s="52"/>
      <c r="CL1113" s="52"/>
      <c r="CM1113" s="52"/>
      <c r="CN1113" s="52"/>
      <c r="CO1113" s="52"/>
      <c r="CP1113" s="52"/>
      <c r="CQ1113" s="52"/>
      <c r="CR1113" s="52"/>
      <c r="CS1113" s="52"/>
      <c r="CT1113" s="52"/>
      <c r="CU1113" s="52"/>
      <c r="CV1113" s="52"/>
      <c r="CW1113" s="52"/>
      <c r="CX1113" s="52"/>
      <c r="CY1113" s="52"/>
      <c r="CZ1113" s="52"/>
      <c r="DA1113" s="52"/>
      <c r="DB1113" s="52"/>
      <c r="DC1113" s="52"/>
      <c r="DD1113" s="52"/>
      <c r="DE1113" s="52"/>
      <c r="DF1113" s="52"/>
      <c r="DG1113" s="52"/>
      <c r="DH1113" s="52"/>
      <c r="DI1113" s="52"/>
      <c r="DJ1113" s="52"/>
      <c r="DK1113" s="52"/>
      <c r="DL1113" s="52"/>
      <c r="DM1113" s="52"/>
      <c r="DN1113" s="52"/>
      <c r="DO1113" s="52"/>
      <c r="DP1113" s="52"/>
      <c r="DQ1113" s="52"/>
      <c r="DR1113" s="52"/>
      <c r="DS1113" s="52"/>
      <c r="DT1113" s="52"/>
      <c r="DU1113" s="52"/>
      <c r="DV1113" s="52"/>
      <c r="DW1113" s="52"/>
      <c r="DX1113" s="52"/>
      <c r="DY1113" s="43"/>
      <c r="DZ1113"/>
      <c r="EA1113" s="19"/>
      <c r="EB1113" s="19"/>
      <c r="EC1113" s="9"/>
      <c r="ED1113" s="9"/>
      <c r="EE1113" s="9"/>
      <c r="EF1113" s="9"/>
      <c r="EG1113" s="9"/>
      <c r="EH1113" s="13"/>
      <c r="EI1113" s="13"/>
      <c r="EJ1113" s="13"/>
      <c r="EK1113" s="13"/>
      <c r="EL1113" s="13"/>
      <c r="EM1113" s="13"/>
      <c r="EN1113" s="13"/>
      <c r="EO1113" s="13"/>
      <c r="EP1113" s="13"/>
      <c r="EQ1113" s="13"/>
      <c r="ER1113" s="13"/>
      <c r="ES1113" s="13"/>
      <c r="ET1113" s="13"/>
      <c r="EU1113" s="13"/>
      <c r="EV1113" s="13"/>
      <c r="EW1113" s="13"/>
      <c r="EX1113" s="13"/>
      <c r="EY1113" s="13"/>
      <c r="EZ1113" s="13"/>
      <c r="FA1113" s="13"/>
      <c r="FB1113" s="13"/>
      <c r="FC1113" s="13"/>
      <c r="FD1113" s="13"/>
      <c r="FE1113" s="13"/>
      <c r="FF1113" s="13"/>
      <c r="FG1113" s="13"/>
      <c r="FH1113" s="13"/>
      <c r="FI1113" s="13"/>
      <c r="FJ1113" s="13"/>
      <c r="FK1113" s="13"/>
      <c r="FL1113" s="13"/>
      <c r="FM1113" s="13"/>
      <c r="FN1113" s="13"/>
      <c r="FO1113" s="13"/>
      <c r="FP1113" s="13"/>
      <c r="FQ1113" s="13"/>
      <c r="FR1113" s="13"/>
      <c r="FS1113" s="13"/>
      <c r="FT1113" s="13"/>
      <c r="FU1113" s="13"/>
      <c r="FV1113" s="13"/>
      <c r="FW1113" s="13"/>
      <c r="FX1113" s="13"/>
      <c r="FY1113" s="13"/>
      <c r="FZ1113" s="13"/>
      <c r="GA1113" s="13"/>
    </row>
    <row r="1114" spans="1:183" s="56" customFormat="1" x14ac:dyDescent="0.25">
      <c r="A1114" s="2"/>
      <c r="B1114" s="2"/>
      <c r="C1114" s="9"/>
      <c r="D1114" s="9"/>
      <c r="E1114" s="9"/>
      <c r="F1114" s="9"/>
      <c r="G1114" s="9"/>
      <c r="H1114" s="9"/>
      <c r="I1114" s="43"/>
      <c r="J1114" s="9"/>
      <c r="K1114" s="43"/>
      <c r="L1114" s="39"/>
      <c r="M1114" s="43"/>
      <c r="N1114"/>
      <c r="O1114"/>
      <c r="P1114"/>
      <c r="Q1114"/>
      <c r="R1114"/>
      <c r="S1114"/>
      <c r="T1114"/>
      <c r="U1114"/>
      <c r="V1114"/>
      <c r="W1114" s="52"/>
      <c r="X1114" s="43"/>
      <c r="Y1114"/>
      <c r="Z1114"/>
      <c r="AA1114"/>
      <c r="AB1114"/>
      <c r="AC1114"/>
      <c r="AD1114"/>
      <c r="AE1114"/>
      <c r="AF1114"/>
      <c r="AG1114"/>
      <c r="AH1114" s="52"/>
      <c r="AI1114" s="148"/>
      <c r="AJ1114" s="19"/>
      <c r="AK1114" s="19"/>
      <c r="AL1114" s="19"/>
      <c r="AM1114" s="19"/>
      <c r="AN1114" s="42"/>
      <c r="AO1114" s="54"/>
      <c r="AP1114" s="19"/>
      <c r="AR1114" s="74"/>
      <c r="AS1114" s="42"/>
      <c r="AT1114" s="54"/>
      <c r="AU1114" s="54"/>
      <c r="AV1114" s="19"/>
      <c r="AW1114" s="54"/>
      <c r="AX1114" s="57"/>
      <c r="AY1114" s="54"/>
      <c r="AZ1114" s="54"/>
      <c r="BA1114" s="54"/>
      <c r="BB1114" s="54"/>
      <c r="BC1114" s="57"/>
      <c r="BD1114" s="19"/>
      <c r="BE1114" s="19"/>
      <c r="BF1114" s="19"/>
      <c r="BG1114" s="54"/>
      <c r="BH1114" s="43"/>
      <c r="BI1114" s="54"/>
      <c r="BJ1114" s="55"/>
      <c r="BK1114" s="55"/>
      <c r="BL1114" s="54"/>
      <c r="BM1114" s="56">
        <v>90</v>
      </c>
      <c r="BO1114" s="52"/>
      <c r="BP1114" s="52"/>
      <c r="BQ1114" s="52"/>
      <c r="BR1114" s="52"/>
      <c r="BS1114" s="52"/>
      <c r="BT1114" s="52"/>
      <c r="BU1114" s="52"/>
      <c r="BV1114" s="52"/>
      <c r="BW1114" s="52"/>
      <c r="BX1114" s="52"/>
      <c r="BY1114" s="52"/>
      <c r="BZ1114" s="52"/>
      <c r="CA1114" s="52"/>
      <c r="CB1114" s="52"/>
      <c r="CC1114" s="52"/>
      <c r="CD1114" s="52"/>
      <c r="CE1114" s="52"/>
      <c r="CF1114" s="52"/>
      <c r="CG1114" s="52"/>
      <c r="CH1114" s="52"/>
      <c r="CI1114" s="52"/>
      <c r="CJ1114" s="52"/>
      <c r="CK1114" s="52"/>
      <c r="CL1114" s="52"/>
      <c r="CM1114" s="52"/>
      <c r="CN1114" s="52"/>
      <c r="CO1114" s="52"/>
      <c r="CP1114" s="52"/>
      <c r="CQ1114" s="52"/>
      <c r="CR1114" s="52"/>
      <c r="CS1114" s="52"/>
      <c r="CT1114" s="52"/>
      <c r="CU1114" s="52"/>
      <c r="CV1114" s="52"/>
      <c r="CW1114" s="52"/>
      <c r="CX1114" s="52"/>
      <c r="CY1114" s="52"/>
      <c r="CZ1114" s="52"/>
      <c r="DA1114" s="52"/>
      <c r="DB1114" s="52"/>
      <c r="DC1114" s="52"/>
      <c r="DD1114" s="52"/>
      <c r="DE1114" s="52"/>
      <c r="DF1114" s="52"/>
      <c r="DG1114" s="52"/>
      <c r="DH1114" s="52"/>
      <c r="DI1114" s="52"/>
      <c r="DJ1114" s="52"/>
      <c r="DK1114" s="52"/>
      <c r="DL1114" s="52"/>
      <c r="DM1114" s="52"/>
      <c r="DN1114" s="52"/>
      <c r="DO1114" s="52"/>
      <c r="DP1114" s="52"/>
      <c r="DQ1114" s="52"/>
      <c r="DR1114" s="52"/>
      <c r="DS1114" s="52"/>
      <c r="DT1114" s="52"/>
      <c r="DU1114" s="52"/>
      <c r="DV1114" s="52"/>
      <c r="DW1114" s="52"/>
      <c r="DX1114" s="52"/>
      <c r="DY1114" s="43"/>
      <c r="DZ1114"/>
      <c r="EA1114" s="19"/>
      <c r="EB1114" s="19"/>
      <c r="EC1114" s="9"/>
      <c r="ED1114" s="9"/>
      <c r="EE1114" s="9"/>
      <c r="EF1114" s="9"/>
      <c r="EG1114" s="9"/>
      <c r="EH1114" s="13"/>
      <c r="EI1114" s="13"/>
      <c r="EJ1114" s="13"/>
      <c r="EK1114" s="13"/>
      <c r="EL1114" s="13"/>
      <c r="EM1114" s="13"/>
      <c r="EN1114" s="13"/>
      <c r="EO1114" s="13"/>
      <c r="EP1114" s="13"/>
      <c r="EQ1114" s="13"/>
      <c r="ER1114" s="13"/>
      <c r="ES1114" s="13"/>
      <c r="ET1114" s="13"/>
      <c r="EU1114" s="13"/>
      <c r="EV1114" s="13"/>
      <c r="EW1114" s="13"/>
      <c r="EX1114" s="13"/>
      <c r="EY1114" s="13"/>
      <c r="EZ1114" s="13"/>
      <c r="FA1114" s="13"/>
      <c r="FB1114" s="13"/>
      <c r="FC1114" s="13"/>
      <c r="FD1114" s="13"/>
      <c r="FE1114" s="13"/>
      <c r="FF1114" s="13"/>
      <c r="FG1114" s="13"/>
      <c r="FH1114" s="13"/>
      <c r="FI1114" s="13"/>
      <c r="FJ1114" s="13"/>
      <c r="FK1114" s="13"/>
      <c r="FL1114" s="13"/>
      <c r="FM1114" s="13"/>
      <c r="FN1114" s="13"/>
      <c r="FO1114" s="13"/>
      <c r="FP1114" s="13"/>
      <c r="FQ1114" s="13"/>
      <c r="FR1114" s="13"/>
      <c r="FS1114" s="13"/>
      <c r="FT1114" s="13"/>
      <c r="FU1114" s="13"/>
      <c r="FV1114" s="13"/>
      <c r="FW1114" s="13"/>
      <c r="FX1114" s="13"/>
      <c r="FY1114" s="13"/>
      <c r="FZ1114" s="13"/>
      <c r="GA1114" s="13"/>
    </row>
  </sheetData>
  <autoFilter ref="A1:DY1114"/>
  <mergeCells count="346">
    <mergeCell ref="A11:A13"/>
    <mergeCell ref="B11:B13"/>
    <mergeCell ref="A14:A16"/>
    <mergeCell ref="B14:B16"/>
    <mergeCell ref="Y4:AH4"/>
    <mergeCell ref="Y16:AH16"/>
    <mergeCell ref="A2:A4"/>
    <mergeCell ref="B2:B4"/>
    <mergeCell ref="N4:W4"/>
    <mergeCell ref="A5:A7"/>
    <mergeCell ref="B5:B7"/>
    <mergeCell ref="A8:A10"/>
    <mergeCell ref="B8:B10"/>
    <mergeCell ref="EJ23:ES23"/>
    <mergeCell ref="FE24:FN24"/>
    <mergeCell ref="A26:A28"/>
    <mergeCell ref="B26:B28"/>
    <mergeCell ref="N27:W27"/>
    <mergeCell ref="Y27:AH27"/>
    <mergeCell ref="A17:A19"/>
    <mergeCell ref="B17:B19"/>
    <mergeCell ref="A20:A22"/>
    <mergeCell ref="B20:B22"/>
    <mergeCell ref="A23:A25"/>
    <mergeCell ref="B23:B25"/>
    <mergeCell ref="Y38:AH38"/>
    <mergeCell ref="ER38:FA38"/>
    <mergeCell ref="FE38:FN38"/>
    <mergeCell ref="A29:A31"/>
    <mergeCell ref="B29:B31"/>
    <mergeCell ref="A32:A34"/>
    <mergeCell ref="B32:B34"/>
    <mergeCell ref="A35:A37"/>
    <mergeCell ref="B35:B37"/>
    <mergeCell ref="A41:A43"/>
    <mergeCell ref="B41:B43"/>
    <mergeCell ref="A44:A46"/>
    <mergeCell ref="B44:B46"/>
    <mergeCell ref="A47:A49"/>
    <mergeCell ref="B47:B49"/>
    <mergeCell ref="A38:A40"/>
    <mergeCell ref="B38:B40"/>
    <mergeCell ref="N38:W38"/>
    <mergeCell ref="A56:A58"/>
    <mergeCell ref="B56:B58"/>
    <mergeCell ref="A59:A61"/>
    <mergeCell ref="B59:B61"/>
    <mergeCell ref="N60:W60"/>
    <mergeCell ref="Y60:AH60"/>
    <mergeCell ref="N49:W49"/>
    <mergeCell ref="Y49:AH49"/>
    <mergeCell ref="A50:A52"/>
    <mergeCell ref="B50:B52"/>
    <mergeCell ref="A53:A55"/>
    <mergeCell ref="B53:B55"/>
    <mergeCell ref="N71:W71"/>
    <mergeCell ref="Y71:AH71"/>
    <mergeCell ref="ED71:EM71"/>
    <mergeCell ref="A62:A64"/>
    <mergeCell ref="B62:B64"/>
    <mergeCell ref="A65:A67"/>
    <mergeCell ref="B65:B67"/>
    <mergeCell ref="A68:A70"/>
    <mergeCell ref="B68:B70"/>
    <mergeCell ref="A74:A76"/>
    <mergeCell ref="B74:B76"/>
    <mergeCell ref="L74:L76"/>
    <mergeCell ref="A77:A79"/>
    <mergeCell ref="B77:B79"/>
    <mergeCell ref="L77:L79"/>
    <mergeCell ref="A71:A73"/>
    <mergeCell ref="B71:B73"/>
    <mergeCell ref="L71:L73"/>
    <mergeCell ref="N83:W83"/>
    <mergeCell ref="Y83:AH83"/>
    <mergeCell ref="A86:A88"/>
    <mergeCell ref="B86:B88"/>
    <mergeCell ref="L86:L88"/>
    <mergeCell ref="A89:A91"/>
    <mergeCell ref="B89:B91"/>
    <mergeCell ref="L89:L91"/>
    <mergeCell ref="A80:A82"/>
    <mergeCell ref="B80:B82"/>
    <mergeCell ref="L80:L82"/>
    <mergeCell ref="A83:A85"/>
    <mergeCell ref="B83:B85"/>
    <mergeCell ref="L83:L85"/>
    <mergeCell ref="A98:A100"/>
    <mergeCell ref="B98:B100"/>
    <mergeCell ref="L98:L100"/>
    <mergeCell ref="A101:A103"/>
    <mergeCell ref="B101:B103"/>
    <mergeCell ref="L101:L103"/>
    <mergeCell ref="A92:A94"/>
    <mergeCell ref="B92:B94"/>
    <mergeCell ref="L92:L94"/>
    <mergeCell ref="A95:A97"/>
    <mergeCell ref="B95:B97"/>
    <mergeCell ref="L95:L97"/>
    <mergeCell ref="A110:A112"/>
    <mergeCell ref="B110:B112"/>
    <mergeCell ref="L110:L112"/>
    <mergeCell ref="A113:A115"/>
    <mergeCell ref="B113:B115"/>
    <mergeCell ref="L113:L115"/>
    <mergeCell ref="A104:A106"/>
    <mergeCell ref="B104:B106"/>
    <mergeCell ref="L104:L106"/>
    <mergeCell ref="A107:A109"/>
    <mergeCell ref="B107:B109"/>
    <mergeCell ref="L107:L109"/>
    <mergeCell ref="A122:A124"/>
    <mergeCell ref="B122:B124"/>
    <mergeCell ref="L122:L124"/>
    <mergeCell ref="A125:A127"/>
    <mergeCell ref="B125:B127"/>
    <mergeCell ref="L125:L127"/>
    <mergeCell ref="A116:A118"/>
    <mergeCell ref="B116:B118"/>
    <mergeCell ref="L116:L118"/>
    <mergeCell ref="A119:A121"/>
    <mergeCell ref="B119:B121"/>
    <mergeCell ref="L119:L121"/>
    <mergeCell ref="A134:A136"/>
    <mergeCell ref="B134:B136"/>
    <mergeCell ref="L134:L136"/>
    <mergeCell ref="A137:A139"/>
    <mergeCell ref="B137:B139"/>
    <mergeCell ref="L137:L139"/>
    <mergeCell ref="A128:A130"/>
    <mergeCell ref="B128:B130"/>
    <mergeCell ref="L128:L130"/>
    <mergeCell ref="A131:A133"/>
    <mergeCell ref="B131:B133"/>
    <mergeCell ref="L131:L133"/>
    <mergeCell ref="N146:W146"/>
    <mergeCell ref="A149:A151"/>
    <mergeCell ref="B149:B151"/>
    <mergeCell ref="L149:L151"/>
    <mergeCell ref="A140:A142"/>
    <mergeCell ref="B140:B142"/>
    <mergeCell ref="L140:L142"/>
    <mergeCell ref="A143:A145"/>
    <mergeCell ref="B143:B145"/>
    <mergeCell ref="L143:L145"/>
    <mergeCell ref="A152:A154"/>
    <mergeCell ref="B152:B154"/>
    <mergeCell ref="L152:L154"/>
    <mergeCell ref="A155:A157"/>
    <mergeCell ref="B155:B157"/>
    <mergeCell ref="L155:L157"/>
    <mergeCell ref="A146:A148"/>
    <mergeCell ref="B146:B148"/>
    <mergeCell ref="L146:L148"/>
    <mergeCell ref="A164:A166"/>
    <mergeCell ref="B164:B166"/>
    <mergeCell ref="L164:L166"/>
    <mergeCell ref="A167:A169"/>
    <mergeCell ref="B167:B169"/>
    <mergeCell ref="L167:L169"/>
    <mergeCell ref="A158:A160"/>
    <mergeCell ref="B158:B160"/>
    <mergeCell ref="L158:L160"/>
    <mergeCell ref="A161:A163"/>
    <mergeCell ref="B161:B163"/>
    <mergeCell ref="L161:L163"/>
    <mergeCell ref="A176:A178"/>
    <mergeCell ref="B176:B178"/>
    <mergeCell ref="L176:L178"/>
    <mergeCell ref="A179:A181"/>
    <mergeCell ref="B179:B181"/>
    <mergeCell ref="L179:L181"/>
    <mergeCell ref="A170:A172"/>
    <mergeCell ref="B170:B172"/>
    <mergeCell ref="L170:L172"/>
    <mergeCell ref="A173:A175"/>
    <mergeCell ref="B173:B175"/>
    <mergeCell ref="L173:L175"/>
    <mergeCell ref="A188:A190"/>
    <mergeCell ref="B188:B190"/>
    <mergeCell ref="L188:L190"/>
    <mergeCell ref="A191:A193"/>
    <mergeCell ref="B191:B193"/>
    <mergeCell ref="L191:L193"/>
    <mergeCell ref="A182:A184"/>
    <mergeCell ref="B182:B184"/>
    <mergeCell ref="L182:L184"/>
    <mergeCell ref="A185:A187"/>
    <mergeCell ref="B185:B187"/>
    <mergeCell ref="L185:L187"/>
    <mergeCell ref="A200:A202"/>
    <mergeCell ref="B200:B202"/>
    <mergeCell ref="L200:L202"/>
    <mergeCell ref="A203:A205"/>
    <mergeCell ref="B203:B205"/>
    <mergeCell ref="L203:L205"/>
    <mergeCell ref="A194:A196"/>
    <mergeCell ref="B194:B196"/>
    <mergeCell ref="L194:L196"/>
    <mergeCell ref="A197:A199"/>
    <mergeCell ref="B197:B199"/>
    <mergeCell ref="L197:L199"/>
    <mergeCell ref="A212:A214"/>
    <mergeCell ref="B212:B214"/>
    <mergeCell ref="L212:L214"/>
    <mergeCell ref="A215:A217"/>
    <mergeCell ref="B215:B217"/>
    <mergeCell ref="L215:L217"/>
    <mergeCell ref="A206:A208"/>
    <mergeCell ref="B206:B208"/>
    <mergeCell ref="L206:L208"/>
    <mergeCell ref="A209:A211"/>
    <mergeCell ref="B209:B211"/>
    <mergeCell ref="L209:L211"/>
    <mergeCell ref="A224:A226"/>
    <mergeCell ref="B224:B226"/>
    <mergeCell ref="L224:L226"/>
    <mergeCell ref="A227:A229"/>
    <mergeCell ref="B227:B229"/>
    <mergeCell ref="L227:L229"/>
    <mergeCell ref="A218:A220"/>
    <mergeCell ref="B218:B220"/>
    <mergeCell ref="L218:L220"/>
    <mergeCell ref="A221:A223"/>
    <mergeCell ref="B221:B223"/>
    <mergeCell ref="L221:L223"/>
    <mergeCell ref="A236:A238"/>
    <mergeCell ref="B236:B238"/>
    <mergeCell ref="L236:L238"/>
    <mergeCell ref="A239:A241"/>
    <mergeCell ref="B239:B241"/>
    <mergeCell ref="L239:L241"/>
    <mergeCell ref="A230:A232"/>
    <mergeCell ref="B230:B232"/>
    <mergeCell ref="L230:L232"/>
    <mergeCell ref="A233:A235"/>
    <mergeCell ref="B233:B235"/>
    <mergeCell ref="L233:L235"/>
    <mergeCell ref="A248:A250"/>
    <mergeCell ref="B248:B250"/>
    <mergeCell ref="L248:L250"/>
    <mergeCell ref="A251:A253"/>
    <mergeCell ref="B251:B253"/>
    <mergeCell ref="L251:L253"/>
    <mergeCell ref="A242:A244"/>
    <mergeCell ref="B242:B244"/>
    <mergeCell ref="L242:L244"/>
    <mergeCell ref="A245:A247"/>
    <mergeCell ref="B245:B247"/>
    <mergeCell ref="L245:L247"/>
    <mergeCell ref="A260:A262"/>
    <mergeCell ref="B260:B262"/>
    <mergeCell ref="L260:L262"/>
    <mergeCell ref="A263:A265"/>
    <mergeCell ref="B263:B265"/>
    <mergeCell ref="L263:L265"/>
    <mergeCell ref="A254:A256"/>
    <mergeCell ref="B254:B256"/>
    <mergeCell ref="L254:L256"/>
    <mergeCell ref="A257:A259"/>
    <mergeCell ref="B257:B259"/>
    <mergeCell ref="L257:L259"/>
    <mergeCell ref="A272:A274"/>
    <mergeCell ref="B272:B274"/>
    <mergeCell ref="L272:L274"/>
    <mergeCell ref="A275:A277"/>
    <mergeCell ref="B275:B277"/>
    <mergeCell ref="L275:L277"/>
    <mergeCell ref="A266:A268"/>
    <mergeCell ref="B266:B268"/>
    <mergeCell ref="L266:L268"/>
    <mergeCell ref="A269:A271"/>
    <mergeCell ref="B269:B271"/>
    <mergeCell ref="L269:L271"/>
    <mergeCell ref="A284:A286"/>
    <mergeCell ref="B284:B286"/>
    <mergeCell ref="L284:L286"/>
    <mergeCell ref="A287:A289"/>
    <mergeCell ref="B287:B289"/>
    <mergeCell ref="L287:L289"/>
    <mergeCell ref="A278:A280"/>
    <mergeCell ref="B278:B280"/>
    <mergeCell ref="L278:L280"/>
    <mergeCell ref="A281:A283"/>
    <mergeCell ref="B281:B283"/>
    <mergeCell ref="L281:L283"/>
    <mergeCell ref="A296:A298"/>
    <mergeCell ref="B296:B298"/>
    <mergeCell ref="L296:L298"/>
    <mergeCell ref="A299:A301"/>
    <mergeCell ref="B299:B301"/>
    <mergeCell ref="L299:L301"/>
    <mergeCell ref="A290:A292"/>
    <mergeCell ref="B290:B292"/>
    <mergeCell ref="L290:L292"/>
    <mergeCell ref="A293:A295"/>
    <mergeCell ref="B293:B295"/>
    <mergeCell ref="L293:L295"/>
    <mergeCell ref="A308:A310"/>
    <mergeCell ref="B308:B310"/>
    <mergeCell ref="L308:L310"/>
    <mergeCell ref="A311:A313"/>
    <mergeCell ref="B311:B313"/>
    <mergeCell ref="L311:L313"/>
    <mergeCell ref="A302:A304"/>
    <mergeCell ref="B302:B304"/>
    <mergeCell ref="L302:L304"/>
    <mergeCell ref="A305:A307"/>
    <mergeCell ref="B305:B307"/>
    <mergeCell ref="L305:L307"/>
    <mergeCell ref="A320:A322"/>
    <mergeCell ref="B320:B322"/>
    <mergeCell ref="L320:L322"/>
    <mergeCell ref="A323:A325"/>
    <mergeCell ref="B323:B325"/>
    <mergeCell ref="L323:L325"/>
    <mergeCell ref="A314:A316"/>
    <mergeCell ref="B314:B316"/>
    <mergeCell ref="L314:L316"/>
    <mergeCell ref="A317:A319"/>
    <mergeCell ref="B317:B319"/>
    <mergeCell ref="L317:L319"/>
    <mergeCell ref="A332:A334"/>
    <mergeCell ref="B332:B334"/>
    <mergeCell ref="L332:L334"/>
    <mergeCell ref="A335:A337"/>
    <mergeCell ref="B335:B337"/>
    <mergeCell ref="L335:L337"/>
    <mergeCell ref="A326:A328"/>
    <mergeCell ref="B326:B328"/>
    <mergeCell ref="L326:L328"/>
    <mergeCell ref="A329:A331"/>
    <mergeCell ref="B329:B331"/>
    <mergeCell ref="L329:L331"/>
    <mergeCell ref="A344:A346"/>
    <mergeCell ref="B344:B346"/>
    <mergeCell ref="L344:L346"/>
    <mergeCell ref="A347:A349"/>
    <mergeCell ref="B347:B349"/>
    <mergeCell ref="L347:L349"/>
    <mergeCell ref="A338:A340"/>
    <mergeCell ref="B338:B340"/>
    <mergeCell ref="L338:L340"/>
    <mergeCell ref="A341:A343"/>
    <mergeCell ref="B341:B343"/>
    <mergeCell ref="L341:L343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27-06</vt:lpstr>
      <vt:lpstr>DENEME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Lenovo</cp:lastModifiedBy>
  <cp:lastPrinted>2022-11-14T12:40:40Z</cp:lastPrinted>
  <dcterms:created xsi:type="dcterms:W3CDTF">2001-11-21T15:48:40Z</dcterms:created>
  <dcterms:modified xsi:type="dcterms:W3CDTF">2026-06-29T09:39:06Z</dcterms:modified>
</cp:coreProperties>
</file>